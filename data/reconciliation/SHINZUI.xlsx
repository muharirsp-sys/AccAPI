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SHINZUI\"/>
    </mc:Choice>
  </mc:AlternateContent>
  <xr:revisionPtr revIDLastSave="0" documentId="13_ncr:1_{1744F601-E260-4707-86DB-B6E486303F14}" xr6:coauthVersionLast="45" xr6:coauthVersionMax="47" xr10:uidLastSave="{00000000-0000-0000-0000-000000000000}"/>
  <bookViews>
    <workbookView xWindow="-120" yWindow="-120" windowWidth="29040" windowHeight="15990" firstSheet="2" activeTab="7" xr2:uid="{BF519ECE-2DA5-4DA0-9181-8645A13B27C8}"/>
  </bookViews>
  <sheets>
    <sheet name="PRICE LIST Motasa" sheetId="33" r:id="rId1"/>
    <sheet name="FORM DASAR KLP" sheetId="20" r:id="rId2"/>
    <sheet name="Cara Buat" sheetId="5" r:id="rId3"/>
    <sheet name="Pvt Map 1" sheetId="24" r:id="rId4"/>
    <sheet name="Table Pvt 1" sheetId="36" r:id="rId5"/>
    <sheet name="Fix Mapping" sheetId="37" r:id="rId6"/>
    <sheet name="Query Map.BrgDoubleDms" sheetId="30" r:id="rId7"/>
    <sheet name="Form Fix" sheetId="27" r:id="rId8"/>
    <sheet name="Upload To Win" sheetId="35" r:id="rId9"/>
    <sheet name="LIST PCPL" sheetId="14" r:id="rId10"/>
    <sheet name="Sheet1" sheetId="38" r:id="rId11"/>
  </sheets>
  <definedNames>
    <definedName name="_xlnm._FilterDatabase" localSheetId="1" hidden="1">'FORM DASAR KLP'!$A$3:$G$3</definedName>
    <definedName name="_xlnm._FilterDatabase" localSheetId="0" hidden="1">'PRICE LIST Motasa'!$A$3:$G$8</definedName>
    <definedName name="_xlnm._FilterDatabase" hidden="1">#REF!</definedName>
    <definedName name="Consol">"Error"</definedName>
    <definedName name="ExternalData_1" localSheetId="6" hidden="1">'Query Map.BrgDoubleDms'!$A$1:$B$177</definedName>
    <definedName name="ExternalData_1" localSheetId="4" hidden="1">'Table Pvt 1'!$A$1:$E$193</definedName>
    <definedName name="ExternalData_1" localSheetId="8" hidden="1">'Upload To Win'!$A$1:$AF$177</definedName>
    <definedName name="ExternalData_2" localSheetId="5" hidden="1">'Fix Mapping'!$A$1:$R$136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8" i="27" l="1"/>
  <c r="J198" i="27"/>
  <c r="K198" i="27"/>
  <c r="L198" i="27"/>
  <c r="A198" i="27" s="1"/>
  <c r="N198" i="27"/>
  <c r="O198" i="27" s="1"/>
  <c r="AM198" i="27"/>
  <c r="AO198" i="27" s="1"/>
  <c r="AN198" i="27"/>
  <c r="AQ198" i="27"/>
  <c r="AS198" i="27" s="1"/>
  <c r="AR198" i="27"/>
  <c r="AU198" i="27"/>
  <c r="AV198" i="27"/>
  <c r="AW198" i="27" s="1"/>
  <c r="AX198" i="27"/>
  <c r="BA198" i="27"/>
  <c r="BB198" i="27"/>
  <c r="BD198" i="27"/>
  <c r="BE198" i="27"/>
  <c r="BF198" i="27"/>
  <c r="BI198" i="27"/>
  <c r="BJ198" i="27"/>
  <c r="BK198" i="27"/>
  <c r="BL198" i="27"/>
  <c r="BN198" i="27"/>
  <c r="I98" i="27"/>
  <c r="J98" i="27"/>
  <c r="K98" i="27"/>
  <c r="L98" i="27"/>
  <c r="A98" i="27" s="1"/>
  <c r="N98" i="27"/>
  <c r="O98" i="27" s="1"/>
  <c r="AM98" i="27"/>
  <c r="AN98" i="27"/>
  <c r="AO98" i="27"/>
  <c r="AQ98" i="27"/>
  <c r="AS98" i="27" s="1"/>
  <c r="AR98" i="27"/>
  <c r="AU98" i="27"/>
  <c r="AV98" i="27"/>
  <c r="AW98" i="27" s="1"/>
  <c r="AX98" i="27"/>
  <c r="BA98" i="27"/>
  <c r="BB98" i="27"/>
  <c r="BE98" i="27"/>
  <c r="BF98" i="27"/>
  <c r="BI98" i="27"/>
  <c r="BJ98" i="27"/>
  <c r="BK98" i="27"/>
  <c r="BL98" i="27"/>
  <c r="BN98" i="27"/>
  <c r="I96" i="27"/>
  <c r="BK96" i="27" s="1"/>
  <c r="J96" i="27"/>
  <c r="K96" i="27"/>
  <c r="L96" i="27"/>
  <c r="A96" i="27" s="1"/>
  <c r="N96" i="27"/>
  <c r="O96" i="27" s="1"/>
  <c r="AM96" i="27"/>
  <c r="AO96" i="27" s="1"/>
  <c r="AN96" i="27"/>
  <c r="AQ96" i="27"/>
  <c r="AS96" i="27" s="1"/>
  <c r="AR96" i="27"/>
  <c r="AU96" i="27"/>
  <c r="AV96" i="27"/>
  <c r="AW96" i="27" s="1"/>
  <c r="AX96" i="27"/>
  <c r="BA96" i="27"/>
  <c r="BB96" i="27"/>
  <c r="BE96" i="27"/>
  <c r="BF96" i="27"/>
  <c r="BI96" i="27"/>
  <c r="I94" i="27"/>
  <c r="BJ94" i="27" s="1"/>
  <c r="J94" i="27"/>
  <c r="K94" i="27"/>
  <c r="L94" i="27"/>
  <c r="A94" i="27" s="1"/>
  <c r="N94" i="27"/>
  <c r="O94" i="27" s="1"/>
  <c r="AM94" i="27"/>
  <c r="AO94" i="27" s="1"/>
  <c r="AN94" i="27"/>
  <c r="AQ94" i="27"/>
  <c r="AS94" i="27" s="1"/>
  <c r="AR94" i="27"/>
  <c r="AU94" i="27"/>
  <c r="AV94" i="27"/>
  <c r="AW94" i="27" s="1"/>
  <c r="AX94" i="27"/>
  <c r="BA94" i="27"/>
  <c r="BB94" i="27"/>
  <c r="BE94" i="27"/>
  <c r="BF94" i="27"/>
  <c r="BI94" i="27"/>
  <c r="I92" i="27"/>
  <c r="BJ92" i="27" s="1"/>
  <c r="J92" i="27"/>
  <c r="K92" i="27"/>
  <c r="L92" i="27"/>
  <c r="A92" i="27" s="1"/>
  <c r="N92" i="27"/>
  <c r="O92" i="27" s="1"/>
  <c r="AM92" i="27"/>
  <c r="AO92" i="27" s="1"/>
  <c r="AN92" i="27"/>
  <c r="AQ92" i="27"/>
  <c r="AS92" i="27" s="1"/>
  <c r="AR92" i="27"/>
  <c r="AU92" i="27"/>
  <c r="AV92" i="27"/>
  <c r="AW92" i="27" s="1"/>
  <c r="AX92" i="27"/>
  <c r="BA92" i="27"/>
  <c r="BB92" i="27"/>
  <c r="BE92" i="27"/>
  <c r="BF92" i="27"/>
  <c r="BI92" i="27"/>
  <c r="I99" i="27"/>
  <c r="I100" i="27"/>
  <c r="BI100" i="27" s="1"/>
  <c r="J99" i="27"/>
  <c r="J100" i="27"/>
  <c r="K99" i="27"/>
  <c r="K100" i="27"/>
  <c r="L99" i="27"/>
  <c r="A99" i="27" s="1"/>
  <c r="L100" i="27"/>
  <c r="A100" i="27" s="1"/>
  <c r="N99" i="27"/>
  <c r="O99" i="27" s="1"/>
  <c r="N100" i="27"/>
  <c r="O100" i="27" s="1"/>
  <c r="AM99" i="27"/>
  <c r="AM100" i="27"/>
  <c r="AN99" i="27"/>
  <c r="AN100" i="27"/>
  <c r="AO99" i="27"/>
  <c r="AO100" i="27"/>
  <c r="AQ99" i="27"/>
  <c r="AQ100" i="27"/>
  <c r="AR99" i="27"/>
  <c r="AR100" i="27"/>
  <c r="AS99" i="27"/>
  <c r="AS100" i="27"/>
  <c r="AU99" i="27"/>
  <c r="AU100" i="27"/>
  <c r="AV99" i="27"/>
  <c r="AW99" i="27" s="1"/>
  <c r="AV100" i="27"/>
  <c r="AW100" i="27" s="1"/>
  <c r="AX99" i="27"/>
  <c r="AX100" i="27"/>
  <c r="BA99" i="27"/>
  <c r="BA100" i="27"/>
  <c r="BB99" i="27"/>
  <c r="BB100" i="27"/>
  <c r="BE99" i="27"/>
  <c r="BE100" i="27"/>
  <c r="BF99" i="27"/>
  <c r="BF100" i="27"/>
  <c r="BI99" i="27"/>
  <c r="BJ99" i="27"/>
  <c r="BK99" i="27"/>
  <c r="BL99" i="27"/>
  <c r="BN99" i="27"/>
  <c r="M198" i="27" l="1"/>
  <c r="BD98" i="27"/>
  <c r="BN96" i="27"/>
  <c r="BL96" i="27"/>
  <c r="BJ96" i="27"/>
  <c r="BN94" i="27"/>
  <c r="BL94" i="27"/>
  <c r="BK94" i="27"/>
  <c r="BN92" i="27"/>
  <c r="BL92" i="27"/>
  <c r="BK92" i="27"/>
  <c r="M98" i="27"/>
  <c r="BD96" i="27"/>
  <c r="M96" i="27"/>
  <c r="BD94" i="27"/>
  <c r="BD99" i="27"/>
  <c r="M94" i="27"/>
  <c r="BD92" i="27"/>
  <c r="M92" i="27"/>
  <c r="BD100" i="27"/>
  <c r="M100" i="27"/>
  <c r="M99" i="27"/>
  <c r="BL100" i="27"/>
  <c r="BJ100" i="27"/>
  <c r="BN100" i="27"/>
  <c r="BK100" i="27"/>
  <c r="I195" i="27" l="1"/>
  <c r="BI195" i="27" s="1"/>
  <c r="J195" i="27"/>
  <c r="K195" i="27"/>
  <c r="L195" i="27"/>
  <c r="A195" i="27" s="1"/>
  <c r="N195" i="27"/>
  <c r="O195" i="27" s="1"/>
  <c r="AM195" i="27"/>
  <c r="AO195" i="27" s="1"/>
  <c r="AN195" i="27"/>
  <c r="AQ195" i="27"/>
  <c r="AS195" i="27" s="1"/>
  <c r="AR195" i="27"/>
  <c r="AU195" i="27"/>
  <c r="AV195" i="27"/>
  <c r="AW195" i="27" s="1"/>
  <c r="AX195" i="27"/>
  <c r="BA195" i="27"/>
  <c r="BB195" i="27"/>
  <c r="BE195" i="27"/>
  <c r="BF195" i="27"/>
  <c r="BJ195" i="27"/>
  <c r="BL195" i="27" l="1"/>
  <c r="BD195" i="27"/>
  <c r="BK195" i="27"/>
  <c r="BN195" i="27"/>
  <c r="M195" i="27"/>
  <c r="F2" i="36" l="1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I117" i="27"/>
  <c r="BJ117" i="27" s="1"/>
  <c r="J117" i="27"/>
  <c r="K117" i="27"/>
  <c r="L117" i="27"/>
  <c r="A117" i="27" s="1"/>
  <c r="N117" i="27"/>
  <c r="O117" i="27" s="1"/>
  <c r="AM117" i="27"/>
  <c r="AO117" i="27" s="1"/>
  <c r="AN117" i="27"/>
  <c r="AQ117" i="27"/>
  <c r="AS117" i="27" s="1"/>
  <c r="AR117" i="27"/>
  <c r="AU117" i="27"/>
  <c r="AV117" i="27"/>
  <c r="AW117" i="27" s="1"/>
  <c r="AX117" i="27"/>
  <c r="BA117" i="27"/>
  <c r="BB117" i="27"/>
  <c r="BE117" i="27"/>
  <c r="BF117" i="27"/>
  <c r="I187" i="27"/>
  <c r="BK187" i="27" s="1"/>
  <c r="J187" i="27"/>
  <c r="K187" i="27"/>
  <c r="L187" i="27"/>
  <c r="A187" i="27" s="1"/>
  <c r="N187" i="27"/>
  <c r="O187" i="27" s="1"/>
  <c r="AM187" i="27"/>
  <c r="AO187" i="27" s="1"/>
  <c r="AN187" i="27"/>
  <c r="AQ187" i="27"/>
  <c r="AS187" i="27" s="1"/>
  <c r="AR187" i="27"/>
  <c r="AU187" i="27"/>
  <c r="AV187" i="27"/>
  <c r="AW187" i="27" s="1"/>
  <c r="AX187" i="27"/>
  <c r="BA187" i="27"/>
  <c r="BB187" i="27"/>
  <c r="BE187" i="27"/>
  <c r="BF187" i="27"/>
  <c r="I190" i="27"/>
  <c r="BJ190" i="27" s="1"/>
  <c r="J190" i="27"/>
  <c r="K190" i="27"/>
  <c r="L190" i="27"/>
  <c r="A190" i="27" s="1"/>
  <c r="N190" i="27"/>
  <c r="O190" i="27" s="1"/>
  <c r="AM190" i="27"/>
  <c r="AO190" i="27" s="1"/>
  <c r="AN190" i="27"/>
  <c r="AQ190" i="27"/>
  <c r="AS190" i="27" s="1"/>
  <c r="AR190" i="27"/>
  <c r="AU190" i="27"/>
  <c r="AV190" i="27"/>
  <c r="AW190" i="27" s="1"/>
  <c r="AX190" i="27"/>
  <c r="BA190" i="27"/>
  <c r="BB190" i="27"/>
  <c r="BE190" i="27"/>
  <c r="BF190" i="27"/>
  <c r="BI117" i="27" l="1"/>
  <c r="BI187" i="27"/>
  <c r="BI190" i="27"/>
  <c r="BN117" i="27"/>
  <c r="BL117" i="27"/>
  <c r="BK117" i="27"/>
  <c r="BD117" i="27"/>
  <c r="M117" i="27"/>
  <c r="BN187" i="27"/>
  <c r="BL187" i="27"/>
  <c r="BJ187" i="27"/>
  <c r="BN190" i="27"/>
  <c r="BD187" i="27"/>
  <c r="M187" i="27"/>
  <c r="BL190" i="27"/>
  <c r="BK190" i="27"/>
  <c r="BD190" i="27"/>
  <c r="M190" i="27"/>
  <c r="I205" i="27"/>
  <c r="I204" i="27"/>
  <c r="I203" i="27"/>
  <c r="I202" i="27"/>
  <c r="I201" i="27"/>
  <c r="I200" i="27"/>
  <c r="I199" i="27"/>
  <c r="I197" i="27"/>
  <c r="I196" i="27"/>
  <c r="I194" i="27"/>
  <c r="I193" i="27"/>
  <c r="I192" i="27"/>
  <c r="I191" i="27"/>
  <c r="I189" i="27"/>
  <c r="I188" i="27"/>
  <c r="I186" i="27"/>
  <c r="I185" i="27"/>
  <c r="I184" i="27"/>
  <c r="I183" i="27"/>
  <c r="I182" i="27"/>
  <c r="I181" i="27"/>
  <c r="I180" i="27"/>
  <c r="I179" i="27"/>
  <c r="I178" i="27"/>
  <c r="I177" i="27"/>
  <c r="I176" i="27"/>
  <c r="I175" i="27"/>
  <c r="I174" i="27"/>
  <c r="I173" i="27"/>
  <c r="I172" i="27"/>
  <c r="I171" i="27"/>
  <c r="I170" i="27"/>
  <c r="I169" i="27"/>
  <c r="I168" i="27"/>
  <c r="I167" i="27"/>
  <c r="I166" i="27"/>
  <c r="I165" i="27"/>
  <c r="I164" i="27"/>
  <c r="I163" i="27"/>
  <c r="I162" i="27"/>
  <c r="I161" i="27"/>
  <c r="I160" i="27"/>
  <c r="I159" i="27"/>
  <c r="I158" i="27"/>
  <c r="I157" i="27"/>
  <c r="I156" i="27"/>
  <c r="I155" i="27"/>
  <c r="I154" i="27"/>
  <c r="I153" i="27"/>
  <c r="I152" i="27"/>
  <c r="I151" i="27"/>
  <c r="BI151" i="27" s="1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I136" i="27"/>
  <c r="I135" i="27"/>
  <c r="I134" i="27"/>
  <c r="I133" i="27"/>
  <c r="I132" i="27"/>
  <c r="I131" i="27"/>
  <c r="I130" i="27"/>
  <c r="I129" i="27"/>
  <c r="I128" i="27"/>
  <c r="I127" i="27"/>
  <c r="I126" i="27"/>
  <c r="I125" i="27"/>
  <c r="I124" i="27"/>
  <c r="I123" i="27"/>
  <c r="I122" i="27"/>
  <c r="I121" i="27"/>
  <c r="I120" i="27"/>
  <c r="I119" i="27"/>
  <c r="I118" i="27"/>
  <c r="I116" i="27"/>
  <c r="I115" i="27"/>
  <c r="I114" i="27"/>
  <c r="I113" i="27"/>
  <c r="I112" i="27"/>
  <c r="I111" i="27"/>
  <c r="I110" i="27"/>
  <c r="I109" i="27"/>
  <c r="I108" i="27"/>
  <c r="I107" i="27"/>
  <c r="I106" i="27"/>
  <c r="I105" i="27"/>
  <c r="I104" i="27"/>
  <c r="I103" i="27"/>
  <c r="I102" i="27"/>
  <c r="I101" i="27"/>
  <c r="I97" i="27"/>
  <c r="I95" i="27"/>
  <c r="I93" i="27"/>
  <c r="I91" i="27"/>
  <c r="I90" i="27"/>
  <c r="I89" i="27"/>
  <c r="I88" i="27"/>
  <c r="I87" i="27"/>
  <c r="I86" i="27"/>
  <c r="I85" i="27"/>
  <c r="I84" i="27"/>
  <c r="I83" i="27"/>
  <c r="I82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60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J151" i="27"/>
  <c r="K151" i="27"/>
  <c r="L151" i="27"/>
  <c r="A151" i="27" s="1"/>
  <c r="N151" i="27"/>
  <c r="O151" i="27" s="1"/>
  <c r="AM151" i="27"/>
  <c r="AO151" i="27" s="1"/>
  <c r="AN151" i="27"/>
  <c r="AQ151" i="27"/>
  <c r="AS151" i="27" s="1"/>
  <c r="AR151" i="27"/>
  <c r="AU151" i="27"/>
  <c r="AV151" i="27"/>
  <c r="AW151" i="27" s="1"/>
  <c r="AX151" i="27"/>
  <c r="BA151" i="27"/>
  <c r="BB151" i="27"/>
  <c r="BE151" i="27"/>
  <c r="BF151" i="27"/>
  <c r="BK151" i="27" l="1"/>
  <c r="BL151" i="27"/>
  <c r="BJ151" i="27"/>
  <c r="BN151" i="27"/>
  <c r="BD151" i="27"/>
  <c r="M151" i="27"/>
  <c r="AX6" i="27" l="1"/>
  <c r="AX7" i="27"/>
  <c r="AX8" i="27"/>
  <c r="AX9" i="27"/>
  <c r="AX10" i="27"/>
  <c r="AX11" i="27"/>
  <c r="AX12" i="27"/>
  <c r="AX13" i="27"/>
  <c r="AX14" i="27"/>
  <c r="AX15" i="27"/>
  <c r="AX16" i="27"/>
  <c r="AX17" i="27"/>
  <c r="AX18" i="27"/>
  <c r="AX19" i="27"/>
  <c r="AX20" i="27"/>
  <c r="AX21" i="27"/>
  <c r="AX22" i="27"/>
  <c r="AX23" i="27"/>
  <c r="AX24" i="27"/>
  <c r="AX25" i="27"/>
  <c r="AX26" i="27"/>
  <c r="AX27" i="27"/>
  <c r="AX28" i="27"/>
  <c r="AX29" i="27"/>
  <c r="AX30" i="27"/>
  <c r="AX31" i="27"/>
  <c r="AX32" i="27"/>
  <c r="AX33" i="27"/>
  <c r="AX34" i="27"/>
  <c r="AX35" i="27"/>
  <c r="AX36" i="27"/>
  <c r="AX37" i="27"/>
  <c r="AX38" i="27"/>
  <c r="AX39" i="27"/>
  <c r="AX40" i="27"/>
  <c r="AX41" i="27"/>
  <c r="AX42" i="27"/>
  <c r="AX43" i="27"/>
  <c r="AX44" i="27"/>
  <c r="AX45" i="27"/>
  <c r="AX46" i="27"/>
  <c r="AX47" i="27"/>
  <c r="AX48" i="27"/>
  <c r="AX49" i="27"/>
  <c r="AX50" i="27"/>
  <c r="AX51" i="27"/>
  <c r="AX52" i="27"/>
  <c r="AX53" i="27"/>
  <c r="AX54" i="27"/>
  <c r="AX55" i="27"/>
  <c r="AX56" i="27"/>
  <c r="AX57" i="27"/>
  <c r="AX58" i="27"/>
  <c r="AX59" i="27"/>
  <c r="AX60" i="27"/>
  <c r="AX61" i="27"/>
  <c r="AX62" i="27"/>
  <c r="AX63" i="27"/>
  <c r="AX64" i="27"/>
  <c r="AX65" i="27"/>
  <c r="AX66" i="27"/>
  <c r="AX67" i="27"/>
  <c r="AX68" i="27"/>
  <c r="AX69" i="27"/>
  <c r="AX70" i="27"/>
  <c r="AX71" i="27"/>
  <c r="AX72" i="27"/>
  <c r="AX73" i="27"/>
  <c r="AX74" i="27"/>
  <c r="AX75" i="27"/>
  <c r="AX76" i="27"/>
  <c r="AX77" i="27"/>
  <c r="AX78" i="27"/>
  <c r="AX79" i="27"/>
  <c r="AX80" i="27"/>
  <c r="AX81" i="27"/>
  <c r="AX82" i="27"/>
  <c r="AX83" i="27"/>
  <c r="AX84" i="27"/>
  <c r="AX85" i="27"/>
  <c r="AX86" i="27"/>
  <c r="AX87" i="27"/>
  <c r="AX88" i="27"/>
  <c r="AX89" i="27"/>
  <c r="AX90" i="27"/>
  <c r="AX91" i="27"/>
  <c r="AX93" i="27"/>
  <c r="AX95" i="27"/>
  <c r="AX97" i="27"/>
  <c r="AX101" i="27"/>
  <c r="AX102" i="27"/>
  <c r="AX103" i="27"/>
  <c r="AX104" i="27"/>
  <c r="AX105" i="27"/>
  <c r="AX106" i="27"/>
  <c r="AX107" i="27"/>
  <c r="AX108" i="27"/>
  <c r="AX109" i="27"/>
  <c r="AX110" i="27"/>
  <c r="AX111" i="27"/>
  <c r="AX112" i="27"/>
  <c r="AX113" i="27"/>
  <c r="AX114" i="27"/>
  <c r="AX115" i="27"/>
  <c r="AX116" i="27"/>
  <c r="AX118" i="27"/>
  <c r="AX119" i="27"/>
  <c r="AX120" i="27"/>
  <c r="AX121" i="27"/>
  <c r="AX122" i="27"/>
  <c r="AX123" i="27"/>
  <c r="AX124" i="27"/>
  <c r="AX125" i="27"/>
  <c r="AX126" i="27"/>
  <c r="AX127" i="27"/>
  <c r="AX128" i="27"/>
  <c r="AX129" i="27"/>
  <c r="AX130" i="27"/>
  <c r="AX131" i="27"/>
  <c r="AX132" i="27"/>
  <c r="AX133" i="27"/>
  <c r="AX134" i="27"/>
  <c r="AX135" i="27"/>
  <c r="AX136" i="27"/>
  <c r="AX137" i="27"/>
  <c r="AX138" i="27"/>
  <c r="AX139" i="27"/>
  <c r="AX140" i="27"/>
  <c r="AX141" i="27"/>
  <c r="AX142" i="27"/>
  <c r="AX143" i="27"/>
  <c r="AX144" i="27"/>
  <c r="AX145" i="27"/>
  <c r="AX146" i="27"/>
  <c r="AX147" i="27"/>
  <c r="AX148" i="27"/>
  <c r="AX149" i="27"/>
  <c r="AX150" i="27"/>
  <c r="AX152" i="27"/>
  <c r="AX153" i="27"/>
  <c r="AX154" i="27"/>
  <c r="AX155" i="27"/>
  <c r="AX156" i="27"/>
  <c r="AX157" i="27"/>
  <c r="AX158" i="27"/>
  <c r="AX159" i="27"/>
  <c r="AX160" i="27"/>
  <c r="AX161" i="27"/>
  <c r="AX162" i="27"/>
  <c r="AX163" i="27"/>
  <c r="AX164" i="27"/>
  <c r="AX165" i="27"/>
  <c r="AX166" i="27"/>
  <c r="AX167" i="27"/>
  <c r="AX168" i="27"/>
  <c r="AX169" i="27"/>
  <c r="AX170" i="27"/>
  <c r="AX171" i="27"/>
  <c r="AX172" i="27"/>
  <c r="AX173" i="27"/>
  <c r="AX174" i="27"/>
  <c r="AX175" i="27"/>
  <c r="AX176" i="27"/>
  <c r="AX177" i="27"/>
  <c r="AX178" i="27"/>
  <c r="AX179" i="27"/>
  <c r="AX180" i="27"/>
  <c r="AX181" i="27"/>
  <c r="AX182" i="27"/>
  <c r="AX183" i="27"/>
  <c r="AX184" i="27"/>
  <c r="AX185" i="27"/>
  <c r="AX186" i="27"/>
  <c r="AX188" i="27"/>
  <c r="AX189" i="27"/>
  <c r="AX191" i="27"/>
  <c r="AX192" i="27"/>
  <c r="AX193" i="27"/>
  <c r="AX194" i="27"/>
  <c r="AX196" i="27"/>
  <c r="AX197" i="27"/>
  <c r="AX199" i="27"/>
  <c r="AX200" i="27"/>
  <c r="AX201" i="27"/>
  <c r="AX202" i="27"/>
  <c r="AX203" i="27"/>
  <c r="AX204" i="27"/>
  <c r="AX205" i="27"/>
  <c r="BK78" i="27" l="1"/>
  <c r="J78" i="27"/>
  <c r="K78" i="27"/>
  <c r="L78" i="27"/>
  <c r="A78" i="27" s="1"/>
  <c r="N78" i="27"/>
  <c r="O78" i="27" s="1"/>
  <c r="AM78" i="27"/>
  <c r="AO78" i="27" s="1"/>
  <c r="AN78" i="27"/>
  <c r="AQ78" i="27"/>
  <c r="AS78" i="27" s="1"/>
  <c r="AR78" i="27"/>
  <c r="AU78" i="27"/>
  <c r="AV78" i="27"/>
  <c r="AW78" i="27" s="1"/>
  <c r="BA78" i="27"/>
  <c r="BB78" i="27"/>
  <c r="BE78" i="27"/>
  <c r="BF78" i="27"/>
  <c r="BN115" i="27"/>
  <c r="J115" i="27"/>
  <c r="K115" i="27"/>
  <c r="L115" i="27"/>
  <c r="A115" i="27" s="1"/>
  <c r="N115" i="27"/>
  <c r="O115" i="27" s="1"/>
  <c r="AM115" i="27"/>
  <c r="AO115" i="27" s="1"/>
  <c r="AN115" i="27"/>
  <c r="AQ115" i="27"/>
  <c r="AS115" i="27" s="1"/>
  <c r="AR115" i="27"/>
  <c r="AU115" i="27"/>
  <c r="AV115" i="27"/>
  <c r="AW115" i="27" s="1"/>
  <c r="BA115" i="27"/>
  <c r="BB115" i="27"/>
  <c r="BE115" i="27"/>
  <c r="BF115" i="27"/>
  <c r="N157" i="27"/>
  <c r="O157" i="27" s="1"/>
  <c r="L157" i="27"/>
  <c r="BD157" i="27" s="1"/>
  <c r="K157" i="27"/>
  <c r="J157" i="27"/>
  <c r="BI157" i="27"/>
  <c r="AM157" i="27"/>
  <c r="AO157" i="27" s="1"/>
  <c r="AN157" i="27"/>
  <c r="AQ157" i="27"/>
  <c r="AS157" i="27" s="1"/>
  <c r="AR157" i="27"/>
  <c r="AU157" i="27"/>
  <c r="AV157" i="27"/>
  <c r="AW157" i="27" s="1"/>
  <c r="BA157" i="27"/>
  <c r="BB157" i="27"/>
  <c r="BE157" i="27"/>
  <c r="BF157" i="27"/>
  <c r="BJ78" i="27" l="1"/>
  <c r="BI78" i="27"/>
  <c r="BN78" i="27"/>
  <c r="BK115" i="27"/>
  <c r="BL115" i="27"/>
  <c r="BL78" i="27"/>
  <c r="BD78" i="27"/>
  <c r="BI115" i="27"/>
  <c r="M78" i="27"/>
  <c r="BJ115" i="27"/>
  <c r="M115" i="27"/>
  <c r="BD115" i="27"/>
  <c r="BL157" i="27"/>
  <c r="BK157" i="27"/>
  <c r="BJ157" i="27"/>
  <c r="BN157" i="27"/>
  <c r="M157" i="27"/>
  <c r="A157" i="27"/>
  <c r="N189" i="27"/>
  <c r="BL106" i="27"/>
  <c r="J106" i="27"/>
  <c r="K106" i="27"/>
  <c r="L106" i="27"/>
  <c r="A106" i="27" s="1"/>
  <c r="N106" i="27"/>
  <c r="O106" i="27" s="1"/>
  <c r="AM106" i="27"/>
  <c r="AO106" i="27" s="1"/>
  <c r="AN106" i="27"/>
  <c r="AQ106" i="27"/>
  <c r="AS106" i="27" s="1"/>
  <c r="AR106" i="27"/>
  <c r="AU106" i="27"/>
  <c r="AV106" i="27"/>
  <c r="AW106" i="27" s="1"/>
  <c r="BA106" i="27"/>
  <c r="BB106" i="27"/>
  <c r="BE106" i="27"/>
  <c r="BF106" i="27"/>
  <c r="BJ106" i="27" l="1"/>
  <c r="BK106" i="27"/>
  <c r="BN106" i="27"/>
  <c r="BI106" i="27"/>
  <c r="BD106" i="27"/>
  <c r="M106" i="27"/>
  <c r="N171" i="27" l="1"/>
  <c r="O171" i="27" s="1"/>
  <c r="N172" i="27"/>
  <c r="O172" i="27" s="1"/>
  <c r="L171" i="27"/>
  <c r="A171" i="27" s="1"/>
  <c r="L172" i="27"/>
  <c r="A172" i="27" s="1"/>
  <c r="K171" i="27"/>
  <c r="K172" i="27"/>
  <c r="J171" i="27"/>
  <c r="J172" i="27"/>
  <c r="J173" i="27"/>
  <c r="J174" i="27"/>
  <c r="J175" i="27"/>
  <c r="J176" i="27"/>
  <c r="J177" i="27"/>
  <c r="J178" i="27"/>
  <c r="J179" i="27"/>
  <c r="J180" i="27"/>
  <c r="J181" i="27"/>
  <c r="J182" i="27"/>
  <c r="J183" i="27"/>
  <c r="J184" i="27"/>
  <c r="J185" i="27"/>
  <c r="J186" i="27"/>
  <c r="J188" i="27"/>
  <c r="J189" i="27"/>
  <c r="J191" i="27"/>
  <c r="J192" i="27"/>
  <c r="J193" i="27"/>
  <c r="J194" i="27"/>
  <c r="J196" i="27"/>
  <c r="J197" i="27"/>
  <c r="J199" i="27"/>
  <c r="J200" i="27"/>
  <c r="J201" i="27"/>
  <c r="J202" i="27"/>
  <c r="J203" i="27"/>
  <c r="J204" i="27"/>
  <c r="J205" i="27"/>
  <c r="AM172" i="27"/>
  <c r="AO172" i="27" s="1"/>
  <c r="AN172" i="27"/>
  <c r="AQ172" i="27"/>
  <c r="AS172" i="27" s="1"/>
  <c r="AR172" i="27"/>
  <c r="AU172" i="27"/>
  <c r="AV172" i="27"/>
  <c r="AW172" i="27" s="1"/>
  <c r="BA172" i="27"/>
  <c r="BB172" i="27"/>
  <c r="BE172" i="27"/>
  <c r="BF172" i="27"/>
  <c r="BI172" i="27"/>
  <c r="BJ172" i="27"/>
  <c r="BK172" i="27"/>
  <c r="BL172" i="27"/>
  <c r="BN172" i="27"/>
  <c r="AM171" i="27"/>
  <c r="AO171" i="27" s="1"/>
  <c r="AN171" i="27"/>
  <c r="AQ171" i="27"/>
  <c r="AS171" i="27" s="1"/>
  <c r="AR171" i="27"/>
  <c r="AU171" i="27"/>
  <c r="AV171" i="27"/>
  <c r="AW171" i="27" s="1"/>
  <c r="BA171" i="27"/>
  <c r="BB171" i="27"/>
  <c r="BE171" i="27"/>
  <c r="BF171" i="27"/>
  <c r="BI171" i="27"/>
  <c r="BJ171" i="27"/>
  <c r="BK171" i="27"/>
  <c r="BL171" i="27"/>
  <c r="BN171" i="27"/>
  <c r="BD172" i="27" l="1"/>
  <c r="M172" i="27"/>
  <c r="BD171" i="27"/>
  <c r="M171" i="27"/>
  <c r="BJ113" i="27"/>
  <c r="J113" i="27"/>
  <c r="K113" i="27"/>
  <c r="L113" i="27"/>
  <c r="M113" i="27" s="1"/>
  <c r="N113" i="27"/>
  <c r="O113" i="27" s="1"/>
  <c r="AM113" i="27"/>
  <c r="AO113" i="27" s="1"/>
  <c r="AN113" i="27"/>
  <c r="AQ113" i="27"/>
  <c r="AS113" i="27" s="1"/>
  <c r="AR113" i="27"/>
  <c r="AU113" i="27"/>
  <c r="AV113" i="27"/>
  <c r="AW113" i="27" s="1"/>
  <c r="BA113" i="27"/>
  <c r="BB113" i="27"/>
  <c r="BE113" i="27"/>
  <c r="BF113" i="27"/>
  <c r="BI113" i="27"/>
  <c r="L77" i="27"/>
  <c r="A77" i="27" s="1"/>
  <c r="K77" i="27"/>
  <c r="J77" i="27"/>
  <c r="BI77" i="27"/>
  <c r="N77" i="27"/>
  <c r="O77" i="27" s="1"/>
  <c r="AM77" i="27"/>
  <c r="AO77" i="27" s="1"/>
  <c r="AN77" i="27"/>
  <c r="AQ77" i="27"/>
  <c r="AS77" i="27" s="1"/>
  <c r="AR77" i="27"/>
  <c r="AU77" i="27"/>
  <c r="AV77" i="27"/>
  <c r="AW77" i="27" s="1"/>
  <c r="BA77" i="27"/>
  <c r="BB77" i="27"/>
  <c r="BE77" i="27"/>
  <c r="BF77" i="27"/>
  <c r="N118" i="27"/>
  <c r="O118" i="27" s="1"/>
  <c r="L118" i="27"/>
  <c r="BD118" i="27" s="1"/>
  <c r="K118" i="27"/>
  <c r="BK118" i="27"/>
  <c r="AM118" i="27"/>
  <c r="AO118" i="27" s="1"/>
  <c r="AN118" i="27"/>
  <c r="AQ118" i="27"/>
  <c r="AS118" i="27" s="1"/>
  <c r="AR118" i="27"/>
  <c r="AU118" i="27"/>
  <c r="AV118" i="27"/>
  <c r="AW118" i="27" s="1"/>
  <c r="BA118" i="27"/>
  <c r="BB118" i="27"/>
  <c r="BE118" i="27"/>
  <c r="BF118" i="27"/>
  <c r="BI205" i="27"/>
  <c r="K205" i="27"/>
  <c r="L205" i="27"/>
  <c r="A205" i="27" s="1"/>
  <c r="N205" i="27"/>
  <c r="O205" i="27" s="1"/>
  <c r="AM205" i="27"/>
  <c r="AO205" i="27" s="1"/>
  <c r="AN205" i="27"/>
  <c r="AQ205" i="27"/>
  <c r="AS205" i="27" s="1"/>
  <c r="AR205" i="27"/>
  <c r="AU205" i="27"/>
  <c r="AV205" i="27"/>
  <c r="AW205" i="27" s="1"/>
  <c r="BA205" i="27"/>
  <c r="BB205" i="27"/>
  <c r="BE205" i="27"/>
  <c r="BF205" i="27"/>
  <c r="BD113" i="27" l="1"/>
  <c r="A113" i="27"/>
  <c r="BN113" i="27"/>
  <c r="BL113" i="27"/>
  <c r="BK113" i="27"/>
  <c r="BI118" i="27"/>
  <c r="BL77" i="27"/>
  <c r="BJ77" i="27"/>
  <c r="BK77" i="27"/>
  <c r="BN77" i="27"/>
  <c r="BD77" i="27"/>
  <c r="M77" i="27"/>
  <c r="BN118" i="27"/>
  <c r="BJ118" i="27"/>
  <c r="BL118" i="27"/>
  <c r="A118" i="27"/>
  <c r="BJ205" i="27"/>
  <c r="BL205" i="27"/>
  <c r="M118" i="27"/>
  <c r="BK205" i="27"/>
  <c r="BD205" i="27"/>
  <c r="BN205" i="27"/>
  <c r="M205" i="27"/>
  <c r="N127" i="27"/>
  <c r="O127" i="27" s="1"/>
  <c r="L127" i="27"/>
  <c r="A127" i="27" s="1"/>
  <c r="K127" i="27"/>
  <c r="J127" i="27"/>
  <c r="BI127" i="27"/>
  <c r="AM127" i="27"/>
  <c r="AO127" i="27" s="1"/>
  <c r="AN127" i="27"/>
  <c r="AQ127" i="27"/>
  <c r="AS127" i="27" s="1"/>
  <c r="AR127" i="27"/>
  <c r="AU127" i="27"/>
  <c r="AV127" i="27"/>
  <c r="AW127" i="27" s="1"/>
  <c r="BA127" i="27"/>
  <c r="BB127" i="27"/>
  <c r="BE127" i="27"/>
  <c r="BF127" i="27"/>
  <c r="BL127" i="27" l="1"/>
  <c r="BK127" i="27"/>
  <c r="BJ127" i="27"/>
  <c r="BN127" i="27"/>
  <c r="BD127" i="27"/>
  <c r="M127" i="27"/>
  <c r="L153" i="27"/>
  <c r="A153" i="27" s="1"/>
  <c r="L154" i="27"/>
  <c r="A154" i="27" s="1"/>
  <c r="K153" i="27"/>
  <c r="K154" i="27"/>
  <c r="BL104" i="27"/>
  <c r="BL153" i="27"/>
  <c r="BK154" i="27"/>
  <c r="L104" i="27"/>
  <c r="A104" i="27" s="1"/>
  <c r="K104" i="27"/>
  <c r="J104" i="27"/>
  <c r="N104" i="27"/>
  <c r="O104" i="27" s="1"/>
  <c r="AM104" i="27"/>
  <c r="AO104" i="27" s="1"/>
  <c r="AN104" i="27"/>
  <c r="AQ104" i="27"/>
  <c r="AS104" i="27" s="1"/>
  <c r="AR104" i="27"/>
  <c r="AU104" i="27"/>
  <c r="AV104" i="27"/>
  <c r="AW104" i="27" s="1"/>
  <c r="BA104" i="27"/>
  <c r="BB104" i="27"/>
  <c r="BE104" i="27"/>
  <c r="BF104" i="27"/>
  <c r="N154" i="27"/>
  <c r="O154" i="27" s="1"/>
  <c r="AM154" i="27"/>
  <c r="AO154" i="27" s="1"/>
  <c r="AN154" i="27"/>
  <c r="AQ154" i="27"/>
  <c r="AS154" i="27" s="1"/>
  <c r="AR154" i="27"/>
  <c r="AU154" i="27"/>
  <c r="AV154" i="27"/>
  <c r="AW154" i="27" s="1"/>
  <c r="BA154" i="27"/>
  <c r="BB154" i="27"/>
  <c r="BE154" i="27"/>
  <c r="BF154" i="27"/>
  <c r="N153" i="27"/>
  <c r="O153" i="27" s="1"/>
  <c r="AM153" i="27"/>
  <c r="AO153" i="27" s="1"/>
  <c r="AN153" i="27"/>
  <c r="AQ153" i="27"/>
  <c r="AS153" i="27" s="1"/>
  <c r="AR153" i="27"/>
  <c r="AU153" i="27"/>
  <c r="AV153" i="27"/>
  <c r="AW153" i="27" s="1"/>
  <c r="BA153" i="27"/>
  <c r="BB153" i="27"/>
  <c r="BE153" i="27"/>
  <c r="BF153" i="27"/>
  <c r="BJ104" i="27" l="1"/>
  <c r="BI153" i="27"/>
  <c r="BJ153" i="27"/>
  <c r="BN153" i="27"/>
  <c r="BK153" i="27"/>
  <c r="BK104" i="27"/>
  <c r="BN154" i="27"/>
  <c r="BI154" i="27"/>
  <c r="BJ154" i="27"/>
  <c r="BI104" i="27"/>
  <c r="BN104" i="27"/>
  <c r="BL154" i="27"/>
  <c r="BD104" i="27"/>
  <c r="M104" i="27"/>
  <c r="BD154" i="27"/>
  <c r="M154" i="27"/>
  <c r="BD153" i="27"/>
  <c r="M153" i="27"/>
  <c r="BJ129" i="27"/>
  <c r="J129" i="27"/>
  <c r="K129" i="27"/>
  <c r="L129" i="27"/>
  <c r="A129" i="27" s="1"/>
  <c r="N129" i="27"/>
  <c r="O129" i="27" s="1"/>
  <c r="AM129" i="27"/>
  <c r="AO129" i="27" s="1"/>
  <c r="AN129" i="27"/>
  <c r="AQ129" i="27"/>
  <c r="AS129" i="27" s="1"/>
  <c r="AR129" i="27"/>
  <c r="AU129" i="27"/>
  <c r="AV129" i="27"/>
  <c r="AW129" i="27" s="1"/>
  <c r="BA129" i="27"/>
  <c r="BB129" i="27"/>
  <c r="BE129" i="27"/>
  <c r="BF129" i="27"/>
  <c r="BJ130" i="27"/>
  <c r="J130" i="27"/>
  <c r="K130" i="27"/>
  <c r="L130" i="27"/>
  <c r="A130" i="27" s="1"/>
  <c r="N130" i="27"/>
  <c r="O130" i="27" s="1"/>
  <c r="AM130" i="27"/>
  <c r="AO130" i="27" s="1"/>
  <c r="AN130" i="27"/>
  <c r="AQ130" i="27"/>
  <c r="AS130" i="27" s="1"/>
  <c r="AR130" i="27"/>
  <c r="AU130" i="27"/>
  <c r="AV130" i="27"/>
  <c r="AW130" i="27" s="1"/>
  <c r="BA130" i="27"/>
  <c r="BB130" i="27"/>
  <c r="BE130" i="27"/>
  <c r="BF130" i="27"/>
  <c r="BI129" i="27" l="1"/>
  <c r="BI130" i="27"/>
  <c r="BN129" i="27"/>
  <c r="BL129" i="27"/>
  <c r="BK129" i="27"/>
  <c r="BN130" i="27"/>
  <c r="BL130" i="27"/>
  <c r="BK130" i="27"/>
  <c r="BD130" i="27"/>
  <c r="BD129" i="27"/>
  <c r="M130" i="27"/>
  <c r="M129" i="27"/>
  <c r="BK103" i="27" l="1"/>
  <c r="J103" i="27"/>
  <c r="K103" i="27"/>
  <c r="L103" i="27"/>
  <c r="A103" i="27" s="1"/>
  <c r="N103" i="27"/>
  <c r="O103" i="27" s="1"/>
  <c r="AM103" i="27"/>
  <c r="AO103" i="27" s="1"/>
  <c r="AN103" i="27"/>
  <c r="AQ103" i="27"/>
  <c r="AS103" i="27" s="1"/>
  <c r="AR103" i="27"/>
  <c r="AU103" i="27"/>
  <c r="AV103" i="27"/>
  <c r="AW103" i="27" s="1"/>
  <c r="BA103" i="27"/>
  <c r="BB103" i="27"/>
  <c r="BE103" i="27"/>
  <c r="BF103" i="27"/>
  <c r="BJ103" i="27" l="1"/>
  <c r="BI103" i="27"/>
  <c r="BN103" i="27"/>
  <c r="BL103" i="27"/>
  <c r="BD103" i="27"/>
  <c r="M103" i="27"/>
  <c r="BK176" i="27"/>
  <c r="K176" i="27"/>
  <c r="L176" i="27"/>
  <c r="A176" i="27" s="1"/>
  <c r="N176" i="27"/>
  <c r="O176" i="27" s="1"/>
  <c r="AM176" i="27"/>
  <c r="AO176" i="27" s="1"/>
  <c r="AN176" i="27"/>
  <c r="AQ176" i="27"/>
  <c r="AS176" i="27" s="1"/>
  <c r="AR176" i="27"/>
  <c r="AU176" i="27"/>
  <c r="AV176" i="27"/>
  <c r="AW176" i="27" s="1"/>
  <c r="BA176" i="27"/>
  <c r="BB176" i="27"/>
  <c r="BE176" i="27"/>
  <c r="BF176" i="27"/>
  <c r="BN176" i="27" l="1"/>
  <c r="BI176" i="27"/>
  <c r="BJ176" i="27"/>
  <c r="BL176" i="27"/>
  <c r="BD176" i="27"/>
  <c r="M176" i="27"/>
  <c r="BK128" i="27"/>
  <c r="J128" i="27"/>
  <c r="K128" i="27"/>
  <c r="L128" i="27"/>
  <c r="A128" i="27" s="1"/>
  <c r="N128" i="27"/>
  <c r="O128" i="27" s="1"/>
  <c r="AM128" i="27"/>
  <c r="AO128" i="27" s="1"/>
  <c r="AN128" i="27"/>
  <c r="AQ128" i="27"/>
  <c r="AS128" i="27" s="1"/>
  <c r="AR128" i="27"/>
  <c r="AU128" i="27"/>
  <c r="AV128" i="27"/>
  <c r="AW128" i="27" s="1"/>
  <c r="BA128" i="27"/>
  <c r="BB128" i="27"/>
  <c r="BE128" i="27"/>
  <c r="BF128" i="27"/>
  <c r="BJ128" i="27" l="1"/>
  <c r="BI128" i="27"/>
  <c r="BN128" i="27"/>
  <c r="BL128" i="27"/>
  <c r="BD128" i="27"/>
  <c r="M128" i="27"/>
  <c r="BJ112" i="27"/>
  <c r="J112" i="27"/>
  <c r="K112" i="27"/>
  <c r="L112" i="27"/>
  <c r="A112" i="27" s="1"/>
  <c r="N112" i="27"/>
  <c r="O112" i="27" s="1"/>
  <c r="AM112" i="27"/>
  <c r="AO112" i="27" s="1"/>
  <c r="AN112" i="27"/>
  <c r="AQ112" i="27"/>
  <c r="AS112" i="27" s="1"/>
  <c r="AR112" i="27"/>
  <c r="AU112" i="27"/>
  <c r="AV112" i="27"/>
  <c r="AW112" i="27" s="1"/>
  <c r="BA112" i="27"/>
  <c r="BB112" i="27"/>
  <c r="BE112" i="27"/>
  <c r="BF112" i="27"/>
  <c r="BI112" i="27"/>
  <c r="BN112" i="27" l="1"/>
  <c r="BL112" i="27"/>
  <c r="BK112" i="27"/>
  <c r="BD112" i="27"/>
  <c r="M112" i="27"/>
  <c r="L31" i="27"/>
  <c r="BI34" i="27" l="1"/>
  <c r="K34" i="27"/>
  <c r="L34" i="27"/>
  <c r="A34" i="27" s="1"/>
  <c r="N34" i="27"/>
  <c r="O34" i="27" s="1"/>
  <c r="AM34" i="27"/>
  <c r="AO34" i="27" s="1"/>
  <c r="AN34" i="27"/>
  <c r="AQ34" i="27"/>
  <c r="AS34" i="27" s="1"/>
  <c r="AR34" i="27"/>
  <c r="AU34" i="27"/>
  <c r="AV34" i="27"/>
  <c r="AW34" i="27" s="1"/>
  <c r="BA34" i="27"/>
  <c r="BB34" i="27"/>
  <c r="BE34" i="27"/>
  <c r="BF34" i="27"/>
  <c r="BK31" i="27"/>
  <c r="J31" i="27"/>
  <c r="K31" i="27"/>
  <c r="A31" i="27"/>
  <c r="N31" i="27"/>
  <c r="O31" i="27" s="1"/>
  <c r="AM31" i="27"/>
  <c r="AO31" i="27" s="1"/>
  <c r="AN31" i="27"/>
  <c r="AQ31" i="27"/>
  <c r="AS31" i="27" s="1"/>
  <c r="AR31" i="27"/>
  <c r="AU31" i="27"/>
  <c r="AV31" i="27"/>
  <c r="AW31" i="27" s="1"/>
  <c r="BA31" i="27"/>
  <c r="BB31" i="27"/>
  <c r="BE31" i="27"/>
  <c r="BF31" i="27"/>
  <c r="BJ31" i="27" l="1"/>
  <c r="BK34" i="27"/>
  <c r="BJ34" i="27"/>
  <c r="BL34" i="27"/>
  <c r="BI31" i="27"/>
  <c r="BN34" i="27"/>
  <c r="BD34" i="27"/>
  <c r="M34" i="27"/>
  <c r="BN31" i="27"/>
  <c r="BL31" i="27"/>
  <c r="BD31" i="27"/>
  <c r="M31" i="27"/>
  <c r="J67" i="27"/>
  <c r="L102" i="27" l="1"/>
  <c r="A102" i="27" s="1"/>
  <c r="K102" i="27"/>
  <c r="J102" i="27"/>
  <c r="BL102" i="27"/>
  <c r="N102" i="27"/>
  <c r="O102" i="27" s="1"/>
  <c r="AM102" i="27"/>
  <c r="AO102" i="27" s="1"/>
  <c r="AN102" i="27"/>
  <c r="AQ102" i="27"/>
  <c r="AS102" i="27" s="1"/>
  <c r="AR102" i="27"/>
  <c r="AU102" i="27"/>
  <c r="AV102" i="27"/>
  <c r="AW102" i="27" s="1"/>
  <c r="BA102" i="27"/>
  <c r="BB102" i="27"/>
  <c r="BE102" i="27"/>
  <c r="BF102" i="27"/>
  <c r="BD102" i="27" l="1"/>
  <c r="M102" i="27"/>
  <c r="BK102" i="27"/>
  <c r="BN102" i="27"/>
  <c r="BI102" i="27"/>
  <c r="BJ102" i="27"/>
  <c r="BL67" i="27" l="1"/>
  <c r="K67" i="27"/>
  <c r="L67" i="27"/>
  <c r="A67" i="27" s="1"/>
  <c r="N67" i="27"/>
  <c r="O67" i="27" s="1"/>
  <c r="AM67" i="27"/>
  <c r="AO67" i="27" s="1"/>
  <c r="AN67" i="27"/>
  <c r="AQ67" i="27"/>
  <c r="AS67" i="27" s="1"/>
  <c r="AR67" i="27"/>
  <c r="AU67" i="27"/>
  <c r="AV67" i="27"/>
  <c r="AW67" i="27" s="1"/>
  <c r="BA67" i="27"/>
  <c r="BB67" i="27"/>
  <c r="BE67" i="27"/>
  <c r="BF67" i="27"/>
  <c r="BK67" i="27" l="1"/>
  <c r="BJ67" i="27"/>
  <c r="BN67" i="27"/>
  <c r="BI67" i="27"/>
  <c r="BD67" i="27"/>
  <c r="M67" i="27"/>
  <c r="K158" i="27"/>
  <c r="J158" i="27"/>
  <c r="L158" i="27"/>
  <c r="A158" i="27" s="1"/>
  <c r="N158" i="27"/>
  <c r="O158" i="27" s="1"/>
  <c r="AM158" i="27"/>
  <c r="AO158" i="27" s="1"/>
  <c r="AN158" i="27"/>
  <c r="AQ158" i="27"/>
  <c r="AS158" i="27" s="1"/>
  <c r="AR158" i="27"/>
  <c r="AU158" i="27"/>
  <c r="AV158" i="27"/>
  <c r="AW158" i="27" s="1"/>
  <c r="BA158" i="27"/>
  <c r="BB158" i="27"/>
  <c r="BE158" i="27"/>
  <c r="BF158" i="27"/>
  <c r="BI158" i="27"/>
  <c r="BJ158" i="27"/>
  <c r="BK158" i="27"/>
  <c r="BL158" i="27"/>
  <c r="BN158" i="27"/>
  <c r="BD158" i="27" l="1"/>
  <c r="M158" i="27"/>
  <c r="J15" i="27"/>
  <c r="K15" i="27"/>
  <c r="L15" i="27"/>
  <c r="A15" i="27" s="1"/>
  <c r="N15" i="27"/>
  <c r="O15" i="27" s="1"/>
  <c r="AM15" i="27"/>
  <c r="AO15" i="27" s="1"/>
  <c r="AN15" i="27"/>
  <c r="AQ15" i="27"/>
  <c r="AS15" i="27" s="1"/>
  <c r="AR15" i="27"/>
  <c r="AU15" i="27"/>
  <c r="AV15" i="27"/>
  <c r="AW15" i="27" s="1"/>
  <c r="BA15" i="27"/>
  <c r="BB15" i="27"/>
  <c r="BE15" i="27"/>
  <c r="BF15" i="27"/>
  <c r="BI15" i="27"/>
  <c r="BJ15" i="27"/>
  <c r="BK15" i="27"/>
  <c r="BL15" i="27"/>
  <c r="BN15" i="27"/>
  <c r="BD15" i="27" l="1"/>
  <c r="M15" i="27"/>
  <c r="N116" i="27"/>
  <c r="O116" i="27" s="1"/>
  <c r="L116" i="27"/>
  <c r="A116" i="27" s="1"/>
  <c r="K116" i="27"/>
  <c r="J116" i="27"/>
  <c r="BJ116" i="27"/>
  <c r="AM116" i="27"/>
  <c r="AO116" i="27" s="1"/>
  <c r="AN116" i="27"/>
  <c r="AQ116" i="27"/>
  <c r="AS116" i="27" s="1"/>
  <c r="AR116" i="27"/>
  <c r="AU116" i="27"/>
  <c r="AV116" i="27"/>
  <c r="AW116" i="27" s="1"/>
  <c r="BA116" i="27"/>
  <c r="BB116" i="27"/>
  <c r="BE116" i="27"/>
  <c r="BF116" i="27"/>
  <c r="BI116" i="27"/>
  <c r="BK116" i="27"/>
  <c r="BL116" i="27"/>
  <c r="BN116" i="27"/>
  <c r="M116" i="27" l="1"/>
  <c r="BD116" i="27"/>
  <c r="BN184" i="27"/>
  <c r="K184" i="27"/>
  <c r="L184" i="27"/>
  <c r="A184" i="27" s="1"/>
  <c r="N184" i="27"/>
  <c r="O184" i="27" s="1"/>
  <c r="AM184" i="27"/>
  <c r="AO184" i="27" s="1"/>
  <c r="AN184" i="27"/>
  <c r="AQ184" i="27"/>
  <c r="AS184" i="27" s="1"/>
  <c r="AR184" i="27"/>
  <c r="AU184" i="27"/>
  <c r="AV184" i="27"/>
  <c r="AW184" i="27" s="1"/>
  <c r="BA184" i="27"/>
  <c r="BB184" i="27"/>
  <c r="BE184" i="27"/>
  <c r="BF184" i="27"/>
  <c r="BI184" i="27" l="1"/>
  <c r="BJ184" i="27"/>
  <c r="BL184" i="27"/>
  <c r="BK184" i="27"/>
  <c r="M184" i="27"/>
  <c r="BD184" i="27"/>
  <c r="AM125" i="27" l="1"/>
  <c r="AQ125" i="27"/>
  <c r="BK97" i="27" l="1"/>
  <c r="J97" i="27"/>
  <c r="K97" i="27"/>
  <c r="L97" i="27"/>
  <c r="A97" i="27" s="1"/>
  <c r="N97" i="27"/>
  <c r="O97" i="27" s="1"/>
  <c r="AM97" i="27"/>
  <c r="AO97" i="27" s="1"/>
  <c r="AN97" i="27"/>
  <c r="AQ97" i="27"/>
  <c r="AS97" i="27" s="1"/>
  <c r="AR97" i="27"/>
  <c r="AU97" i="27"/>
  <c r="AV97" i="27"/>
  <c r="AW97" i="27" s="1"/>
  <c r="BA97" i="27"/>
  <c r="BB97" i="27"/>
  <c r="BE97" i="27"/>
  <c r="BF97" i="27"/>
  <c r="BL126" i="27"/>
  <c r="J126" i="27"/>
  <c r="K126" i="27"/>
  <c r="L126" i="27"/>
  <c r="A126" i="27" s="1"/>
  <c r="N126" i="27"/>
  <c r="O126" i="27" s="1"/>
  <c r="AM126" i="27"/>
  <c r="AO126" i="27" s="1"/>
  <c r="AN126" i="27"/>
  <c r="AQ126" i="27"/>
  <c r="AS126" i="27" s="1"/>
  <c r="AR126" i="27"/>
  <c r="AU126" i="27"/>
  <c r="AV126" i="27"/>
  <c r="AW126" i="27" s="1"/>
  <c r="BA126" i="27"/>
  <c r="BB126" i="27"/>
  <c r="BE126" i="27"/>
  <c r="BF126" i="27"/>
  <c r="BJ131" i="27"/>
  <c r="J131" i="27"/>
  <c r="K131" i="27"/>
  <c r="L131" i="27"/>
  <c r="A131" i="27" s="1"/>
  <c r="N131" i="27"/>
  <c r="O131" i="27" s="1"/>
  <c r="AM131" i="27"/>
  <c r="AO131" i="27" s="1"/>
  <c r="AN131" i="27"/>
  <c r="AQ131" i="27"/>
  <c r="AS131" i="27" s="1"/>
  <c r="AR131" i="27"/>
  <c r="AU131" i="27"/>
  <c r="AV131" i="27"/>
  <c r="AW131" i="27" s="1"/>
  <c r="BA131" i="27"/>
  <c r="BB131" i="27"/>
  <c r="BE131" i="27"/>
  <c r="BF131" i="27"/>
  <c r="BJ125" i="27"/>
  <c r="J125" i="27"/>
  <c r="K125" i="27"/>
  <c r="L125" i="27"/>
  <c r="A125" i="27" s="1"/>
  <c r="N125" i="27"/>
  <c r="O125" i="27" s="1"/>
  <c r="AO125" i="27"/>
  <c r="AN125" i="27"/>
  <c r="AS125" i="27"/>
  <c r="AR125" i="27"/>
  <c r="AU125" i="27"/>
  <c r="AV125" i="27"/>
  <c r="AW125" i="27" s="1"/>
  <c r="BA125" i="27"/>
  <c r="BB125" i="27"/>
  <c r="BE125" i="27"/>
  <c r="BF125" i="27"/>
  <c r="BI97" i="27" l="1"/>
  <c r="BI125" i="27"/>
  <c r="BJ97" i="27"/>
  <c r="BN97" i="27"/>
  <c r="BL97" i="27"/>
  <c r="BK126" i="27"/>
  <c r="BI126" i="27"/>
  <c r="BI131" i="27"/>
  <c r="BN131" i="27"/>
  <c r="BJ126" i="27"/>
  <c r="BN126" i="27"/>
  <c r="BL131" i="27"/>
  <c r="BK131" i="27"/>
  <c r="BD97" i="27"/>
  <c r="M97" i="27"/>
  <c r="BD131" i="27"/>
  <c r="BN125" i="27"/>
  <c r="BL125" i="27"/>
  <c r="BK125" i="27"/>
  <c r="BD126" i="27"/>
  <c r="M131" i="27"/>
  <c r="M126" i="27"/>
  <c r="BD125" i="27"/>
  <c r="M125" i="27"/>
  <c r="N6" i="27"/>
  <c r="N7" i="27"/>
  <c r="N8" i="27"/>
  <c r="N9" i="27"/>
  <c r="N10" i="27"/>
  <c r="N11" i="27"/>
  <c r="N12" i="27"/>
  <c r="N13" i="27"/>
  <c r="N14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2" i="27"/>
  <c r="N33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8" i="27"/>
  <c r="N69" i="27"/>
  <c r="N70" i="27"/>
  <c r="N71" i="27"/>
  <c r="N72" i="27"/>
  <c r="N73" i="27"/>
  <c r="N74" i="27"/>
  <c r="N75" i="27"/>
  <c r="N76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3" i="27"/>
  <c r="N95" i="27"/>
  <c r="N101" i="27"/>
  <c r="N105" i="27"/>
  <c r="N107" i="27"/>
  <c r="N108" i="27"/>
  <c r="N109" i="27"/>
  <c r="N110" i="27"/>
  <c r="N111" i="27"/>
  <c r="N114" i="27"/>
  <c r="N119" i="27"/>
  <c r="N120" i="27"/>
  <c r="N121" i="27"/>
  <c r="N122" i="27"/>
  <c r="N123" i="27"/>
  <c r="N124" i="27"/>
  <c r="N132" i="27"/>
  <c r="N133" i="27"/>
  <c r="N134" i="27"/>
  <c r="N135" i="27"/>
  <c r="N136" i="27"/>
  <c r="N137" i="27"/>
  <c r="N138" i="27"/>
  <c r="N139" i="27"/>
  <c r="N140" i="27"/>
  <c r="N141" i="27"/>
  <c r="N142" i="27"/>
  <c r="N143" i="27"/>
  <c r="N144" i="27"/>
  <c r="N145" i="27"/>
  <c r="N146" i="27"/>
  <c r="N147" i="27"/>
  <c r="N148" i="27"/>
  <c r="N149" i="27"/>
  <c r="N150" i="27"/>
  <c r="N152" i="27"/>
  <c r="N155" i="27"/>
  <c r="N156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3" i="27"/>
  <c r="N174" i="27"/>
  <c r="N175" i="27"/>
  <c r="N177" i="27"/>
  <c r="N178" i="27"/>
  <c r="N179" i="27"/>
  <c r="N180" i="27"/>
  <c r="N181" i="27"/>
  <c r="N182" i="27"/>
  <c r="N183" i="27"/>
  <c r="N185" i="27"/>
  <c r="N186" i="27"/>
  <c r="N188" i="27"/>
  <c r="N191" i="27"/>
  <c r="N192" i="27"/>
  <c r="N193" i="27"/>
  <c r="N194" i="27"/>
  <c r="N196" i="27"/>
  <c r="N197" i="27"/>
  <c r="N199" i="27"/>
  <c r="N200" i="27"/>
  <c r="N201" i="27"/>
  <c r="N202" i="27"/>
  <c r="N203" i="27"/>
  <c r="N204" i="27"/>
  <c r="BK101" i="27" l="1"/>
  <c r="J101" i="27"/>
  <c r="K101" i="27"/>
  <c r="L101" i="27"/>
  <c r="A101" i="27" s="1"/>
  <c r="O101" i="27"/>
  <c r="AM101" i="27"/>
  <c r="AO101" i="27" s="1"/>
  <c r="AN101" i="27"/>
  <c r="AQ101" i="27"/>
  <c r="AS101" i="27" s="1"/>
  <c r="AR101" i="27"/>
  <c r="AU101" i="27"/>
  <c r="AV101" i="27"/>
  <c r="AW101" i="27" s="1"/>
  <c r="BA101" i="27"/>
  <c r="BB101" i="27"/>
  <c r="BE101" i="27"/>
  <c r="BF101" i="27"/>
  <c r="BI101" i="27" l="1"/>
  <c r="BN101" i="27"/>
  <c r="BL101" i="27"/>
  <c r="BJ101" i="27"/>
  <c r="BD101" i="27"/>
  <c r="M101" i="27"/>
  <c r="BL95" i="27"/>
  <c r="J95" i="27"/>
  <c r="K95" i="27"/>
  <c r="L95" i="27"/>
  <c r="A95" i="27" s="1"/>
  <c r="O95" i="27"/>
  <c r="AM95" i="27"/>
  <c r="AO95" i="27" s="1"/>
  <c r="AN95" i="27"/>
  <c r="AQ95" i="27"/>
  <c r="AS95" i="27" s="1"/>
  <c r="AR95" i="27"/>
  <c r="AU95" i="27"/>
  <c r="AV95" i="27"/>
  <c r="AW95" i="27" s="1"/>
  <c r="BA95" i="27"/>
  <c r="BB95" i="27"/>
  <c r="BE95" i="27"/>
  <c r="BF95" i="27"/>
  <c r="BJ93" i="27"/>
  <c r="J93" i="27"/>
  <c r="K93" i="27"/>
  <c r="L93" i="27"/>
  <c r="A93" i="27" s="1"/>
  <c r="O93" i="27"/>
  <c r="AM93" i="27"/>
  <c r="AO93" i="27" s="1"/>
  <c r="AN93" i="27"/>
  <c r="AQ93" i="27"/>
  <c r="AS93" i="27" s="1"/>
  <c r="AR93" i="27"/>
  <c r="AU93" i="27"/>
  <c r="AV93" i="27"/>
  <c r="AW93" i="27" s="1"/>
  <c r="BA93" i="27"/>
  <c r="BB93" i="27"/>
  <c r="BE93" i="27"/>
  <c r="BF93" i="27"/>
  <c r="BI84" i="27"/>
  <c r="J84" i="27"/>
  <c r="K84" i="27"/>
  <c r="L84" i="27"/>
  <c r="A84" i="27" s="1"/>
  <c r="O84" i="27"/>
  <c r="AM84" i="27"/>
  <c r="AO84" i="27" s="1"/>
  <c r="AN84" i="27"/>
  <c r="AQ84" i="27"/>
  <c r="AS84" i="27" s="1"/>
  <c r="AR84" i="27"/>
  <c r="AU84" i="27"/>
  <c r="AV84" i="27"/>
  <c r="AW84" i="27" s="1"/>
  <c r="BA84" i="27"/>
  <c r="BB84" i="27"/>
  <c r="BE84" i="27"/>
  <c r="BF84" i="27"/>
  <c r="BK91" i="27"/>
  <c r="J91" i="27"/>
  <c r="K91" i="27"/>
  <c r="L91" i="27"/>
  <c r="A91" i="27" s="1"/>
  <c r="O91" i="27"/>
  <c r="AM91" i="27"/>
  <c r="AO91" i="27" s="1"/>
  <c r="AN91" i="27"/>
  <c r="AQ91" i="27"/>
  <c r="AS91" i="27" s="1"/>
  <c r="AR91" i="27"/>
  <c r="AU91" i="27"/>
  <c r="AV91" i="27"/>
  <c r="AW91" i="27" s="1"/>
  <c r="BA91" i="27"/>
  <c r="BB91" i="27"/>
  <c r="BE91" i="27"/>
  <c r="BF91" i="27"/>
  <c r="BK95" i="27" l="1"/>
  <c r="BI91" i="27"/>
  <c r="BI93" i="27"/>
  <c r="BD95" i="27"/>
  <c r="BJ95" i="27"/>
  <c r="BN95" i="27"/>
  <c r="BI95" i="27"/>
  <c r="BL93" i="27"/>
  <c r="M95" i="27"/>
  <c r="BN93" i="27"/>
  <c r="BL84" i="27"/>
  <c r="BK84" i="27"/>
  <c r="BJ84" i="27"/>
  <c r="BK93" i="27"/>
  <c r="BN84" i="27"/>
  <c r="BD93" i="27"/>
  <c r="M93" i="27"/>
  <c r="BD84" i="27"/>
  <c r="M84" i="27"/>
  <c r="BJ91" i="27"/>
  <c r="BN91" i="27"/>
  <c r="BL91" i="27"/>
  <c r="BD91" i="27"/>
  <c r="M91" i="27"/>
  <c r="AQ186" i="27" l="1"/>
  <c r="AS186" i="27" s="1"/>
  <c r="BI186" i="27"/>
  <c r="K186" i="27"/>
  <c r="L186" i="27"/>
  <c r="A186" i="27" s="1"/>
  <c r="O186" i="27"/>
  <c r="AM186" i="27"/>
  <c r="AO186" i="27" s="1"/>
  <c r="AN186" i="27"/>
  <c r="AU186" i="27"/>
  <c r="AV186" i="27"/>
  <c r="AW186" i="27" s="1"/>
  <c r="BA186" i="27"/>
  <c r="BB186" i="27"/>
  <c r="BE186" i="27"/>
  <c r="BF186" i="27"/>
  <c r="BN196" i="27"/>
  <c r="K196" i="27"/>
  <c r="L196" i="27"/>
  <c r="A196" i="27" s="1"/>
  <c r="O196" i="27"/>
  <c r="AM196" i="27"/>
  <c r="AO196" i="27" s="1"/>
  <c r="AN196" i="27"/>
  <c r="AQ196" i="27"/>
  <c r="AS196" i="27" s="1"/>
  <c r="AR196" i="27"/>
  <c r="AU196" i="27"/>
  <c r="AV196" i="27"/>
  <c r="AW196" i="27" s="1"/>
  <c r="BA196" i="27"/>
  <c r="BB196" i="27"/>
  <c r="BE196" i="27"/>
  <c r="BF196" i="27"/>
  <c r="BI193" i="27"/>
  <c r="K193" i="27"/>
  <c r="L193" i="27"/>
  <c r="A193" i="27" s="1"/>
  <c r="O193" i="27"/>
  <c r="AM193" i="27"/>
  <c r="AO193" i="27" s="1"/>
  <c r="AN193" i="27"/>
  <c r="AQ193" i="27"/>
  <c r="AS193" i="27" s="1"/>
  <c r="AR193" i="27"/>
  <c r="AU193" i="27"/>
  <c r="AV193" i="27"/>
  <c r="AW193" i="27" s="1"/>
  <c r="BA193" i="27"/>
  <c r="BB193" i="27"/>
  <c r="BE193" i="27"/>
  <c r="BF193" i="27"/>
  <c r="BN199" i="27"/>
  <c r="K199" i="27"/>
  <c r="L199" i="27"/>
  <c r="A199" i="27" s="1"/>
  <c r="O199" i="27"/>
  <c r="AM199" i="27"/>
  <c r="AO199" i="27" s="1"/>
  <c r="AN199" i="27"/>
  <c r="AQ199" i="27"/>
  <c r="AS199" i="27" s="1"/>
  <c r="AR199" i="27"/>
  <c r="AU199" i="27"/>
  <c r="AV199" i="27"/>
  <c r="AW199" i="27" s="1"/>
  <c r="BA199" i="27"/>
  <c r="BB199" i="27"/>
  <c r="BE199" i="27"/>
  <c r="BF199" i="27"/>
  <c r="BI196" i="27" l="1"/>
  <c r="BJ196" i="27"/>
  <c r="BJ193" i="27"/>
  <c r="BJ186" i="27"/>
  <c r="AR186" i="27"/>
  <c r="BK199" i="27"/>
  <c r="BK193" i="27"/>
  <c r="BL196" i="27"/>
  <c r="BK196" i="27"/>
  <c r="BK186" i="27"/>
  <c r="BD186" i="27"/>
  <c r="BN186" i="27"/>
  <c r="BL186" i="27"/>
  <c r="M186" i="27"/>
  <c r="BD196" i="27"/>
  <c r="BD193" i="27"/>
  <c r="M196" i="27"/>
  <c r="BL199" i="27"/>
  <c r="BN193" i="27"/>
  <c r="BL193" i="27"/>
  <c r="BD199" i="27"/>
  <c r="M193" i="27"/>
  <c r="BJ199" i="27"/>
  <c r="BI199" i="27"/>
  <c r="M199" i="27"/>
  <c r="BN189" i="27" l="1"/>
  <c r="K189" i="27"/>
  <c r="L189" i="27"/>
  <c r="A189" i="27" s="1"/>
  <c r="O189" i="27"/>
  <c r="AM189" i="27"/>
  <c r="AO189" i="27" s="1"/>
  <c r="AN189" i="27"/>
  <c r="AQ189" i="27"/>
  <c r="AS189" i="27" s="1"/>
  <c r="AR189" i="27"/>
  <c r="AU189" i="27"/>
  <c r="AV189" i="27"/>
  <c r="AW189" i="27" s="1"/>
  <c r="BA189" i="27"/>
  <c r="BB189" i="27"/>
  <c r="BE189" i="27"/>
  <c r="BF189" i="27"/>
  <c r="BK61" i="27"/>
  <c r="BI62" i="27"/>
  <c r="BJ63" i="27"/>
  <c r="BI64" i="27"/>
  <c r="BJ65" i="27"/>
  <c r="BJ66" i="27"/>
  <c r="J61" i="27"/>
  <c r="J62" i="27"/>
  <c r="J63" i="27"/>
  <c r="J64" i="27"/>
  <c r="J65" i="27"/>
  <c r="J66" i="27"/>
  <c r="K61" i="27"/>
  <c r="K62" i="27"/>
  <c r="K63" i="27"/>
  <c r="K64" i="27"/>
  <c r="K65" i="27"/>
  <c r="K66" i="27"/>
  <c r="L61" i="27"/>
  <c r="A61" i="27" s="1"/>
  <c r="L62" i="27"/>
  <c r="A62" i="27" s="1"/>
  <c r="L63" i="27"/>
  <c r="A63" i="27" s="1"/>
  <c r="L64" i="27"/>
  <c r="M64" i="27" s="1"/>
  <c r="L65" i="27"/>
  <c r="A65" i="27" s="1"/>
  <c r="L66" i="27"/>
  <c r="A66" i="27" s="1"/>
  <c r="O61" i="27"/>
  <c r="O62" i="27"/>
  <c r="O63" i="27"/>
  <c r="O64" i="27"/>
  <c r="O65" i="27"/>
  <c r="O66" i="27"/>
  <c r="AM61" i="27"/>
  <c r="AO61" i="27" s="1"/>
  <c r="AM62" i="27"/>
  <c r="AO62" i="27" s="1"/>
  <c r="AM63" i="27"/>
  <c r="AO63" i="27" s="1"/>
  <c r="AM64" i="27"/>
  <c r="AO64" i="27" s="1"/>
  <c r="AM65" i="27"/>
  <c r="AO65" i="27" s="1"/>
  <c r="AM66" i="27"/>
  <c r="AO66" i="27" s="1"/>
  <c r="AN61" i="27"/>
  <c r="AN62" i="27"/>
  <c r="AN63" i="27"/>
  <c r="AN64" i="27"/>
  <c r="AN65" i="27"/>
  <c r="AN66" i="27"/>
  <c r="AQ61" i="27"/>
  <c r="AS61" i="27" s="1"/>
  <c r="AQ62" i="27"/>
  <c r="AS62" i="27" s="1"/>
  <c r="AQ63" i="27"/>
  <c r="AS63" i="27" s="1"/>
  <c r="AQ64" i="27"/>
  <c r="AS64" i="27" s="1"/>
  <c r="AQ65" i="27"/>
  <c r="AS65" i="27" s="1"/>
  <c r="AQ66" i="27"/>
  <c r="AS66" i="27" s="1"/>
  <c r="AR61" i="27"/>
  <c r="AR62" i="27"/>
  <c r="AR63" i="27"/>
  <c r="AR64" i="27"/>
  <c r="AR65" i="27"/>
  <c r="AR66" i="27"/>
  <c r="AU61" i="27"/>
  <c r="AU62" i="27"/>
  <c r="AU63" i="27"/>
  <c r="AU64" i="27"/>
  <c r="AU65" i="27"/>
  <c r="AU66" i="27"/>
  <c r="AV61" i="27"/>
  <c r="AW61" i="27" s="1"/>
  <c r="AV62" i="27"/>
  <c r="AW62" i="27" s="1"/>
  <c r="AV63" i="27"/>
  <c r="AW63" i="27" s="1"/>
  <c r="AV64" i="27"/>
  <c r="AW64" i="27" s="1"/>
  <c r="AV65" i="27"/>
  <c r="AW65" i="27" s="1"/>
  <c r="AV66" i="27"/>
  <c r="AW66" i="27" s="1"/>
  <c r="BA61" i="27"/>
  <c r="BA62" i="27"/>
  <c r="BA63" i="27"/>
  <c r="BA64" i="27"/>
  <c r="BA65" i="27"/>
  <c r="BA66" i="27"/>
  <c r="BB61" i="27"/>
  <c r="BB62" i="27"/>
  <c r="BB63" i="27"/>
  <c r="BB64" i="27"/>
  <c r="BB65" i="27"/>
  <c r="BB66" i="27"/>
  <c r="BE61" i="27"/>
  <c r="BE62" i="27"/>
  <c r="BE63" i="27"/>
  <c r="BE64" i="27"/>
  <c r="BE65" i="27"/>
  <c r="BE66" i="27"/>
  <c r="BF61" i="27"/>
  <c r="BF62" i="27"/>
  <c r="BF63" i="27"/>
  <c r="BF64" i="27"/>
  <c r="BF65" i="27"/>
  <c r="BF66" i="27"/>
  <c r="BI61" i="27" l="1"/>
  <c r="BN61" i="27"/>
  <c r="BL61" i="27"/>
  <c r="BJ61" i="27"/>
  <c r="BD64" i="27"/>
  <c r="BI66" i="27"/>
  <c r="BI65" i="27"/>
  <c r="BD63" i="27"/>
  <c r="BN65" i="27"/>
  <c r="BL65" i="27"/>
  <c r="BL66" i="27"/>
  <c r="BN66" i="27"/>
  <c r="BK65" i="27"/>
  <c r="BK66" i="27"/>
  <c r="BD189" i="27"/>
  <c r="BL189" i="27"/>
  <c r="BK189" i="27"/>
  <c r="BJ189" i="27"/>
  <c r="BI189" i="27"/>
  <c r="M189" i="27"/>
  <c r="M63" i="27"/>
  <c r="BN62" i="27"/>
  <c r="BL62" i="27"/>
  <c r="BK62" i="27"/>
  <c r="BJ62" i="27"/>
  <c r="BN63" i="27"/>
  <c r="BL63" i="27"/>
  <c r="BI63" i="27"/>
  <c r="M65" i="27"/>
  <c r="BK63" i="27"/>
  <c r="BD61" i="27"/>
  <c r="BD65" i="27"/>
  <c r="M61" i="27"/>
  <c r="BJ64" i="27"/>
  <c r="M62" i="27"/>
  <c r="BL64" i="27"/>
  <c r="BN64" i="27"/>
  <c r="BK64" i="27"/>
  <c r="BD66" i="27"/>
  <c r="BD62" i="27"/>
  <c r="M66" i="27"/>
  <c r="A64" i="27"/>
  <c r="BJ47" i="27" l="1"/>
  <c r="J47" i="27"/>
  <c r="K47" i="27"/>
  <c r="L47" i="27"/>
  <c r="A47" i="27" s="1"/>
  <c r="O47" i="27"/>
  <c r="AM47" i="27"/>
  <c r="AO47" i="27" s="1"/>
  <c r="AN47" i="27"/>
  <c r="AQ47" i="27"/>
  <c r="AS47" i="27" s="1"/>
  <c r="AR47" i="27"/>
  <c r="AU47" i="27"/>
  <c r="AV47" i="27"/>
  <c r="AW47" i="27" s="1"/>
  <c r="BA47" i="27"/>
  <c r="BB47" i="27"/>
  <c r="BE47" i="27"/>
  <c r="BF47" i="27"/>
  <c r="BL45" i="27"/>
  <c r="BJ46" i="27"/>
  <c r="J45" i="27"/>
  <c r="J46" i="27"/>
  <c r="K45" i="27"/>
  <c r="K46" i="27"/>
  <c r="L45" i="27"/>
  <c r="A45" i="27" s="1"/>
  <c r="L46" i="27"/>
  <c r="A46" i="27" s="1"/>
  <c r="O45" i="27"/>
  <c r="O46" i="27"/>
  <c r="AM45" i="27"/>
  <c r="AO45" i="27" s="1"/>
  <c r="AM46" i="27"/>
  <c r="AO46" i="27" s="1"/>
  <c r="AN45" i="27"/>
  <c r="AN46" i="27"/>
  <c r="AQ45" i="27"/>
  <c r="AS45" i="27" s="1"/>
  <c r="AQ46" i="27"/>
  <c r="AS46" i="27" s="1"/>
  <c r="AR45" i="27"/>
  <c r="AR46" i="27"/>
  <c r="AU45" i="27"/>
  <c r="AU46" i="27"/>
  <c r="AV45" i="27"/>
  <c r="AW45" i="27" s="1"/>
  <c r="AV46" i="27"/>
  <c r="AW46" i="27" s="1"/>
  <c r="BA45" i="27"/>
  <c r="BA46" i="27"/>
  <c r="BB45" i="27"/>
  <c r="BB46" i="27"/>
  <c r="BE45" i="27"/>
  <c r="BE46" i="27"/>
  <c r="BF45" i="27"/>
  <c r="BF46" i="27"/>
  <c r="BJ44" i="27"/>
  <c r="J44" i="27"/>
  <c r="K44" i="27"/>
  <c r="L44" i="27"/>
  <c r="A44" i="27" s="1"/>
  <c r="O44" i="27"/>
  <c r="AM44" i="27"/>
  <c r="AO44" i="27" s="1"/>
  <c r="AN44" i="27"/>
  <c r="AQ44" i="27"/>
  <c r="AS44" i="27" s="1"/>
  <c r="AR44" i="27"/>
  <c r="AU44" i="27"/>
  <c r="AV44" i="27"/>
  <c r="AW44" i="27" s="1"/>
  <c r="BA44" i="27"/>
  <c r="BB44" i="27"/>
  <c r="BE44" i="27"/>
  <c r="BF44" i="27"/>
  <c r="BL110" i="27"/>
  <c r="J110" i="27"/>
  <c r="K110" i="27"/>
  <c r="L110" i="27"/>
  <c r="A110" i="27" s="1"/>
  <c r="O110" i="27"/>
  <c r="AM110" i="27"/>
  <c r="AO110" i="27" s="1"/>
  <c r="AN110" i="27"/>
  <c r="AQ110" i="27"/>
  <c r="AS110" i="27" s="1"/>
  <c r="AR110" i="27"/>
  <c r="AU110" i="27"/>
  <c r="AV110" i="27"/>
  <c r="AW110" i="27" s="1"/>
  <c r="BA110" i="27"/>
  <c r="BB110" i="27"/>
  <c r="BE110" i="27"/>
  <c r="BF110" i="27"/>
  <c r="BI47" i="27" l="1"/>
  <c r="BJ45" i="27"/>
  <c r="BN47" i="27"/>
  <c r="BN45" i="27"/>
  <c r="BI45" i="27"/>
  <c r="BK45" i="27"/>
  <c r="BI44" i="27"/>
  <c r="BN46" i="27"/>
  <c r="BI46" i="27"/>
  <c r="BL47" i="27"/>
  <c r="BK47" i="27"/>
  <c r="BI110" i="27"/>
  <c r="BN44" i="27"/>
  <c r="BL44" i="27"/>
  <c r="BK44" i="27"/>
  <c r="BD47" i="27"/>
  <c r="BK46" i="27"/>
  <c r="BD45" i="27"/>
  <c r="M47" i="27"/>
  <c r="BD46" i="27"/>
  <c r="M46" i="27"/>
  <c r="M45" i="27"/>
  <c r="BL46" i="27"/>
  <c r="BD44" i="27"/>
  <c r="BN110" i="27"/>
  <c r="M44" i="27"/>
  <c r="BJ110" i="27"/>
  <c r="BK110" i="27"/>
  <c r="BD110" i="27"/>
  <c r="M110" i="27"/>
  <c r="BI191" i="27"/>
  <c r="K191" i="27"/>
  <c r="L191" i="27"/>
  <c r="A191" i="27" s="1"/>
  <c r="O191" i="27"/>
  <c r="AM191" i="27"/>
  <c r="AO191" i="27" s="1"/>
  <c r="AN191" i="27"/>
  <c r="AQ191" i="27"/>
  <c r="AS191" i="27" s="1"/>
  <c r="AR191" i="27"/>
  <c r="AU191" i="27"/>
  <c r="AV191" i="27"/>
  <c r="AW191" i="27" s="1"/>
  <c r="BA191" i="27"/>
  <c r="BB191" i="27"/>
  <c r="BE191" i="27"/>
  <c r="BF191" i="27"/>
  <c r="BJ191" i="27" l="1"/>
  <c r="BL191" i="27"/>
  <c r="BN191" i="27"/>
  <c r="BK191" i="27"/>
  <c r="BD191" i="27"/>
  <c r="M191" i="27"/>
  <c r="J56" i="27"/>
  <c r="K56" i="27"/>
  <c r="L56" i="27"/>
  <c r="A56" i="27" s="1"/>
  <c r="O56" i="27"/>
  <c r="AM56" i="27"/>
  <c r="AO56" i="27" s="1"/>
  <c r="AN56" i="27"/>
  <c r="AQ56" i="27"/>
  <c r="AS56" i="27" s="1"/>
  <c r="AR56" i="27"/>
  <c r="AU56" i="27"/>
  <c r="AV56" i="27"/>
  <c r="AW56" i="27" s="1"/>
  <c r="BA56" i="27"/>
  <c r="BB56" i="27"/>
  <c r="BE56" i="27"/>
  <c r="BF56" i="27"/>
  <c r="BL203" i="27"/>
  <c r="K203" i="27"/>
  <c r="L203" i="27"/>
  <c r="A203" i="27" s="1"/>
  <c r="O203" i="27"/>
  <c r="AM203" i="27"/>
  <c r="AO203" i="27" s="1"/>
  <c r="AN203" i="27"/>
  <c r="AQ203" i="27"/>
  <c r="AS203" i="27" s="1"/>
  <c r="AR203" i="27"/>
  <c r="AU203" i="27"/>
  <c r="AV203" i="27"/>
  <c r="AW203" i="27" s="1"/>
  <c r="BA203" i="27"/>
  <c r="BB203" i="27"/>
  <c r="BE203" i="27"/>
  <c r="BF203" i="27"/>
  <c r="L204" i="27"/>
  <c r="L6" i="27"/>
  <c r="L7" i="27"/>
  <c r="L8" i="27"/>
  <c r="L9" i="27"/>
  <c r="L10" i="27"/>
  <c r="L11" i="27"/>
  <c r="L12" i="27"/>
  <c r="L13" i="27"/>
  <c r="L14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2" i="27"/>
  <c r="L33" i="27"/>
  <c r="L35" i="27"/>
  <c r="L36" i="27"/>
  <c r="L37" i="27"/>
  <c r="L38" i="27"/>
  <c r="L39" i="27"/>
  <c r="L40" i="27"/>
  <c r="L41" i="27"/>
  <c r="L42" i="27"/>
  <c r="L43" i="27"/>
  <c r="L48" i="27"/>
  <c r="L49" i="27"/>
  <c r="L50" i="27"/>
  <c r="L51" i="27"/>
  <c r="L52" i="27"/>
  <c r="L53" i="27"/>
  <c r="L54" i="27"/>
  <c r="L55" i="27"/>
  <c r="L57" i="27"/>
  <c r="L58" i="27"/>
  <c r="L59" i="27"/>
  <c r="L60" i="27"/>
  <c r="L68" i="27"/>
  <c r="L69" i="27"/>
  <c r="L70" i="27"/>
  <c r="L71" i="27"/>
  <c r="L72" i="27"/>
  <c r="L73" i="27"/>
  <c r="L74" i="27"/>
  <c r="L75" i="27"/>
  <c r="L76" i="27"/>
  <c r="L79" i="27"/>
  <c r="L80" i="27"/>
  <c r="L81" i="27"/>
  <c r="L82" i="27"/>
  <c r="L83" i="27"/>
  <c r="L85" i="27"/>
  <c r="L86" i="27"/>
  <c r="L87" i="27"/>
  <c r="L88" i="27"/>
  <c r="L89" i="27"/>
  <c r="L90" i="27"/>
  <c r="L105" i="27"/>
  <c r="L107" i="27"/>
  <c r="L108" i="27"/>
  <c r="L109" i="27"/>
  <c r="L111" i="27"/>
  <c r="L114" i="27"/>
  <c r="L119" i="27"/>
  <c r="L120" i="27"/>
  <c r="L121" i="27"/>
  <c r="L122" i="27"/>
  <c r="L123" i="27"/>
  <c r="L124" i="27"/>
  <c r="L132" i="27"/>
  <c r="L133" i="27"/>
  <c r="L134" i="27"/>
  <c r="L135" i="27"/>
  <c r="L136" i="27"/>
  <c r="L137" i="27"/>
  <c r="L138" i="27"/>
  <c r="L139" i="27"/>
  <c r="L140" i="27"/>
  <c r="L141" i="27"/>
  <c r="L142" i="27"/>
  <c r="L143" i="27"/>
  <c r="L144" i="27"/>
  <c r="L145" i="27"/>
  <c r="L146" i="27"/>
  <c r="L147" i="27"/>
  <c r="L148" i="27"/>
  <c r="L149" i="27"/>
  <c r="L150" i="27"/>
  <c r="L152" i="27"/>
  <c r="L155" i="27"/>
  <c r="L156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3" i="27"/>
  <c r="L174" i="27"/>
  <c r="L175" i="27"/>
  <c r="L177" i="27"/>
  <c r="L178" i="27"/>
  <c r="L179" i="27"/>
  <c r="L180" i="27"/>
  <c r="L181" i="27"/>
  <c r="L182" i="27"/>
  <c r="L183" i="27"/>
  <c r="L185" i="27"/>
  <c r="L188" i="27"/>
  <c r="L192" i="27"/>
  <c r="L194" i="27"/>
  <c r="L197" i="27"/>
  <c r="L200" i="27"/>
  <c r="L201" i="27"/>
  <c r="L202" i="27"/>
  <c r="BD56" i="27" l="1"/>
  <c r="M56" i="27"/>
  <c r="BJ203" i="27"/>
  <c r="BK203" i="27"/>
  <c r="BI203" i="27"/>
  <c r="BD203" i="27"/>
  <c r="BN203" i="27"/>
  <c r="M203" i="27"/>
  <c r="BL180" i="27" l="1"/>
  <c r="K180" i="27"/>
  <c r="A180" i="27"/>
  <c r="O180" i="27"/>
  <c r="AM180" i="27"/>
  <c r="AO180" i="27" s="1"/>
  <c r="AN180" i="27"/>
  <c r="AQ180" i="27"/>
  <c r="AS180" i="27" s="1"/>
  <c r="AR180" i="27"/>
  <c r="AU180" i="27"/>
  <c r="AV180" i="27"/>
  <c r="AW180" i="27" s="1"/>
  <c r="BA180" i="27"/>
  <c r="BB180" i="27"/>
  <c r="BE180" i="27"/>
  <c r="BF180" i="27"/>
  <c r="K181" i="27"/>
  <c r="A181" i="27"/>
  <c r="O181" i="27"/>
  <c r="BJ29" i="27"/>
  <c r="J29" i="27"/>
  <c r="K29" i="27"/>
  <c r="A29" i="27"/>
  <c r="O29" i="27"/>
  <c r="AM29" i="27"/>
  <c r="AO29" i="27" s="1"/>
  <c r="AN29" i="27"/>
  <c r="AQ29" i="27"/>
  <c r="AS29" i="27" s="1"/>
  <c r="AR29" i="27"/>
  <c r="AU29" i="27"/>
  <c r="AV29" i="27"/>
  <c r="AW29" i="27" s="1"/>
  <c r="BA29" i="27"/>
  <c r="BB29" i="27"/>
  <c r="BE29" i="27"/>
  <c r="BF29" i="27"/>
  <c r="BK180" i="27" l="1"/>
  <c r="BI29" i="27"/>
  <c r="BD180" i="27"/>
  <c r="BJ180" i="27"/>
  <c r="BN180" i="27"/>
  <c r="BI180" i="27"/>
  <c r="BN29" i="27"/>
  <c r="BK29" i="27"/>
  <c r="BL29" i="27"/>
  <c r="M180" i="27"/>
  <c r="M181" i="27"/>
  <c r="BD29" i="27"/>
  <c r="M29" i="27"/>
  <c r="BL30" i="27" l="1"/>
  <c r="J30" i="27"/>
  <c r="K30" i="27"/>
  <c r="A30" i="27"/>
  <c r="O30" i="27"/>
  <c r="AM30" i="27"/>
  <c r="AO30" i="27" s="1"/>
  <c r="AN30" i="27"/>
  <c r="AQ30" i="27"/>
  <c r="AS30" i="27" s="1"/>
  <c r="AR30" i="27"/>
  <c r="AU30" i="27"/>
  <c r="AV30" i="27"/>
  <c r="AW30" i="27" s="1"/>
  <c r="BA30" i="27"/>
  <c r="BB30" i="27"/>
  <c r="BE30" i="27"/>
  <c r="BF30" i="27"/>
  <c r="BI30" i="27" l="1"/>
  <c r="BN30" i="27"/>
  <c r="BJ30" i="27"/>
  <c r="BK30" i="27"/>
  <c r="BD30" i="27"/>
  <c r="M30" i="27"/>
  <c r="BJ68" i="27"/>
  <c r="J68" i="27"/>
  <c r="K68" i="27"/>
  <c r="A68" i="27"/>
  <c r="O68" i="27"/>
  <c r="AM68" i="27"/>
  <c r="AO68" i="27" s="1"/>
  <c r="AN68" i="27"/>
  <c r="AQ68" i="27"/>
  <c r="AS68" i="27" s="1"/>
  <c r="AR68" i="27"/>
  <c r="AU68" i="27"/>
  <c r="AV68" i="27"/>
  <c r="AW68" i="27" s="1"/>
  <c r="BA68" i="27"/>
  <c r="BB68" i="27"/>
  <c r="BE68" i="27"/>
  <c r="BF68" i="27"/>
  <c r="J55" i="27"/>
  <c r="K55" i="27"/>
  <c r="A55" i="27"/>
  <c r="O55" i="27"/>
  <c r="AM55" i="27"/>
  <c r="AO55" i="27" s="1"/>
  <c r="AN55" i="27"/>
  <c r="AQ55" i="27"/>
  <c r="AS55" i="27" s="1"/>
  <c r="AR55" i="27"/>
  <c r="AU55" i="27"/>
  <c r="AV55" i="27"/>
  <c r="AW55" i="27" s="1"/>
  <c r="BA55" i="27"/>
  <c r="BB55" i="27"/>
  <c r="BE55" i="27"/>
  <c r="BF55" i="27"/>
  <c r="BJ170" i="27"/>
  <c r="J170" i="27"/>
  <c r="K170" i="27"/>
  <c r="A170" i="27"/>
  <c r="O170" i="27"/>
  <c r="AM170" i="27"/>
  <c r="AO170" i="27" s="1"/>
  <c r="AN170" i="27"/>
  <c r="AQ170" i="27"/>
  <c r="AS170" i="27" s="1"/>
  <c r="AR170" i="27"/>
  <c r="AU170" i="27"/>
  <c r="AV170" i="27"/>
  <c r="AW170" i="27" s="1"/>
  <c r="BA170" i="27"/>
  <c r="BB170" i="27"/>
  <c r="BE170" i="27"/>
  <c r="BF170" i="27"/>
  <c r="BJ162" i="27"/>
  <c r="J162" i="27"/>
  <c r="K162" i="27"/>
  <c r="A162" i="27"/>
  <c r="O162" i="27"/>
  <c r="AM162" i="27"/>
  <c r="AO162" i="27" s="1"/>
  <c r="AN162" i="27"/>
  <c r="AQ162" i="27"/>
  <c r="AS162" i="27" s="1"/>
  <c r="AR162" i="27"/>
  <c r="AU162" i="27"/>
  <c r="AV162" i="27"/>
  <c r="AW162" i="27" s="1"/>
  <c r="BA162" i="27"/>
  <c r="BB162" i="27"/>
  <c r="BE162" i="27"/>
  <c r="BF162" i="27"/>
  <c r="BK160" i="27"/>
  <c r="J160" i="27"/>
  <c r="K160" i="27"/>
  <c r="A160" i="27"/>
  <c r="O160" i="27"/>
  <c r="AM160" i="27"/>
  <c r="AO160" i="27" s="1"/>
  <c r="AN160" i="27"/>
  <c r="AQ160" i="27"/>
  <c r="AS160" i="27" s="1"/>
  <c r="AR160" i="27"/>
  <c r="AU160" i="27"/>
  <c r="AV160" i="27"/>
  <c r="AW160" i="27" s="1"/>
  <c r="BA160" i="27"/>
  <c r="BB160" i="27"/>
  <c r="BE160" i="27"/>
  <c r="BF160" i="27"/>
  <c r="BJ169" i="27"/>
  <c r="J169" i="27"/>
  <c r="K169" i="27"/>
  <c r="A169" i="27"/>
  <c r="O169" i="27"/>
  <c r="AM169" i="27"/>
  <c r="AO169" i="27" s="1"/>
  <c r="AN169" i="27"/>
  <c r="AQ169" i="27"/>
  <c r="AS169" i="27" s="1"/>
  <c r="AR169" i="27"/>
  <c r="AU169" i="27"/>
  <c r="AV169" i="27"/>
  <c r="AW169" i="27" s="1"/>
  <c r="BA169" i="27"/>
  <c r="BB169" i="27"/>
  <c r="BE169" i="27"/>
  <c r="BF169" i="27"/>
  <c r="BK204" i="27"/>
  <c r="K204" i="27"/>
  <c r="M204" i="27"/>
  <c r="O204" i="27"/>
  <c r="AM204" i="27"/>
  <c r="AO204" i="27" s="1"/>
  <c r="AN204" i="27"/>
  <c r="AQ204" i="27"/>
  <c r="AS204" i="27" s="1"/>
  <c r="AR204" i="27"/>
  <c r="AU204" i="27"/>
  <c r="AV204" i="27"/>
  <c r="AW204" i="27" s="1"/>
  <c r="BA204" i="27"/>
  <c r="BB204" i="27"/>
  <c r="BE204" i="27"/>
  <c r="BF204" i="27"/>
  <c r="K202" i="27"/>
  <c r="A202" i="27"/>
  <c r="O202" i="27"/>
  <c r="AM202" i="27"/>
  <c r="AO202" i="27" s="1"/>
  <c r="AN202" i="27"/>
  <c r="AQ202" i="27"/>
  <c r="AS202" i="27" s="1"/>
  <c r="AR202" i="27"/>
  <c r="AU202" i="27"/>
  <c r="AV202" i="27"/>
  <c r="AW202" i="27" s="1"/>
  <c r="BA202" i="27"/>
  <c r="BB202" i="27"/>
  <c r="BE202" i="27"/>
  <c r="BF202" i="27"/>
  <c r="BL201" i="27"/>
  <c r="K201" i="27"/>
  <c r="O201" i="27"/>
  <c r="AM201" i="27"/>
  <c r="AO201" i="27" s="1"/>
  <c r="AN201" i="27"/>
  <c r="AQ201" i="27"/>
  <c r="AS201" i="27" s="1"/>
  <c r="AR201" i="27"/>
  <c r="AU201" i="27"/>
  <c r="AV201" i="27"/>
  <c r="AW201" i="27" s="1"/>
  <c r="BA201" i="27"/>
  <c r="BB201" i="27"/>
  <c r="BE201" i="27"/>
  <c r="BF201" i="27"/>
  <c r="BK162" i="27" l="1"/>
  <c r="BI160" i="27"/>
  <c r="BI68" i="27"/>
  <c r="BI169" i="27"/>
  <c r="BK68" i="27"/>
  <c r="BN68" i="27"/>
  <c r="BL68" i="27"/>
  <c r="BD68" i="27"/>
  <c r="BN160" i="27"/>
  <c r="BN170" i="27"/>
  <c r="BD170" i="27"/>
  <c r="M68" i="27"/>
  <c r="BJ160" i="27"/>
  <c r="BL170" i="27"/>
  <c r="BD55" i="27"/>
  <c r="M55" i="27"/>
  <c r="BK170" i="27"/>
  <c r="BI170" i="27"/>
  <c r="BN169" i="27"/>
  <c r="M170" i="27"/>
  <c r="BL169" i="27"/>
  <c r="BK169" i="27"/>
  <c r="BD162" i="27"/>
  <c r="M162" i="27"/>
  <c r="BN162" i="27"/>
  <c r="BI162" i="27"/>
  <c r="BL162" i="27"/>
  <c r="BL160" i="27"/>
  <c r="BD160" i="27"/>
  <c r="BD169" i="27"/>
  <c r="M160" i="27"/>
  <c r="M169" i="27"/>
  <c r="BL204" i="27"/>
  <c r="BI204" i="27"/>
  <c r="BN204" i="27"/>
  <c r="BJ204" i="27"/>
  <c r="BD204" i="27"/>
  <c r="A201" i="27"/>
  <c r="BD201" i="27"/>
  <c r="A204" i="27"/>
  <c r="BD202" i="27"/>
  <c r="M202" i="27"/>
  <c r="BI201" i="27"/>
  <c r="BN201" i="27"/>
  <c r="BJ201" i="27"/>
  <c r="BK201" i="27"/>
  <c r="BL202" i="27"/>
  <c r="BI202" i="27"/>
  <c r="BN202" i="27"/>
  <c r="BJ202" i="27"/>
  <c r="BK202" i="27"/>
  <c r="M201" i="27"/>
  <c r="BK200" i="27"/>
  <c r="K200" i="27"/>
  <c r="A200" i="27"/>
  <c r="O200" i="27"/>
  <c r="AM200" i="27"/>
  <c r="AO200" i="27" s="1"/>
  <c r="AN200" i="27"/>
  <c r="AQ200" i="27"/>
  <c r="AS200" i="27" s="1"/>
  <c r="AR200" i="27"/>
  <c r="AU200" i="27"/>
  <c r="AV200" i="27"/>
  <c r="AW200" i="27" s="1"/>
  <c r="BA200" i="27"/>
  <c r="BB200" i="27"/>
  <c r="BE200" i="27"/>
  <c r="BF200" i="27"/>
  <c r="BI200" i="27" l="1"/>
  <c r="BN200" i="27"/>
  <c r="BJ200" i="27"/>
  <c r="BL200" i="27"/>
  <c r="BD200" i="27"/>
  <c r="M200" i="27"/>
  <c r="BK168" i="27"/>
  <c r="J168" i="27"/>
  <c r="K168" i="27"/>
  <c r="A168" i="27"/>
  <c r="O168" i="27"/>
  <c r="AM168" i="27"/>
  <c r="AO168" i="27" s="1"/>
  <c r="AN168" i="27"/>
  <c r="AQ168" i="27"/>
  <c r="AS168" i="27" s="1"/>
  <c r="AR168" i="27"/>
  <c r="AU168" i="27"/>
  <c r="AV168" i="27"/>
  <c r="AW168" i="27" s="1"/>
  <c r="BA168" i="27"/>
  <c r="BB168" i="27"/>
  <c r="BE168" i="27"/>
  <c r="BF168" i="27"/>
  <c r="BI168" i="27" l="1"/>
  <c r="BJ168" i="27"/>
  <c r="BL168" i="27"/>
  <c r="BN168" i="27"/>
  <c r="BD168" i="27"/>
  <c r="M168" i="27"/>
  <c r="BI12" i="27" l="1"/>
  <c r="BI11" i="27"/>
  <c r="BN7" i="27"/>
  <c r="BL8" i="27"/>
  <c r="BJ10" i="27"/>
  <c r="BI13" i="27"/>
  <c r="BL26" i="27"/>
  <c r="BN22" i="27"/>
  <c r="BJ24" i="27"/>
  <c r="BK25" i="27"/>
  <c r="BI21" i="27"/>
  <c r="BJ20" i="27"/>
  <c r="BI16" i="27"/>
  <c r="BI19" i="27"/>
  <c r="BI14" i="27"/>
  <c r="BK18" i="27"/>
  <c r="BI33" i="27"/>
  <c r="BK32" i="27"/>
  <c r="BL28" i="27"/>
  <c r="BN36" i="27"/>
  <c r="BL40" i="27"/>
  <c r="BI38" i="27"/>
  <c r="BI41" i="27"/>
  <c r="BL43" i="27"/>
  <c r="BJ35" i="27"/>
  <c r="BJ122" i="27"/>
  <c r="BL119" i="27"/>
  <c r="BN121" i="27"/>
  <c r="BN123" i="27"/>
  <c r="BJ124" i="27"/>
  <c r="BI120" i="27"/>
  <c r="BN53" i="27"/>
  <c r="BL146" i="27"/>
  <c r="BL142" i="27"/>
  <c r="BL143" i="27"/>
  <c r="BJ48" i="27"/>
  <c r="BK135" i="27"/>
  <c r="BJ136" i="27"/>
  <c r="BN137" i="27"/>
  <c r="BK51" i="27"/>
  <c r="BK132" i="27"/>
  <c r="BL140" i="27"/>
  <c r="BN141" i="27"/>
  <c r="BN58" i="27"/>
  <c r="BL133" i="27"/>
  <c r="BN144" i="27"/>
  <c r="BJ60" i="27"/>
  <c r="BK59" i="27"/>
  <c r="BN134" i="27"/>
  <c r="BI147" i="27"/>
  <c r="BI148" i="27"/>
  <c r="BI49" i="27"/>
  <c r="BL138" i="27"/>
  <c r="BL139" i="27"/>
  <c r="BN85" i="27"/>
  <c r="BI79" i="27"/>
  <c r="BJ80" i="27"/>
  <c r="BI83" i="27"/>
  <c r="BK87" i="27"/>
  <c r="BI88" i="27"/>
  <c r="BJ89" i="27"/>
  <c r="BI81" i="27"/>
  <c r="BK82" i="27"/>
  <c r="BJ73" i="27"/>
  <c r="BK69" i="27"/>
  <c r="BJ70" i="27"/>
  <c r="BN71" i="27"/>
  <c r="BI72" i="27"/>
  <c r="BI75" i="27"/>
  <c r="BL108" i="27"/>
  <c r="BJ105" i="27"/>
  <c r="BK107" i="27"/>
  <c r="BL149" i="27"/>
  <c r="BK150" i="27"/>
  <c r="BJ152" i="27"/>
  <c r="BL111" i="27"/>
  <c r="BI114" i="27"/>
  <c r="BL109" i="27"/>
  <c r="BJ57" i="27"/>
  <c r="BN52" i="27"/>
  <c r="BK181" i="27"/>
  <c r="BK188" i="27"/>
  <c r="BL192" i="27"/>
  <c r="BL194" i="27"/>
  <c r="BJ197" i="27"/>
  <c r="BI182" i="27"/>
  <c r="BI183" i="27"/>
  <c r="BI185" i="27"/>
  <c r="BJ177" i="27"/>
  <c r="BL173" i="27"/>
  <c r="BL163" i="27"/>
  <c r="BK167" i="27"/>
  <c r="BL174" i="27"/>
  <c r="BK178" i="27"/>
  <c r="BJ165" i="27"/>
  <c r="BN175" i="27"/>
  <c r="BK179" i="27"/>
  <c r="BI166" i="27"/>
  <c r="BN159" i="27"/>
  <c r="BN164" i="27"/>
  <c r="J12" i="27"/>
  <c r="J11" i="27"/>
  <c r="J7" i="27"/>
  <c r="J9" i="27"/>
  <c r="J8" i="27"/>
  <c r="J10" i="27"/>
  <c r="J13" i="27"/>
  <c r="J26" i="27"/>
  <c r="J22" i="27"/>
  <c r="J24" i="27"/>
  <c r="J25" i="27"/>
  <c r="J23" i="27"/>
  <c r="J21" i="27"/>
  <c r="J17" i="27"/>
  <c r="J20" i="27"/>
  <c r="J16" i="27"/>
  <c r="J19" i="27"/>
  <c r="J14" i="27"/>
  <c r="J18" i="27"/>
  <c r="J33" i="27"/>
  <c r="J32" i="27"/>
  <c r="J28" i="27"/>
  <c r="J27" i="27"/>
  <c r="J36" i="27"/>
  <c r="J40" i="27"/>
  <c r="J42" i="27"/>
  <c r="J38" i="27"/>
  <c r="J37" i="27"/>
  <c r="J41" i="27"/>
  <c r="J43" i="27"/>
  <c r="J39" i="27"/>
  <c r="J35" i="27"/>
  <c r="J122" i="27"/>
  <c r="J119" i="27"/>
  <c r="J121" i="27"/>
  <c r="J123" i="27"/>
  <c r="J124" i="27"/>
  <c r="J120" i="27"/>
  <c r="J54" i="27"/>
  <c r="J53" i="27"/>
  <c r="J146" i="27"/>
  <c r="J142" i="27"/>
  <c r="J143" i="27"/>
  <c r="J48" i="27"/>
  <c r="J135" i="27"/>
  <c r="J136" i="27"/>
  <c r="J137" i="27"/>
  <c r="J51" i="27"/>
  <c r="J50" i="27"/>
  <c r="J132" i="27"/>
  <c r="J140" i="27"/>
  <c r="J141" i="27"/>
  <c r="J58" i="27"/>
  <c r="J133" i="27"/>
  <c r="J144" i="27"/>
  <c r="J145" i="27"/>
  <c r="J60" i="27"/>
  <c r="J59" i="27"/>
  <c r="J134" i="27"/>
  <c r="J147" i="27"/>
  <c r="J148" i="27"/>
  <c r="J49" i="27"/>
  <c r="J138" i="27"/>
  <c r="J139" i="27"/>
  <c r="J85" i="27"/>
  <c r="J86" i="27"/>
  <c r="J79" i="27"/>
  <c r="J80" i="27"/>
  <c r="J83" i="27"/>
  <c r="J87" i="27"/>
  <c r="J88" i="27"/>
  <c r="J89" i="27"/>
  <c r="J90" i="27"/>
  <c r="J81" i="27"/>
  <c r="J82" i="27"/>
  <c r="J73" i="27"/>
  <c r="J74" i="27"/>
  <c r="J69" i="27"/>
  <c r="J70" i="27"/>
  <c r="J71" i="27"/>
  <c r="J72" i="27"/>
  <c r="J75" i="27"/>
  <c r="J76" i="27"/>
  <c r="J108" i="27"/>
  <c r="J105" i="27"/>
  <c r="J107" i="27"/>
  <c r="J149" i="27"/>
  <c r="J150" i="27"/>
  <c r="J152" i="27"/>
  <c r="J111" i="27"/>
  <c r="J114" i="27"/>
  <c r="J109" i="27"/>
  <c r="J57" i="27"/>
  <c r="J52" i="27"/>
  <c r="J163" i="27"/>
  <c r="J167" i="27"/>
  <c r="J155" i="27"/>
  <c r="J165" i="27"/>
  <c r="J156" i="27"/>
  <c r="J166" i="27"/>
  <c r="J159" i="27"/>
  <c r="J164" i="27"/>
  <c r="J161" i="27"/>
  <c r="K12" i="27"/>
  <c r="K11" i="27"/>
  <c r="K7" i="27"/>
  <c r="K9" i="27"/>
  <c r="K8" i="27"/>
  <c r="K10" i="27"/>
  <c r="K13" i="27"/>
  <c r="K26" i="27"/>
  <c r="K22" i="27"/>
  <c r="K24" i="27"/>
  <c r="K25" i="27"/>
  <c r="K23" i="27"/>
  <c r="K21" i="27"/>
  <c r="K17" i="27"/>
  <c r="K20" i="27"/>
  <c r="K16" i="27"/>
  <c r="K19" i="27"/>
  <c r="K14" i="27"/>
  <c r="K18" i="27"/>
  <c r="K33" i="27"/>
  <c r="K32" i="27"/>
  <c r="K28" i="27"/>
  <c r="K27" i="27"/>
  <c r="K36" i="27"/>
  <c r="K40" i="27"/>
  <c r="K42" i="27"/>
  <c r="K38" i="27"/>
  <c r="K37" i="27"/>
  <c r="K41" i="27"/>
  <c r="K43" i="27"/>
  <c r="K39" i="27"/>
  <c r="K35" i="27"/>
  <c r="K122" i="27"/>
  <c r="K119" i="27"/>
  <c r="K121" i="27"/>
  <c r="K123" i="27"/>
  <c r="K124" i="27"/>
  <c r="K120" i="27"/>
  <c r="K54" i="27"/>
  <c r="K53" i="27"/>
  <c r="K146" i="27"/>
  <c r="K142" i="27"/>
  <c r="K143" i="27"/>
  <c r="K48" i="27"/>
  <c r="K135" i="27"/>
  <c r="K136" i="27"/>
  <c r="K137" i="27"/>
  <c r="K51" i="27"/>
  <c r="K50" i="27"/>
  <c r="K132" i="27"/>
  <c r="K140" i="27"/>
  <c r="K141" i="27"/>
  <c r="K58" i="27"/>
  <c r="K133" i="27"/>
  <c r="K144" i="27"/>
  <c r="K145" i="27"/>
  <c r="K60" i="27"/>
  <c r="K59" i="27"/>
  <c r="K134" i="27"/>
  <c r="K147" i="27"/>
  <c r="K148" i="27"/>
  <c r="K49" i="27"/>
  <c r="K138" i="27"/>
  <c r="K139" i="27"/>
  <c r="K85" i="27"/>
  <c r="K86" i="27"/>
  <c r="K79" i="27"/>
  <c r="K80" i="27"/>
  <c r="K83" i="27"/>
  <c r="K87" i="27"/>
  <c r="K88" i="27"/>
  <c r="K89" i="27"/>
  <c r="K90" i="27"/>
  <c r="K81" i="27"/>
  <c r="K82" i="27"/>
  <c r="K73" i="27"/>
  <c r="K74" i="27"/>
  <c r="K69" i="27"/>
  <c r="K70" i="27"/>
  <c r="K71" i="27"/>
  <c r="K72" i="27"/>
  <c r="K75" i="27"/>
  <c r="K76" i="27"/>
  <c r="K108" i="27"/>
  <c r="K105" i="27"/>
  <c r="K107" i="27"/>
  <c r="K149" i="27"/>
  <c r="K150" i="27"/>
  <c r="K152" i="27"/>
  <c r="K111" i="27"/>
  <c r="K114" i="27"/>
  <c r="K109" i="27"/>
  <c r="K57" i="27"/>
  <c r="K52" i="27"/>
  <c r="K188" i="27"/>
  <c r="K192" i="27"/>
  <c r="K194" i="27"/>
  <c r="K197" i="27"/>
  <c r="K182" i="27"/>
  <c r="K183" i="27"/>
  <c r="K185" i="27"/>
  <c r="K177" i="27"/>
  <c r="K173" i="27"/>
  <c r="K163" i="27"/>
  <c r="K167" i="27"/>
  <c r="K174" i="27"/>
  <c r="K178" i="27"/>
  <c r="K155" i="27"/>
  <c r="K165" i="27"/>
  <c r="K175" i="27"/>
  <c r="K179" i="27"/>
  <c r="K156" i="27"/>
  <c r="K166" i="27"/>
  <c r="K159" i="27"/>
  <c r="K164" i="27"/>
  <c r="K161" i="27"/>
  <c r="M12" i="27"/>
  <c r="A11" i="27"/>
  <c r="A7" i="27"/>
  <c r="A9" i="27"/>
  <c r="A8" i="27"/>
  <c r="A10" i="27"/>
  <c r="A13" i="27"/>
  <c r="A26" i="27"/>
  <c r="A22" i="27"/>
  <c r="BD24" i="27"/>
  <c r="A25" i="27"/>
  <c r="A23" i="27"/>
  <c r="A21" i="27"/>
  <c r="A17" i="27"/>
  <c r="A20" i="27"/>
  <c r="A16" i="27"/>
  <c r="A18" i="27"/>
  <c r="A33" i="27"/>
  <c r="A32" i="27"/>
  <c r="A28" i="27"/>
  <c r="M27" i="27"/>
  <c r="A36" i="27"/>
  <c r="A42" i="27"/>
  <c r="A38" i="27"/>
  <c r="A37" i="27"/>
  <c r="A41" i="27"/>
  <c r="A43" i="27"/>
  <c r="A39" i="27"/>
  <c r="A35" i="27"/>
  <c r="A119" i="27"/>
  <c r="A121" i="27"/>
  <c r="A123" i="27"/>
  <c r="A124" i="27"/>
  <c r="A120" i="27"/>
  <c r="A54" i="27"/>
  <c r="A53" i="27"/>
  <c r="A146" i="27"/>
  <c r="A142" i="27"/>
  <c r="A143" i="27"/>
  <c r="A48" i="27"/>
  <c r="A135" i="27"/>
  <c r="A136" i="27"/>
  <c r="A137" i="27"/>
  <c r="A51" i="27"/>
  <c r="A50" i="27"/>
  <c r="A132" i="27"/>
  <c r="A140" i="27"/>
  <c r="A141" i="27"/>
  <c r="A58" i="27"/>
  <c r="A133" i="27"/>
  <c r="A144" i="27"/>
  <c r="A145" i="27"/>
  <c r="M60" i="27"/>
  <c r="A59" i="27"/>
  <c r="A134" i="27"/>
  <c r="A147" i="27"/>
  <c r="A148" i="27"/>
  <c r="A49" i="27"/>
  <c r="A138" i="27"/>
  <c r="A139" i="27"/>
  <c r="A85" i="27"/>
  <c r="A86" i="27"/>
  <c r="A79" i="27"/>
  <c r="A80" i="27"/>
  <c r="A83" i="27"/>
  <c r="A87" i="27"/>
  <c r="A88" i="27"/>
  <c r="A89" i="27"/>
  <c r="A90" i="27"/>
  <c r="A81" i="27"/>
  <c r="A82" i="27"/>
  <c r="A73" i="27"/>
  <c r="A74" i="27"/>
  <c r="A69" i="27"/>
  <c r="A70" i="27"/>
  <c r="A71" i="27"/>
  <c r="A72" i="27"/>
  <c r="A75" i="27"/>
  <c r="A76" i="27"/>
  <c r="A108" i="27"/>
  <c r="A105" i="27"/>
  <c r="A107" i="27"/>
  <c r="A149" i="27"/>
  <c r="A150" i="27"/>
  <c r="A152" i="27"/>
  <c r="A111" i="27"/>
  <c r="A114" i="27"/>
  <c r="A109" i="27"/>
  <c r="A57" i="27"/>
  <c r="A188" i="27"/>
  <c r="A192" i="27"/>
  <c r="A194" i="27"/>
  <c r="A197" i="27"/>
  <c r="A182" i="27"/>
  <c r="A183" i="27"/>
  <c r="A185" i="27"/>
  <c r="A177" i="27"/>
  <c r="A173" i="27"/>
  <c r="A163" i="27"/>
  <c r="A167" i="27"/>
  <c r="A174" i="27"/>
  <c r="A178" i="27"/>
  <c r="A155" i="27"/>
  <c r="A165" i="27"/>
  <c r="A175" i="27"/>
  <c r="A179" i="27"/>
  <c r="A156" i="27"/>
  <c r="A166" i="27"/>
  <c r="A159" i="27"/>
  <c r="A164" i="27"/>
  <c r="A161" i="27"/>
  <c r="O12" i="27"/>
  <c r="O11" i="27"/>
  <c r="O7" i="27"/>
  <c r="O9" i="27"/>
  <c r="O8" i="27"/>
  <c r="O10" i="27"/>
  <c r="O13" i="27"/>
  <c r="O26" i="27"/>
  <c r="O22" i="27"/>
  <c r="O24" i="27"/>
  <c r="O25" i="27"/>
  <c r="O23" i="27"/>
  <c r="O21" i="27"/>
  <c r="O17" i="27"/>
  <c r="O20" i="27"/>
  <c r="O16" i="27"/>
  <c r="O19" i="27"/>
  <c r="O14" i="27"/>
  <c r="O18" i="27"/>
  <c r="O33" i="27"/>
  <c r="O32" i="27"/>
  <c r="O28" i="27"/>
  <c r="O27" i="27"/>
  <c r="O36" i="27"/>
  <c r="O40" i="27"/>
  <c r="O42" i="27"/>
  <c r="O38" i="27"/>
  <c r="O37" i="27"/>
  <c r="O41" i="27"/>
  <c r="O43" i="27"/>
  <c r="O39" i="27"/>
  <c r="O35" i="27"/>
  <c r="O122" i="27"/>
  <c r="O119" i="27"/>
  <c r="O121" i="27"/>
  <c r="O123" i="27"/>
  <c r="O124" i="27"/>
  <c r="O120" i="27"/>
  <c r="O54" i="27"/>
  <c r="O53" i="27"/>
  <c r="O146" i="27"/>
  <c r="O142" i="27"/>
  <c r="O143" i="27"/>
  <c r="O48" i="27"/>
  <c r="O135" i="27"/>
  <c r="O136" i="27"/>
  <c r="O137" i="27"/>
  <c r="O51" i="27"/>
  <c r="O50" i="27"/>
  <c r="O132" i="27"/>
  <c r="O140" i="27"/>
  <c r="O141" i="27"/>
  <c r="O58" i="27"/>
  <c r="O133" i="27"/>
  <c r="O144" i="27"/>
  <c r="O145" i="27"/>
  <c r="O60" i="27"/>
  <c r="O59" i="27"/>
  <c r="O134" i="27"/>
  <c r="O147" i="27"/>
  <c r="O148" i="27"/>
  <c r="O49" i="27"/>
  <c r="O138" i="27"/>
  <c r="O139" i="27"/>
  <c r="O85" i="27"/>
  <c r="O86" i="27"/>
  <c r="O79" i="27"/>
  <c r="O80" i="27"/>
  <c r="O83" i="27"/>
  <c r="O87" i="27"/>
  <c r="O88" i="27"/>
  <c r="O89" i="27"/>
  <c r="O90" i="27"/>
  <c r="O81" i="27"/>
  <c r="O82" i="27"/>
  <c r="O73" i="27"/>
  <c r="O74" i="27"/>
  <c r="O69" i="27"/>
  <c r="O70" i="27"/>
  <c r="O71" i="27"/>
  <c r="O72" i="27"/>
  <c r="O75" i="27"/>
  <c r="O76" i="27"/>
  <c r="O108" i="27"/>
  <c r="O105" i="27"/>
  <c r="O107" i="27"/>
  <c r="O149" i="27"/>
  <c r="O150" i="27"/>
  <c r="O152" i="27"/>
  <c r="O111" i="27"/>
  <c r="O114" i="27"/>
  <c r="O109" i="27"/>
  <c r="O57" i="27"/>
  <c r="O52" i="27"/>
  <c r="O188" i="27"/>
  <c r="O192" i="27"/>
  <c r="O194" i="27"/>
  <c r="O197" i="27"/>
  <c r="O182" i="27"/>
  <c r="O183" i="27"/>
  <c r="O185" i="27"/>
  <c r="O177" i="27"/>
  <c r="O173" i="27"/>
  <c r="O163" i="27"/>
  <c r="O167" i="27"/>
  <c r="O174" i="27"/>
  <c r="O178" i="27"/>
  <c r="O155" i="27"/>
  <c r="O165" i="27"/>
  <c r="O175" i="27"/>
  <c r="O179" i="27"/>
  <c r="O156" i="27"/>
  <c r="O166" i="27"/>
  <c r="O159" i="27"/>
  <c r="O164" i="27"/>
  <c r="O161" i="27"/>
  <c r="AN12" i="27"/>
  <c r="AN11" i="27"/>
  <c r="AN7" i="27"/>
  <c r="AN9" i="27"/>
  <c r="AN8" i="27"/>
  <c r="AN10" i="27"/>
  <c r="AN13" i="27"/>
  <c r="AN26" i="27"/>
  <c r="AN22" i="27"/>
  <c r="AN24" i="27"/>
  <c r="AN25" i="27"/>
  <c r="AN23" i="27"/>
  <c r="AN21" i="27"/>
  <c r="AN17" i="27"/>
  <c r="AN20" i="27"/>
  <c r="AN16" i="27"/>
  <c r="AN19" i="27"/>
  <c r="AN18" i="27"/>
  <c r="AN33" i="27"/>
  <c r="AN32" i="27"/>
  <c r="AN28" i="27"/>
  <c r="AN27" i="27"/>
  <c r="AN36" i="27"/>
  <c r="AM40" i="27"/>
  <c r="AO40" i="27" s="1"/>
  <c r="AN42" i="27"/>
  <c r="AN38" i="27"/>
  <c r="AN37" i="27"/>
  <c r="AN41" i="27"/>
  <c r="AN43" i="27"/>
  <c r="AN39" i="27"/>
  <c r="AN35" i="27"/>
  <c r="AN122" i="27"/>
  <c r="AN119" i="27"/>
  <c r="AN121" i="27"/>
  <c r="AN123" i="27"/>
  <c r="AN124" i="27"/>
  <c r="AN120" i="27"/>
  <c r="AN53" i="27"/>
  <c r="AN146" i="27"/>
  <c r="AN142" i="27"/>
  <c r="AN143" i="27"/>
  <c r="AN48" i="27"/>
  <c r="AN135" i="27"/>
  <c r="AN136" i="27"/>
  <c r="AN137" i="27"/>
  <c r="AN51" i="27"/>
  <c r="AN50" i="27"/>
  <c r="AN132" i="27"/>
  <c r="AN141" i="27"/>
  <c r="AN58" i="27"/>
  <c r="AM133" i="27"/>
  <c r="AO133" i="27" s="1"/>
  <c r="AN144" i="27"/>
  <c r="AN145" i="27"/>
  <c r="AN60" i="27"/>
  <c r="AN59" i="27"/>
  <c r="AN134" i="27"/>
  <c r="AN147" i="27"/>
  <c r="AM148" i="27"/>
  <c r="AO148" i="27" s="1"/>
  <c r="AM49" i="27"/>
  <c r="AO49" i="27" s="1"/>
  <c r="AN138" i="27"/>
  <c r="AN139" i="27"/>
  <c r="AN85" i="27"/>
  <c r="AN86" i="27"/>
  <c r="AN79" i="27"/>
  <c r="AN80" i="27"/>
  <c r="AN83" i="27"/>
  <c r="AN87" i="27"/>
  <c r="AN88" i="27"/>
  <c r="AM89" i="27"/>
  <c r="AO89" i="27" s="1"/>
  <c r="AN90" i="27"/>
  <c r="AN81" i="27"/>
  <c r="AN82" i="27"/>
  <c r="AN73" i="27"/>
  <c r="AN74" i="27"/>
  <c r="AN69" i="27"/>
  <c r="AN71" i="27"/>
  <c r="AN75" i="27"/>
  <c r="AN76" i="27"/>
  <c r="AN108" i="27"/>
  <c r="AN105" i="27"/>
  <c r="AN107" i="27"/>
  <c r="AM150" i="27"/>
  <c r="AO150" i="27" s="1"/>
  <c r="AN152" i="27"/>
  <c r="AN111" i="27"/>
  <c r="AN109" i="27"/>
  <c r="AN57" i="27"/>
  <c r="AN52" i="27"/>
  <c r="AN181" i="27"/>
  <c r="AN188" i="27"/>
  <c r="AN192" i="27"/>
  <c r="AN194" i="27"/>
  <c r="AN197" i="27"/>
  <c r="AN182" i="27"/>
  <c r="AN183" i="27"/>
  <c r="AN185" i="27"/>
  <c r="AN177" i="27"/>
  <c r="AN173" i="27"/>
  <c r="AN167" i="27"/>
  <c r="AN174" i="27"/>
  <c r="AN178" i="27"/>
  <c r="AN155" i="27"/>
  <c r="AN165" i="27"/>
  <c r="AN175" i="27"/>
  <c r="AN179" i="27"/>
  <c r="AN166" i="27"/>
  <c r="AM159" i="27"/>
  <c r="AO159" i="27" s="1"/>
  <c r="AM164" i="27"/>
  <c r="AO164" i="27" s="1"/>
  <c r="AM12" i="27"/>
  <c r="AO12" i="27" s="1"/>
  <c r="AM11" i="27"/>
  <c r="AO11" i="27" s="1"/>
  <c r="AM7" i="27"/>
  <c r="AO7" i="27" s="1"/>
  <c r="AM9" i="27"/>
  <c r="AO9" i="27" s="1"/>
  <c r="AM8" i="27"/>
  <c r="AO8" i="27" s="1"/>
  <c r="AM10" i="27"/>
  <c r="AO10" i="27" s="1"/>
  <c r="AM13" i="27"/>
  <c r="AO13" i="27" s="1"/>
  <c r="AM26" i="27"/>
  <c r="AO26" i="27" s="1"/>
  <c r="AM22" i="27"/>
  <c r="AO22" i="27" s="1"/>
  <c r="AM24" i="27"/>
  <c r="AO24" i="27" s="1"/>
  <c r="AM25" i="27"/>
  <c r="AO25" i="27" s="1"/>
  <c r="AM23" i="27"/>
  <c r="AO23" i="27" s="1"/>
  <c r="AM21" i="27"/>
  <c r="AO21" i="27" s="1"/>
  <c r="AM17" i="27"/>
  <c r="AO17" i="27" s="1"/>
  <c r="AM20" i="27"/>
  <c r="AO20" i="27" s="1"/>
  <c r="AM16" i="27"/>
  <c r="AO16" i="27" s="1"/>
  <c r="AM19" i="27"/>
  <c r="AO19" i="27" s="1"/>
  <c r="AM14" i="27"/>
  <c r="AO14" i="27" s="1"/>
  <c r="AM18" i="27"/>
  <c r="AO18" i="27" s="1"/>
  <c r="AM33" i="27"/>
  <c r="AO33" i="27" s="1"/>
  <c r="AM32" i="27"/>
  <c r="AO32" i="27" s="1"/>
  <c r="AM28" i="27"/>
  <c r="AO28" i="27" s="1"/>
  <c r="AM27" i="27"/>
  <c r="AO27" i="27" s="1"/>
  <c r="AM36" i="27"/>
  <c r="AO36" i="27" s="1"/>
  <c r="AM42" i="27"/>
  <c r="AO42" i="27" s="1"/>
  <c r="AM38" i="27"/>
  <c r="AO38" i="27" s="1"/>
  <c r="AM37" i="27"/>
  <c r="AO37" i="27" s="1"/>
  <c r="AR12" i="27"/>
  <c r="AR11" i="27"/>
  <c r="AR7" i="27"/>
  <c r="AR9" i="27"/>
  <c r="AR8" i="27"/>
  <c r="AR13" i="27"/>
  <c r="AR26" i="27"/>
  <c r="AR22" i="27"/>
  <c r="AR24" i="27"/>
  <c r="AR25" i="27"/>
  <c r="AR23" i="27"/>
  <c r="AR21" i="27"/>
  <c r="AR20" i="27"/>
  <c r="AR16" i="27"/>
  <c r="AR19" i="27"/>
  <c r="AR14" i="27"/>
  <c r="AR18" i="27"/>
  <c r="AR33" i="27"/>
  <c r="AR32" i="27"/>
  <c r="AR27" i="27"/>
  <c r="AR36" i="27"/>
  <c r="AR40" i="27"/>
  <c r="AR38" i="27"/>
  <c r="AR37" i="27"/>
  <c r="AR41" i="27"/>
  <c r="AR39" i="27"/>
  <c r="AR35" i="27"/>
  <c r="AR122" i="27"/>
  <c r="AR119" i="27"/>
  <c r="AR121" i="27"/>
  <c r="AR123" i="27"/>
  <c r="AR124" i="27"/>
  <c r="AR54" i="27"/>
  <c r="AR53" i="27"/>
  <c r="AR146" i="27"/>
  <c r="AR142" i="27"/>
  <c r="AR143" i="27"/>
  <c r="AR48" i="27"/>
  <c r="AR135" i="27"/>
  <c r="AR137" i="27"/>
  <c r="AR51" i="27"/>
  <c r="AR50" i="27"/>
  <c r="AR140" i="27"/>
  <c r="AR141" i="27"/>
  <c r="AR58" i="27"/>
  <c r="AR133" i="27"/>
  <c r="AR144" i="27"/>
  <c r="AR145" i="27"/>
  <c r="AR60" i="27"/>
  <c r="AR134" i="27"/>
  <c r="AQ147" i="27"/>
  <c r="AS147" i="27" s="1"/>
  <c r="AR148" i="27"/>
  <c r="AQ49" i="27"/>
  <c r="AS49" i="27" s="1"/>
  <c r="AR138" i="27"/>
  <c r="AR139" i="27"/>
  <c r="AR85" i="27"/>
  <c r="AR86" i="27"/>
  <c r="AR79" i="27"/>
  <c r="AQ80" i="27"/>
  <c r="AS80" i="27" s="1"/>
  <c r="AQ83" i="27"/>
  <c r="AS83" i="27" s="1"/>
  <c r="AR87" i="27"/>
  <c r="AR88" i="27"/>
  <c r="AR89" i="27"/>
  <c r="AR90" i="27"/>
  <c r="AR81" i="27"/>
  <c r="AQ82" i="27"/>
  <c r="AS82" i="27" s="1"/>
  <c r="AR73" i="27"/>
  <c r="AR74" i="27"/>
  <c r="AR69" i="27"/>
  <c r="AR70" i="27"/>
  <c r="AR71" i="27"/>
  <c r="AR72" i="27"/>
  <c r="AR75" i="27"/>
  <c r="AR76" i="27"/>
  <c r="AQ108" i="27"/>
  <c r="AS108" i="27" s="1"/>
  <c r="AR105" i="27"/>
  <c r="AR107" i="27"/>
  <c r="AR149" i="27"/>
  <c r="AR152" i="27"/>
  <c r="AR111" i="27"/>
  <c r="AR114" i="27"/>
  <c r="AR57" i="27"/>
  <c r="AQ52" i="27"/>
  <c r="AS52" i="27" s="1"/>
  <c r="AR181" i="27"/>
  <c r="AR188" i="27"/>
  <c r="AR192" i="27"/>
  <c r="AR194" i="27"/>
  <c r="AR197" i="27"/>
  <c r="AQ182" i="27"/>
  <c r="AS182" i="27" s="1"/>
  <c r="AR183" i="27"/>
  <c r="AR185" i="27"/>
  <c r="AR177" i="27"/>
  <c r="AQ163" i="27"/>
  <c r="AS163" i="27" s="1"/>
  <c r="AR167" i="27"/>
  <c r="AQ174" i="27"/>
  <c r="AS174" i="27" s="1"/>
  <c r="AR178" i="27"/>
  <c r="AR155" i="27"/>
  <c r="AR165" i="27"/>
  <c r="AR175" i="27"/>
  <c r="AR156" i="27"/>
  <c r="AQ159" i="27"/>
  <c r="AS159" i="27" s="1"/>
  <c r="AQ161" i="27"/>
  <c r="AS161" i="27" s="1"/>
  <c r="AQ12" i="27"/>
  <c r="AS12" i="27" s="1"/>
  <c r="AQ11" i="27"/>
  <c r="AS11" i="27" s="1"/>
  <c r="AQ7" i="27"/>
  <c r="AS7" i="27" s="1"/>
  <c r="AQ9" i="27"/>
  <c r="AS9" i="27" s="1"/>
  <c r="AQ8" i="27"/>
  <c r="AS8" i="27" s="1"/>
  <c r="AQ10" i="27"/>
  <c r="AS10" i="27" s="1"/>
  <c r="AQ13" i="27"/>
  <c r="AS13" i="27" s="1"/>
  <c r="AQ26" i="27"/>
  <c r="AS26" i="27" s="1"/>
  <c r="AQ22" i="27"/>
  <c r="AS22" i="27" s="1"/>
  <c r="AQ24" i="27"/>
  <c r="AS24" i="27" s="1"/>
  <c r="AQ25" i="27"/>
  <c r="AS25" i="27" s="1"/>
  <c r="AQ23" i="27"/>
  <c r="AS23" i="27" s="1"/>
  <c r="AQ21" i="27"/>
  <c r="AS21" i="27" s="1"/>
  <c r="AQ17" i="27"/>
  <c r="AS17" i="27" s="1"/>
  <c r="AQ20" i="27"/>
  <c r="AS20" i="27" s="1"/>
  <c r="AQ16" i="27"/>
  <c r="AS16" i="27" s="1"/>
  <c r="AQ19" i="27"/>
  <c r="AS19" i="27" s="1"/>
  <c r="AQ14" i="27"/>
  <c r="AS14" i="27" s="1"/>
  <c r="AQ18" i="27"/>
  <c r="AS18" i="27" s="1"/>
  <c r="AQ33" i="27"/>
  <c r="AS33" i="27" s="1"/>
  <c r="AQ32" i="27"/>
  <c r="AS32" i="27" s="1"/>
  <c r="AQ28" i="27"/>
  <c r="AS28" i="27" s="1"/>
  <c r="AQ27" i="27"/>
  <c r="AS27" i="27" s="1"/>
  <c r="AQ36" i="27"/>
  <c r="AS36" i="27" s="1"/>
  <c r="AQ40" i="27"/>
  <c r="AS40" i="27" s="1"/>
  <c r="AQ42" i="27"/>
  <c r="AS42" i="27" s="1"/>
  <c r="AQ38" i="27"/>
  <c r="AS38" i="27" s="1"/>
  <c r="AQ37" i="27"/>
  <c r="AS37" i="27" s="1"/>
  <c r="AQ41" i="27"/>
  <c r="AS41" i="27" s="1"/>
  <c r="AQ43" i="27"/>
  <c r="AS43" i="27" s="1"/>
  <c r="AQ39" i="27"/>
  <c r="AS39" i="27" s="1"/>
  <c r="AQ35" i="27"/>
  <c r="AS35" i="27" s="1"/>
  <c r="AQ122" i="27"/>
  <c r="AS122" i="27" s="1"/>
  <c r="AQ119" i="27"/>
  <c r="AS119" i="27" s="1"/>
  <c r="AQ121" i="27"/>
  <c r="AS121" i="27" s="1"/>
  <c r="AQ123" i="27"/>
  <c r="AS123" i="27" s="1"/>
  <c r="AQ124" i="27"/>
  <c r="AS124" i="27" s="1"/>
  <c r="AQ120" i="27"/>
  <c r="AS120" i="27" s="1"/>
  <c r="AQ54" i="27"/>
  <c r="AS54" i="27" s="1"/>
  <c r="AQ53" i="27"/>
  <c r="AS53" i="27" s="1"/>
  <c r="AQ146" i="27"/>
  <c r="AS146" i="27" s="1"/>
  <c r="AQ142" i="27"/>
  <c r="AS142" i="27" s="1"/>
  <c r="AQ143" i="27"/>
  <c r="AS143" i="27" s="1"/>
  <c r="AQ48" i="27"/>
  <c r="AS48" i="27" s="1"/>
  <c r="AQ135" i="27"/>
  <c r="AS135" i="27" s="1"/>
  <c r="AQ136" i="27"/>
  <c r="AS136" i="27" s="1"/>
  <c r="AQ137" i="27"/>
  <c r="AS137" i="27" s="1"/>
  <c r="AQ51" i="27"/>
  <c r="AS51" i="27" s="1"/>
  <c r="AU12" i="27"/>
  <c r="AU11" i="27"/>
  <c r="AU7" i="27"/>
  <c r="AU9" i="27"/>
  <c r="AU8" i="27"/>
  <c r="AU10" i="27"/>
  <c r="AU13" i="27"/>
  <c r="AU26" i="27"/>
  <c r="AU22" i="27"/>
  <c r="AU24" i="27"/>
  <c r="AU25" i="27"/>
  <c r="AU23" i="27"/>
  <c r="AU21" i="27"/>
  <c r="AU17" i="27"/>
  <c r="AU20" i="27"/>
  <c r="AU16" i="27"/>
  <c r="AU19" i="27"/>
  <c r="AU14" i="27"/>
  <c r="AU18" i="27"/>
  <c r="AU33" i="27"/>
  <c r="AU32" i="27"/>
  <c r="AU28" i="27"/>
  <c r="AU27" i="27"/>
  <c r="AU36" i="27"/>
  <c r="AU40" i="27"/>
  <c r="AU42" i="27"/>
  <c r="AU38" i="27"/>
  <c r="AU37" i="27"/>
  <c r="AU41" i="27"/>
  <c r="AU43" i="27"/>
  <c r="AU39" i="27"/>
  <c r="AU35" i="27"/>
  <c r="AU122" i="27"/>
  <c r="AU119" i="27"/>
  <c r="AU121" i="27"/>
  <c r="AU123" i="27"/>
  <c r="AU124" i="27"/>
  <c r="AU120" i="27"/>
  <c r="AU54" i="27"/>
  <c r="AU53" i="27"/>
  <c r="AU146" i="27"/>
  <c r="AU142" i="27"/>
  <c r="AU143" i="27"/>
  <c r="AU48" i="27"/>
  <c r="AU135" i="27"/>
  <c r="AU136" i="27"/>
  <c r="AU137" i="27"/>
  <c r="AU51" i="27"/>
  <c r="AU50" i="27"/>
  <c r="AU132" i="27"/>
  <c r="AU140" i="27"/>
  <c r="AU141" i="27"/>
  <c r="AU58" i="27"/>
  <c r="AU133" i="27"/>
  <c r="AU144" i="27"/>
  <c r="AU145" i="27"/>
  <c r="AU60" i="27"/>
  <c r="AU59" i="27"/>
  <c r="AU134" i="27"/>
  <c r="AU147" i="27"/>
  <c r="AU148" i="27"/>
  <c r="AU49" i="27"/>
  <c r="AU138" i="27"/>
  <c r="AU139" i="27"/>
  <c r="AU85" i="27"/>
  <c r="AU86" i="27"/>
  <c r="AU79" i="27"/>
  <c r="AU80" i="27"/>
  <c r="AU83" i="27"/>
  <c r="AU87" i="27"/>
  <c r="AU88" i="27"/>
  <c r="AU89" i="27"/>
  <c r="AU90" i="27"/>
  <c r="AU81" i="27"/>
  <c r="AU82" i="27"/>
  <c r="AU73" i="27"/>
  <c r="AU74" i="27"/>
  <c r="AU69" i="27"/>
  <c r="AU70" i="27"/>
  <c r="AU71" i="27"/>
  <c r="AU72" i="27"/>
  <c r="AU75" i="27"/>
  <c r="AU76" i="27"/>
  <c r="AU108" i="27"/>
  <c r="AU105" i="27"/>
  <c r="AU107" i="27"/>
  <c r="AU149" i="27"/>
  <c r="AU150" i="27"/>
  <c r="AU152" i="27"/>
  <c r="AU111" i="27"/>
  <c r="AU114" i="27"/>
  <c r="AU109" i="27"/>
  <c r="AU57" i="27"/>
  <c r="AU52" i="27"/>
  <c r="AU181" i="27"/>
  <c r="AU188" i="27"/>
  <c r="AU192" i="27"/>
  <c r="AU194" i="27"/>
  <c r="AU197" i="27"/>
  <c r="AU182" i="27"/>
  <c r="AU183" i="27"/>
  <c r="AU185" i="27"/>
  <c r="AU177" i="27"/>
  <c r="AU173" i="27"/>
  <c r="AU163" i="27"/>
  <c r="AU167" i="27"/>
  <c r="AU174" i="27"/>
  <c r="AU178" i="27"/>
  <c r="AU155" i="27"/>
  <c r="AU165" i="27"/>
  <c r="AU175" i="27"/>
  <c r="AU179" i="27"/>
  <c r="AU156" i="27"/>
  <c r="AU166" i="27"/>
  <c r="AU159" i="27"/>
  <c r="AU164" i="27"/>
  <c r="AU161" i="27"/>
  <c r="AV12" i="27"/>
  <c r="AW12" i="27" s="1"/>
  <c r="AV11" i="27"/>
  <c r="AW11" i="27" s="1"/>
  <c r="AV7" i="27"/>
  <c r="AW7" i="27" s="1"/>
  <c r="AV9" i="27"/>
  <c r="AW9" i="27" s="1"/>
  <c r="AV8" i="27"/>
  <c r="AW8" i="27" s="1"/>
  <c r="AV10" i="27"/>
  <c r="AW10" i="27" s="1"/>
  <c r="AV13" i="27"/>
  <c r="AW13" i="27" s="1"/>
  <c r="AV26" i="27"/>
  <c r="AW26" i="27" s="1"/>
  <c r="AV22" i="27"/>
  <c r="AW22" i="27" s="1"/>
  <c r="AV24" i="27"/>
  <c r="AW24" i="27" s="1"/>
  <c r="AV25" i="27"/>
  <c r="AW25" i="27" s="1"/>
  <c r="AV23" i="27"/>
  <c r="AW23" i="27" s="1"/>
  <c r="AV21" i="27"/>
  <c r="AW21" i="27" s="1"/>
  <c r="AV17" i="27"/>
  <c r="AW17" i="27" s="1"/>
  <c r="AV20" i="27"/>
  <c r="AW20" i="27" s="1"/>
  <c r="AV16" i="27"/>
  <c r="AW16" i="27" s="1"/>
  <c r="AV19" i="27"/>
  <c r="AW19" i="27" s="1"/>
  <c r="AV14" i="27"/>
  <c r="AW14" i="27" s="1"/>
  <c r="AV18" i="27"/>
  <c r="AW18" i="27" s="1"/>
  <c r="AV33" i="27"/>
  <c r="AW33" i="27" s="1"/>
  <c r="AV32" i="27"/>
  <c r="AW32" i="27" s="1"/>
  <c r="AV28" i="27"/>
  <c r="AW28" i="27" s="1"/>
  <c r="AV27" i="27"/>
  <c r="AW27" i="27" s="1"/>
  <c r="AV36" i="27"/>
  <c r="AW36" i="27" s="1"/>
  <c r="AV40" i="27"/>
  <c r="AW40" i="27" s="1"/>
  <c r="AV42" i="27"/>
  <c r="AW42" i="27" s="1"/>
  <c r="AV38" i="27"/>
  <c r="AW38" i="27" s="1"/>
  <c r="AV37" i="27"/>
  <c r="AW37" i="27" s="1"/>
  <c r="AV41" i="27"/>
  <c r="AW41" i="27" s="1"/>
  <c r="AV43" i="27"/>
  <c r="AW43" i="27" s="1"/>
  <c r="AV39" i="27"/>
  <c r="AW39" i="27" s="1"/>
  <c r="AV35" i="27"/>
  <c r="AW35" i="27" s="1"/>
  <c r="AV122" i="27"/>
  <c r="AW122" i="27" s="1"/>
  <c r="AV119" i="27"/>
  <c r="AW119" i="27" s="1"/>
  <c r="AV121" i="27"/>
  <c r="AW121" i="27" s="1"/>
  <c r="AV123" i="27"/>
  <c r="AW123" i="27" s="1"/>
  <c r="AV124" i="27"/>
  <c r="AW124" i="27" s="1"/>
  <c r="AV120" i="27"/>
  <c r="AW120" i="27" s="1"/>
  <c r="AV54" i="27"/>
  <c r="AW54" i="27" s="1"/>
  <c r="AV53" i="27"/>
  <c r="AW53" i="27" s="1"/>
  <c r="AV146" i="27"/>
  <c r="AW146" i="27" s="1"/>
  <c r="AV142" i="27"/>
  <c r="AW142" i="27" s="1"/>
  <c r="AV143" i="27"/>
  <c r="AW143" i="27" s="1"/>
  <c r="AV48" i="27"/>
  <c r="AW48" i="27" s="1"/>
  <c r="AV135" i="27"/>
  <c r="AW135" i="27" s="1"/>
  <c r="AV136" i="27"/>
  <c r="AW136" i="27" s="1"/>
  <c r="AV137" i="27"/>
  <c r="AW137" i="27" s="1"/>
  <c r="AV51" i="27"/>
  <c r="AW51" i="27" s="1"/>
  <c r="AV50" i="27"/>
  <c r="AW50" i="27" s="1"/>
  <c r="AV132" i="27"/>
  <c r="AW132" i="27" s="1"/>
  <c r="AV140" i="27"/>
  <c r="AW140" i="27" s="1"/>
  <c r="AV141" i="27"/>
  <c r="AW141" i="27" s="1"/>
  <c r="AV58" i="27"/>
  <c r="AW58" i="27" s="1"/>
  <c r="AV133" i="27"/>
  <c r="AW133" i="27" s="1"/>
  <c r="AV144" i="27"/>
  <c r="AW144" i="27" s="1"/>
  <c r="AV145" i="27"/>
  <c r="AW145" i="27" s="1"/>
  <c r="AV60" i="27"/>
  <c r="AW60" i="27" s="1"/>
  <c r="AV59" i="27"/>
  <c r="AW59" i="27" s="1"/>
  <c r="AV134" i="27"/>
  <c r="AW134" i="27" s="1"/>
  <c r="AV147" i="27"/>
  <c r="AW147" i="27" s="1"/>
  <c r="AV148" i="27"/>
  <c r="AW148" i="27" s="1"/>
  <c r="AV49" i="27"/>
  <c r="AW49" i="27" s="1"/>
  <c r="AV138" i="27"/>
  <c r="AW138" i="27" s="1"/>
  <c r="AV139" i="27"/>
  <c r="AW139" i="27" s="1"/>
  <c r="AV85" i="27"/>
  <c r="AW85" i="27" s="1"/>
  <c r="AV86" i="27"/>
  <c r="AW86" i="27" s="1"/>
  <c r="AV79" i="27"/>
  <c r="AW79" i="27" s="1"/>
  <c r="AV80" i="27"/>
  <c r="AW80" i="27" s="1"/>
  <c r="AV83" i="27"/>
  <c r="AW83" i="27" s="1"/>
  <c r="AV87" i="27"/>
  <c r="AW87" i="27" s="1"/>
  <c r="AV88" i="27"/>
  <c r="AW88" i="27" s="1"/>
  <c r="AV89" i="27"/>
  <c r="AW89" i="27" s="1"/>
  <c r="AV90" i="27"/>
  <c r="AW90" i="27" s="1"/>
  <c r="AV81" i="27"/>
  <c r="AW81" i="27" s="1"/>
  <c r="AV82" i="27"/>
  <c r="AW82" i="27" s="1"/>
  <c r="AV73" i="27"/>
  <c r="AW73" i="27" s="1"/>
  <c r="AV74" i="27"/>
  <c r="AW74" i="27" s="1"/>
  <c r="AV69" i="27"/>
  <c r="AW69" i="27" s="1"/>
  <c r="AV70" i="27"/>
  <c r="AW70" i="27" s="1"/>
  <c r="AV71" i="27"/>
  <c r="AW71" i="27" s="1"/>
  <c r="AV72" i="27"/>
  <c r="AW72" i="27" s="1"/>
  <c r="AV75" i="27"/>
  <c r="AW75" i="27" s="1"/>
  <c r="AV76" i="27"/>
  <c r="AW76" i="27" s="1"/>
  <c r="AV108" i="27"/>
  <c r="AW108" i="27" s="1"/>
  <c r="AV105" i="27"/>
  <c r="AW105" i="27" s="1"/>
  <c r="AV107" i="27"/>
  <c r="AW107" i="27" s="1"/>
  <c r="AV149" i="27"/>
  <c r="AW149" i="27" s="1"/>
  <c r="AV150" i="27"/>
  <c r="AW150" i="27" s="1"/>
  <c r="AV152" i="27"/>
  <c r="AW152" i="27" s="1"/>
  <c r="AV111" i="27"/>
  <c r="AW111" i="27" s="1"/>
  <c r="AV114" i="27"/>
  <c r="AW114" i="27" s="1"/>
  <c r="AV109" i="27"/>
  <c r="AW109" i="27" s="1"/>
  <c r="AV57" i="27"/>
  <c r="AW57" i="27" s="1"/>
  <c r="AV52" i="27"/>
  <c r="AW52" i="27" s="1"/>
  <c r="AV181" i="27"/>
  <c r="AW181" i="27" s="1"/>
  <c r="AV188" i="27"/>
  <c r="AW188" i="27" s="1"/>
  <c r="AV192" i="27"/>
  <c r="AW192" i="27" s="1"/>
  <c r="AV194" i="27"/>
  <c r="AW194" i="27" s="1"/>
  <c r="AV197" i="27"/>
  <c r="AW197" i="27" s="1"/>
  <c r="AV182" i="27"/>
  <c r="AW182" i="27" s="1"/>
  <c r="AV183" i="27"/>
  <c r="AW183" i="27" s="1"/>
  <c r="AV185" i="27"/>
  <c r="AW185" i="27" s="1"/>
  <c r="AV177" i="27"/>
  <c r="AW177" i="27" s="1"/>
  <c r="AV173" i="27"/>
  <c r="AW173" i="27" s="1"/>
  <c r="AV163" i="27"/>
  <c r="AW163" i="27" s="1"/>
  <c r="AV167" i="27"/>
  <c r="AW167" i="27" s="1"/>
  <c r="AV174" i="27"/>
  <c r="AW174" i="27" s="1"/>
  <c r="AV178" i="27"/>
  <c r="AW178" i="27" s="1"/>
  <c r="AV155" i="27"/>
  <c r="AW155" i="27" s="1"/>
  <c r="AV165" i="27"/>
  <c r="AW165" i="27" s="1"/>
  <c r="AV175" i="27"/>
  <c r="AW175" i="27" s="1"/>
  <c r="AV179" i="27"/>
  <c r="AW179" i="27" s="1"/>
  <c r="AV156" i="27"/>
  <c r="AW156" i="27" s="1"/>
  <c r="AV166" i="27"/>
  <c r="AW166" i="27" s="1"/>
  <c r="AV159" i="27"/>
  <c r="AW159" i="27" s="1"/>
  <c r="AV164" i="27"/>
  <c r="AW164" i="27" s="1"/>
  <c r="AV161" i="27"/>
  <c r="AW161" i="27" s="1"/>
  <c r="BA12" i="27"/>
  <c r="BA11" i="27"/>
  <c r="BA7" i="27"/>
  <c r="BA9" i="27"/>
  <c r="BA8" i="27"/>
  <c r="BA10" i="27"/>
  <c r="BA13" i="27"/>
  <c r="BA26" i="27"/>
  <c r="BA22" i="27"/>
  <c r="BA24" i="27"/>
  <c r="BA25" i="27"/>
  <c r="BA23" i="27"/>
  <c r="BA21" i="27"/>
  <c r="BA17" i="27"/>
  <c r="BA20" i="27"/>
  <c r="BA16" i="27"/>
  <c r="BA19" i="27"/>
  <c r="BA14" i="27"/>
  <c r="BA18" i="27"/>
  <c r="BA33" i="27"/>
  <c r="BA32" i="27"/>
  <c r="BA28" i="27"/>
  <c r="BA27" i="27"/>
  <c r="BA36" i="27"/>
  <c r="BA40" i="27"/>
  <c r="BA42" i="27"/>
  <c r="BA38" i="27"/>
  <c r="BA37" i="27"/>
  <c r="BA41" i="27"/>
  <c r="BA43" i="27"/>
  <c r="BA39" i="27"/>
  <c r="BA35" i="27"/>
  <c r="BA122" i="27"/>
  <c r="BA119" i="27"/>
  <c r="BA121" i="27"/>
  <c r="BA123" i="27"/>
  <c r="BA124" i="27"/>
  <c r="BA120" i="27"/>
  <c r="BA54" i="27"/>
  <c r="BA53" i="27"/>
  <c r="BA146" i="27"/>
  <c r="BA142" i="27"/>
  <c r="BA143" i="27"/>
  <c r="BA48" i="27"/>
  <c r="BA135" i="27"/>
  <c r="BA136" i="27"/>
  <c r="BA137" i="27"/>
  <c r="BA51" i="27"/>
  <c r="BA50" i="27"/>
  <c r="BA132" i="27"/>
  <c r="BA140" i="27"/>
  <c r="BA141" i="27"/>
  <c r="BA58" i="27"/>
  <c r="BA133" i="27"/>
  <c r="BA144" i="27"/>
  <c r="BA145" i="27"/>
  <c r="BA60" i="27"/>
  <c r="BA59" i="27"/>
  <c r="BA134" i="27"/>
  <c r="BA147" i="27"/>
  <c r="BA148" i="27"/>
  <c r="BA49" i="27"/>
  <c r="BA138" i="27"/>
  <c r="BA139" i="27"/>
  <c r="BA85" i="27"/>
  <c r="BA86" i="27"/>
  <c r="BA79" i="27"/>
  <c r="BA80" i="27"/>
  <c r="BA83" i="27"/>
  <c r="BA87" i="27"/>
  <c r="BA88" i="27"/>
  <c r="BA89" i="27"/>
  <c r="BA90" i="27"/>
  <c r="BA81" i="27"/>
  <c r="BA82" i="27"/>
  <c r="BA73" i="27"/>
  <c r="BA74" i="27"/>
  <c r="BA69" i="27"/>
  <c r="BA70" i="27"/>
  <c r="BA71" i="27"/>
  <c r="BA72" i="27"/>
  <c r="BA75" i="27"/>
  <c r="BA76" i="27"/>
  <c r="BA108" i="27"/>
  <c r="BA105" i="27"/>
  <c r="BA107" i="27"/>
  <c r="BA149" i="27"/>
  <c r="BA150" i="27"/>
  <c r="BA152" i="27"/>
  <c r="BA111" i="27"/>
  <c r="BA114" i="27"/>
  <c r="BA109" i="27"/>
  <c r="BA57" i="27"/>
  <c r="BA52" i="27"/>
  <c r="BA181" i="27"/>
  <c r="BA188" i="27"/>
  <c r="BA192" i="27"/>
  <c r="BA194" i="27"/>
  <c r="BA197" i="27"/>
  <c r="BA182" i="27"/>
  <c r="BA183" i="27"/>
  <c r="BA185" i="27"/>
  <c r="BA177" i="27"/>
  <c r="BA173" i="27"/>
  <c r="BA163" i="27"/>
  <c r="BA167" i="27"/>
  <c r="BA174" i="27"/>
  <c r="BA178" i="27"/>
  <c r="BA155" i="27"/>
  <c r="BA165" i="27"/>
  <c r="BA175" i="27"/>
  <c r="BA179" i="27"/>
  <c r="BA156" i="27"/>
  <c r="BA166" i="27"/>
  <c r="BA159" i="27"/>
  <c r="BA164" i="27"/>
  <c r="BA161" i="27"/>
  <c r="BB12" i="27"/>
  <c r="BB11" i="27"/>
  <c r="BB7" i="27"/>
  <c r="BB9" i="27"/>
  <c r="BB8" i="27"/>
  <c r="BB10" i="27"/>
  <c r="BB13" i="27"/>
  <c r="BB26" i="27"/>
  <c r="BB22" i="27"/>
  <c r="BB24" i="27"/>
  <c r="BB25" i="27"/>
  <c r="BB23" i="27"/>
  <c r="BB21" i="27"/>
  <c r="BB17" i="27"/>
  <c r="BB20" i="27"/>
  <c r="BB16" i="27"/>
  <c r="BB19" i="27"/>
  <c r="BB14" i="27"/>
  <c r="BB18" i="27"/>
  <c r="BB33" i="27"/>
  <c r="BB32" i="27"/>
  <c r="BB28" i="27"/>
  <c r="BB27" i="27"/>
  <c r="BB36" i="27"/>
  <c r="BB40" i="27"/>
  <c r="BB42" i="27"/>
  <c r="BB38" i="27"/>
  <c r="BB37" i="27"/>
  <c r="BB41" i="27"/>
  <c r="BB43" i="27"/>
  <c r="BB39" i="27"/>
  <c r="BB35" i="27"/>
  <c r="BB122" i="27"/>
  <c r="BB119" i="27"/>
  <c r="BB121" i="27"/>
  <c r="BB123" i="27"/>
  <c r="BB124" i="27"/>
  <c r="BB120" i="27"/>
  <c r="BB54" i="27"/>
  <c r="BB53" i="27"/>
  <c r="BB146" i="27"/>
  <c r="BB142" i="27"/>
  <c r="BB143" i="27"/>
  <c r="BB48" i="27"/>
  <c r="BB135" i="27"/>
  <c r="BB136" i="27"/>
  <c r="BB137" i="27"/>
  <c r="BB51" i="27"/>
  <c r="BB50" i="27"/>
  <c r="BB132" i="27"/>
  <c r="BB140" i="27"/>
  <c r="BB141" i="27"/>
  <c r="BB58" i="27"/>
  <c r="BB133" i="27"/>
  <c r="BB144" i="27"/>
  <c r="BB145" i="27"/>
  <c r="BB60" i="27"/>
  <c r="BB59" i="27"/>
  <c r="BB134" i="27"/>
  <c r="BB147" i="27"/>
  <c r="BB148" i="27"/>
  <c r="BB49" i="27"/>
  <c r="BB138" i="27"/>
  <c r="BB139" i="27"/>
  <c r="BB85" i="27"/>
  <c r="BB86" i="27"/>
  <c r="BB79" i="27"/>
  <c r="BB80" i="27"/>
  <c r="BB83" i="27"/>
  <c r="BB87" i="27"/>
  <c r="BB88" i="27"/>
  <c r="BB89" i="27"/>
  <c r="BB90" i="27"/>
  <c r="BB81" i="27"/>
  <c r="BB82" i="27"/>
  <c r="BB73" i="27"/>
  <c r="BB74" i="27"/>
  <c r="BB69" i="27"/>
  <c r="BB70" i="27"/>
  <c r="BB71" i="27"/>
  <c r="BB72" i="27"/>
  <c r="BB75" i="27"/>
  <c r="BB76" i="27"/>
  <c r="BB108" i="27"/>
  <c r="BB105" i="27"/>
  <c r="BB107" i="27"/>
  <c r="BB149" i="27"/>
  <c r="BB150" i="27"/>
  <c r="BB152" i="27"/>
  <c r="BB111" i="27"/>
  <c r="BB114" i="27"/>
  <c r="BB109" i="27"/>
  <c r="BB57" i="27"/>
  <c r="BB52" i="27"/>
  <c r="BB181" i="27"/>
  <c r="BB188" i="27"/>
  <c r="BB192" i="27"/>
  <c r="BB194" i="27"/>
  <c r="BB197" i="27"/>
  <c r="BB182" i="27"/>
  <c r="BB183" i="27"/>
  <c r="BB185" i="27"/>
  <c r="BB177" i="27"/>
  <c r="BB173" i="27"/>
  <c r="BB163" i="27"/>
  <c r="BB167" i="27"/>
  <c r="BB174" i="27"/>
  <c r="BB178" i="27"/>
  <c r="BB155" i="27"/>
  <c r="BB165" i="27"/>
  <c r="BB175" i="27"/>
  <c r="BB179" i="27"/>
  <c r="BB156" i="27"/>
  <c r="BB166" i="27"/>
  <c r="BB159" i="27"/>
  <c r="BB164" i="27"/>
  <c r="BB161" i="27"/>
  <c r="BE12" i="27"/>
  <c r="BE11" i="27"/>
  <c r="BE7" i="27"/>
  <c r="BE9" i="27"/>
  <c r="BE8" i="27"/>
  <c r="BE10" i="27"/>
  <c r="BE13" i="27"/>
  <c r="BE26" i="27"/>
  <c r="BE22" i="27"/>
  <c r="BE24" i="27"/>
  <c r="BE25" i="27"/>
  <c r="BE23" i="27"/>
  <c r="BE21" i="27"/>
  <c r="BE17" i="27"/>
  <c r="BE20" i="27"/>
  <c r="BE16" i="27"/>
  <c r="BE19" i="27"/>
  <c r="BE14" i="27"/>
  <c r="BE18" i="27"/>
  <c r="BE33" i="27"/>
  <c r="BE32" i="27"/>
  <c r="BE28" i="27"/>
  <c r="BE27" i="27"/>
  <c r="BE36" i="27"/>
  <c r="BE40" i="27"/>
  <c r="BE42" i="27"/>
  <c r="BE38" i="27"/>
  <c r="BE37" i="27"/>
  <c r="BE41" i="27"/>
  <c r="BE43" i="27"/>
  <c r="BE39" i="27"/>
  <c r="BE35" i="27"/>
  <c r="BE122" i="27"/>
  <c r="BE119" i="27"/>
  <c r="BE121" i="27"/>
  <c r="BE123" i="27"/>
  <c r="BE124" i="27"/>
  <c r="BE120" i="27"/>
  <c r="BE54" i="27"/>
  <c r="BE53" i="27"/>
  <c r="BE146" i="27"/>
  <c r="BE142" i="27"/>
  <c r="BE143" i="27"/>
  <c r="BE48" i="27"/>
  <c r="BE135" i="27"/>
  <c r="BE136" i="27"/>
  <c r="BE137" i="27"/>
  <c r="BE51" i="27"/>
  <c r="BE50" i="27"/>
  <c r="BE132" i="27"/>
  <c r="BE140" i="27"/>
  <c r="BE141" i="27"/>
  <c r="BE58" i="27"/>
  <c r="BE133" i="27"/>
  <c r="BE144" i="27"/>
  <c r="BE145" i="27"/>
  <c r="BE60" i="27"/>
  <c r="BE59" i="27"/>
  <c r="BE134" i="27"/>
  <c r="BE147" i="27"/>
  <c r="BE148" i="27"/>
  <c r="BE49" i="27"/>
  <c r="BE138" i="27"/>
  <c r="BE139" i="27"/>
  <c r="BE85" i="27"/>
  <c r="BE86" i="27"/>
  <c r="BE79" i="27"/>
  <c r="BE80" i="27"/>
  <c r="BE83" i="27"/>
  <c r="BE87" i="27"/>
  <c r="BE88" i="27"/>
  <c r="BE89" i="27"/>
  <c r="BE90" i="27"/>
  <c r="BE81" i="27"/>
  <c r="BE82" i="27"/>
  <c r="BE73" i="27"/>
  <c r="BE74" i="27"/>
  <c r="BE69" i="27"/>
  <c r="BE70" i="27"/>
  <c r="BE71" i="27"/>
  <c r="BE72" i="27"/>
  <c r="BE75" i="27"/>
  <c r="BE76" i="27"/>
  <c r="BE108" i="27"/>
  <c r="BE105" i="27"/>
  <c r="BE107" i="27"/>
  <c r="BE149" i="27"/>
  <c r="BE150" i="27"/>
  <c r="BE152" i="27"/>
  <c r="BE111" i="27"/>
  <c r="BE114" i="27"/>
  <c r="BE109" i="27"/>
  <c r="BE57" i="27"/>
  <c r="BE52" i="27"/>
  <c r="BE181" i="27"/>
  <c r="BE188" i="27"/>
  <c r="BE192" i="27"/>
  <c r="BE194" i="27"/>
  <c r="BE197" i="27"/>
  <c r="BE182" i="27"/>
  <c r="BE183" i="27"/>
  <c r="BE185" i="27"/>
  <c r="BE177" i="27"/>
  <c r="BE173" i="27"/>
  <c r="BE163" i="27"/>
  <c r="BE167" i="27"/>
  <c r="BE174" i="27"/>
  <c r="BE178" i="27"/>
  <c r="BE155" i="27"/>
  <c r="BE165" i="27"/>
  <c r="BE175" i="27"/>
  <c r="BE179" i="27"/>
  <c r="BE156" i="27"/>
  <c r="BE166" i="27"/>
  <c r="BE159" i="27"/>
  <c r="BE164" i="27"/>
  <c r="BE161" i="27"/>
  <c r="BF12" i="27"/>
  <c r="BF11" i="27"/>
  <c r="BF7" i="27"/>
  <c r="BF9" i="27"/>
  <c r="BF8" i="27"/>
  <c r="BF10" i="27"/>
  <c r="BF13" i="27"/>
  <c r="BF26" i="27"/>
  <c r="BF22" i="27"/>
  <c r="BF24" i="27"/>
  <c r="BF25" i="27"/>
  <c r="BF23" i="27"/>
  <c r="BF21" i="27"/>
  <c r="BF17" i="27"/>
  <c r="BF20" i="27"/>
  <c r="BF16" i="27"/>
  <c r="BF19" i="27"/>
  <c r="BF14" i="27"/>
  <c r="BF18" i="27"/>
  <c r="BF33" i="27"/>
  <c r="BF32" i="27"/>
  <c r="BF28" i="27"/>
  <c r="BF27" i="27"/>
  <c r="BF36" i="27"/>
  <c r="BF40" i="27"/>
  <c r="BF42" i="27"/>
  <c r="BF38" i="27"/>
  <c r="BF37" i="27"/>
  <c r="BF41" i="27"/>
  <c r="BF43" i="27"/>
  <c r="BF39" i="27"/>
  <c r="BF35" i="27"/>
  <c r="BF122" i="27"/>
  <c r="BF119" i="27"/>
  <c r="BF121" i="27"/>
  <c r="BF123" i="27"/>
  <c r="BF124" i="27"/>
  <c r="BF120" i="27"/>
  <c r="BF54" i="27"/>
  <c r="BF53" i="27"/>
  <c r="BF146" i="27"/>
  <c r="BF142" i="27"/>
  <c r="BF143" i="27"/>
  <c r="BF48" i="27"/>
  <c r="BF135" i="27"/>
  <c r="BF136" i="27"/>
  <c r="BF137" i="27"/>
  <c r="BF51" i="27"/>
  <c r="BF50" i="27"/>
  <c r="BF132" i="27"/>
  <c r="BF140" i="27"/>
  <c r="BF141" i="27"/>
  <c r="BF58" i="27"/>
  <c r="BF133" i="27"/>
  <c r="BF144" i="27"/>
  <c r="BF145" i="27"/>
  <c r="BF60" i="27"/>
  <c r="BF59" i="27"/>
  <c r="BF134" i="27"/>
  <c r="BF147" i="27"/>
  <c r="BF148" i="27"/>
  <c r="BF49" i="27"/>
  <c r="BF138" i="27"/>
  <c r="BF139" i="27"/>
  <c r="BF85" i="27"/>
  <c r="BF86" i="27"/>
  <c r="BF79" i="27"/>
  <c r="BF80" i="27"/>
  <c r="BF83" i="27"/>
  <c r="BF87" i="27"/>
  <c r="BF88" i="27"/>
  <c r="BF89" i="27"/>
  <c r="BF90" i="27"/>
  <c r="BF81" i="27"/>
  <c r="BF82" i="27"/>
  <c r="BF73" i="27"/>
  <c r="BF74" i="27"/>
  <c r="BF69" i="27"/>
  <c r="BF70" i="27"/>
  <c r="BF71" i="27"/>
  <c r="BF72" i="27"/>
  <c r="BF75" i="27"/>
  <c r="BF76" i="27"/>
  <c r="BF108" i="27"/>
  <c r="BF105" i="27"/>
  <c r="BF107" i="27"/>
  <c r="BF149" i="27"/>
  <c r="BF150" i="27"/>
  <c r="BF152" i="27"/>
  <c r="BF111" i="27"/>
  <c r="BF114" i="27"/>
  <c r="BF109" i="27"/>
  <c r="BF57" i="27"/>
  <c r="BF52" i="27"/>
  <c r="BF181" i="27"/>
  <c r="BF188" i="27"/>
  <c r="BF192" i="27"/>
  <c r="BF194" i="27"/>
  <c r="BF197" i="27"/>
  <c r="BF182" i="27"/>
  <c r="BF183" i="27"/>
  <c r="BF185" i="27"/>
  <c r="BF177" i="27"/>
  <c r="BF173" i="27"/>
  <c r="BF163" i="27"/>
  <c r="BF167" i="27"/>
  <c r="BF174" i="27"/>
  <c r="BF178" i="27"/>
  <c r="BF155" i="27"/>
  <c r="BF165" i="27"/>
  <c r="BF175" i="27"/>
  <c r="BF179" i="27"/>
  <c r="BF156" i="27"/>
  <c r="BF166" i="27"/>
  <c r="BF159" i="27"/>
  <c r="BF164" i="27"/>
  <c r="BF161" i="27"/>
  <c r="BI122" i="27"/>
  <c r="BK122" i="27"/>
  <c r="BL181" i="27"/>
  <c r="I6" i="27"/>
  <c r="BL11" i="27" l="1"/>
  <c r="BK50" i="27"/>
  <c r="BJ50" i="27"/>
  <c r="BL50" i="27"/>
  <c r="BI139" i="27"/>
  <c r="BJ14" i="27"/>
  <c r="BJ139" i="27"/>
  <c r="BK139" i="27"/>
  <c r="BK11" i="27"/>
  <c r="BJ11" i="27"/>
  <c r="BN24" i="27"/>
  <c r="BK175" i="27"/>
  <c r="BK70" i="27"/>
  <c r="BI70" i="27"/>
  <c r="BK40" i="27"/>
  <c r="BN40" i="27"/>
  <c r="BN60" i="27"/>
  <c r="BL60" i="27"/>
  <c r="BI40" i="27"/>
  <c r="BN149" i="27"/>
  <c r="BD149" i="27"/>
  <c r="BL188" i="27"/>
  <c r="BN59" i="27"/>
  <c r="BN150" i="27"/>
  <c r="BK7" i="27"/>
  <c r="BN70" i="27"/>
  <c r="BN146" i="27"/>
  <c r="BN11" i="27"/>
  <c r="BL70" i="27"/>
  <c r="BL122" i="27"/>
  <c r="BK177" i="27"/>
  <c r="BK60" i="27"/>
  <c r="BK14" i="27"/>
  <c r="BJ181" i="27"/>
  <c r="BJ146" i="27"/>
  <c r="BI175" i="27"/>
  <c r="BI60" i="27"/>
  <c r="BI24" i="27"/>
  <c r="BN181" i="27"/>
  <c r="BN139" i="27"/>
  <c r="BN122" i="27"/>
  <c r="BL177" i="27"/>
  <c r="BL88" i="27"/>
  <c r="BL14" i="27"/>
  <c r="BK149" i="27"/>
  <c r="BK146" i="27"/>
  <c r="BK24" i="27"/>
  <c r="BJ88" i="27"/>
  <c r="BJ40" i="27"/>
  <c r="BI177" i="27"/>
  <c r="BI50" i="27"/>
  <c r="BN188" i="27"/>
  <c r="BL18" i="27"/>
  <c r="BJ18" i="27"/>
  <c r="BI119" i="27"/>
  <c r="BI7" i="27"/>
  <c r="BJ150" i="27"/>
  <c r="BJ7" i="27"/>
  <c r="BI71" i="27"/>
  <c r="BI132" i="27"/>
  <c r="BL89" i="27"/>
  <c r="BK71" i="27"/>
  <c r="BJ142" i="27"/>
  <c r="BI173" i="27"/>
  <c r="BN179" i="27"/>
  <c r="BL59" i="27"/>
  <c r="BK85" i="27"/>
  <c r="BK119" i="27"/>
  <c r="BJ132" i="27"/>
  <c r="BI150" i="27"/>
  <c r="BK185" i="27"/>
  <c r="BI138" i="27"/>
  <c r="BI51" i="27"/>
  <c r="BJ107" i="27"/>
  <c r="BL51" i="27"/>
  <c r="BI69" i="27"/>
  <c r="BN19" i="27"/>
  <c r="BN35" i="27"/>
  <c r="BK35" i="27"/>
  <c r="BI35" i="27"/>
  <c r="BN69" i="27"/>
  <c r="BN12" i="27"/>
  <c r="BL52" i="27"/>
  <c r="BL53" i="27"/>
  <c r="BJ185" i="27"/>
  <c r="BJ36" i="27"/>
  <c r="BI22" i="27"/>
  <c r="BN138" i="27"/>
  <c r="BL36" i="27"/>
  <c r="BL12" i="27"/>
  <c r="BK53" i="27"/>
  <c r="BJ138" i="27"/>
  <c r="BI53" i="27"/>
  <c r="M59" i="27"/>
  <c r="BD36" i="27"/>
  <c r="BJ53" i="27"/>
  <c r="BN87" i="27"/>
  <c r="BL185" i="27"/>
  <c r="BK52" i="27"/>
  <c r="BK138" i="27"/>
  <c r="BK36" i="27"/>
  <c r="BJ52" i="27"/>
  <c r="BJ87" i="27"/>
  <c r="BI87" i="27"/>
  <c r="BI36" i="27"/>
  <c r="BN165" i="27"/>
  <c r="BL35" i="27"/>
  <c r="BL19" i="27"/>
  <c r="BK165" i="27"/>
  <c r="BJ51" i="27"/>
  <c r="BI165" i="27"/>
  <c r="BD165" i="27"/>
  <c r="BD69" i="27"/>
  <c r="BD145" i="27"/>
  <c r="BD53" i="27"/>
  <c r="BD51" i="27"/>
  <c r="BD138" i="27"/>
  <c r="A52" i="27"/>
  <c r="BD52" i="27"/>
  <c r="A19" i="27"/>
  <c r="BD19" i="27"/>
  <c r="A12" i="27"/>
  <c r="BD12" i="27"/>
  <c r="BL107" i="27"/>
  <c r="BI107" i="27"/>
  <c r="BN107" i="27"/>
  <c r="BJ69" i="27"/>
  <c r="BL69" i="27"/>
  <c r="BK145" i="27"/>
  <c r="BI145" i="27"/>
  <c r="BK19" i="27"/>
  <c r="BJ19" i="27"/>
  <c r="BJ22" i="27"/>
  <c r="BK22" i="27"/>
  <c r="M88" i="27"/>
  <c r="M16" i="27"/>
  <c r="BD22" i="27"/>
  <c r="BD87" i="27"/>
  <c r="BD35" i="27"/>
  <c r="M39" i="27"/>
  <c r="M26" i="27"/>
  <c r="M105" i="27"/>
  <c r="BL132" i="27"/>
  <c r="BL7" i="27"/>
  <c r="M11" i="27"/>
  <c r="M8" i="27"/>
  <c r="M9" i="27"/>
  <c r="M7" i="27"/>
  <c r="M10" i="27"/>
  <c r="BN119" i="27"/>
  <c r="BL71" i="27"/>
  <c r="BJ85" i="27"/>
  <c r="AM73" i="27"/>
  <c r="AO73" i="27" s="1"/>
  <c r="AQ87" i="27"/>
  <c r="AS87" i="27" s="1"/>
  <c r="AQ73" i="27"/>
  <c r="AS73" i="27" s="1"/>
  <c r="M175" i="27"/>
  <c r="AQ107" i="27"/>
  <c r="AS107" i="27" s="1"/>
  <c r="AQ138" i="27"/>
  <c r="AS138" i="27" s="1"/>
  <c r="AM83" i="27"/>
  <c r="AO83" i="27" s="1"/>
  <c r="AQ105" i="27"/>
  <c r="AS105" i="27" s="1"/>
  <c r="M161" i="27"/>
  <c r="AQ69" i="27"/>
  <c r="AS69" i="27" s="1"/>
  <c r="AQ74" i="27"/>
  <c r="AS74" i="27" s="1"/>
  <c r="AQ148" i="27"/>
  <c r="AS148" i="27" s="1"/>
  <c r="M183" i="27"/>
  <c r="M54" i="27"/>
  <c r="M57" i="27"/>
  <c r="AQ145" i="27"/>
  <c r="AS145" i="27" s="1"/>
  <c r="AQ144" i="27"/>
  <c r="AS144" i="27" s="1"/>
  <c r="BJ111" i="27"/>
  <c r="AQ133" i="27"/>
  <c r="AS133" i="27" s="1"/>
  <c r="BN132" i="27"/>
  <c r="BL150" i="27"/>
  <c r="BL85" i="27"/>
  <c r="BI89" i="27"/>
  <c r="AQ76" i="27"/>
  <c r="AS76" i="27" s="1"/>
  <c r="AQ58" i="27"/>
  <c r="AS58" i="27" s="1"/>
  <c r="M150" i="27"/>
  <c r="BN177" i="27"/>
  <c r="BN50" i="27"/>
  <c r="BN18" i="27"/>
  <c r="BL175" i="27"/>
  <c r="BL24" i="27"/>
  <c r="BK89" i="27"/>
  <c r="BJ175" i="27"/>
  <c r="BJ71" i="27"/>
  <c r="BJ119" i="27"/>
  <c r="BI181" i="27"/>
  <c r="BI18" i="27"/>
  <c r="BD177" i="27"/>
  <c r="M149" i="27"/>
  <c r="BN185" i="27"/>
  <c r="BN88" i="27"/>
  <c r="BN51" i="27"/>
  <c r="BN14" i="27"/>
  <c r="BL165" i="27"/>
  <c r="BL22" i="27"/>
  <c r="BK88" i="27"/>
  <c r="BJ145" i="27"/>
  <c r="BI52" i="27"/>
  <c r="BI85" i="27"/>
  <c r="BI146" i="27"/>
  <c r="BD185" i="27"/>
  <c r="BD146" i="27"/>
  <c r="AQ72" i="27"/>
  <c r="AS72" i="27" s="1"/>
  <c r="AQ90" i="27"/>
  <c r="AS90" i="27" s="1"/>
  <c r="AQ140" i="27"/>
  <c r="AS140" i="27" s="1"/>
  <c r="AQ150" i="27"/>
  <c r="AS150" i="27" s="1"/>
  <c r="AQ89" i="27"/>
  <c r="AS89" i="27" s="1"/>
  <c r="AQ85" i="27"/>
  <c r="AS85" i="27" s="1"/>
  <c r="AQ132" i="27"/>
  <c r="AS132" i="27" s="1"/>
  <c r="AQ149" i="27"/>
  <c r="AS149" i="27" s="1"/>
  <c r="AQ70" i="27"/>
  <c r="AS70" i="27" s="1"/>
  <c r="AQ88" i="27"/>
  <c r="AS88" i="27" s="1"/>
  <c r="AQ139" i="27"/>
  <c r="AS139" i="27" s="1"/>
  <c r="AQ60" i="27"/>
  <c r="AS60" i="27" s="1"/>
  <c r="M152" i="27"/>
  <c r="AQ152" i="27"/>
  <c r="AS152" i="27" s="1"/>
  <c r="AQ134" i="27"/>
  <c r="AS134" i="27" s="1"/>
  <c r="AQ71" i="27"/>
  <c r="AS71" i="27" s="1"/>
  <c r="AQ59" i="27"/>
  <c r="AS59" i="27" s="1"/>
  <c r="AM75" i="27"/>
  <c r="AO75" i="27" s="1"/>
  <c r="AQ79" i="27"/>
  <c r="AS79" i="27" s="1"/>
  <c r="AQ75" i="27"/>
  <c r="AS75" i="27" s="1"/>
  <c r="AQ81" i="27"/>
  <c r="AS81" i="27" s="1"/>
  <c r="AQ141" i="27"/>
  <c r="AS141" i="27" s="1"/>
  <c r="AQ86" i="27"/>
  <c r="AS86" i="27" s="1"/>
  <c r="BD88" i="27"/>
  <c r="AQ50" i="27"/>
  <c r="AS50" i="27" s="1"/>
  <c r="AM136" i="27"/>
  <c r="AO136" i="27" s="1"/>
  <c r="BK141" i="27"/>
  <c r="M41" i="27"/>
  <c r="BL167" i="27"/>
  <c r="M37" i="27"/>
  <c r="M85" i="27"/>
  <c r="M38" i="27"/>
  <c r="AN49" i="27"/>
  <c r="M42" i="27"/>
  <c r="AQ155" i="27"/>
  <c r="AS155" i="27" s="1"/>
  <c r="BL75" i="27"/>
  <c r="BI141" i="27"/>
  <c r="AQ183" i="27"/>
  <c r="AS183" i="27" s="1"/>
  <c r="AM120" i="27"/>
  <c r="AO120" i="27" s="1"/>
  <c r="BK79" i="27"/>
  <c r="M74" i="27"/>
  <c r="M144" i="27"/>
  <c r="BN75" i="27"/>
  <c r="BJ8" i="27"/>
  <c r="M155" i="27"/>
  <c r="M90" i="27"/>
  <c r="M137" i="27"/>
  <c r="M18" i="27"/>
  <c r="AM74" i="27"/>
  <c r="AO74" i="27" s="1"/>
  <c r="BL32" i="27"/>
  <c r="AR83" i="27"/>
  <c r="AN133" i="27"/>
  <c r="AM178" i="27"/>
  <c r="AO178" i="27" s="1"/>
  <c r="AM43" i="27"/>
  <c r="AO43" i="27" s="1"/>
  <c r="BD147" i="27"/>
  <c r="AM182" i="27"/>
  <c r="AO182" i="27" s="1"/>
  <c r="AQ109" i="27"/>
  <c r="AS109" i="27" s="1"/>
  <c r="AM39" i="27"/>
  <c r="AO39" i="27" s="1"/>
  <c r="AR43" i="27"/>
  <c r="AM109" i="27"/>
  <c r="AO109" i="27" s="1"/>
  <c r="AM144" i="27"/>
  <c r="AO144" i="27" s="1"/>
  <c r="AM108" i="27"/>
  <c r="AO108" i="27" s="1"/>
  <c r="BK58" i="27"/>
  <c r="AQ178" i="27"/>
  <c r="AS178" i="27" s="1"/>
  <c r="AM137" i="27"/>
  <c r="AO137" i="27" s="1"/>
  <c r="M81" i="27"/>
  <c r="M89" i="27"/>
  <c r="BN194" i="27"/>
  <c r="BJ32" i="27"/>
  <c r="AM111" i="27"/>
  <c r="AO111" i="27" s="1"/>
  <c r="AM81" i="27"/>
  <c r="AO81" i="27" s="1"/>
  <c r="AM142" i="27"/>
  <c r="AO142" i="27" s="1"/>
  <c r="BL123" i="27"/>
  <c r="BJ167" i="27"/>
  <c r="BI8" i="27"/>
  <c r="AQ197" i="27"/>
  <c r="AS197" i="27" s="1"/>
  <c r="AM152" i="27"/>
  <c r="AO152" i="27" s="1"/>
  <c r="M76" i="27"/>
  <c r="M50" i="27"/>
  <c r="AM194" i="27"/>
  <c r="AO194" i="27" s="1"/>
  <c r="AM48" i="27"/>
  <c r="AO48" i="27" s="1"/>
  <c r="BJ178" i="27"/>
  <c r="AM147" i="27"/>
  <c r="AO147" i="27" s="1"/>
  <c r="AM143" i="27"/>
  <c r="AO143" i="27" s="1"/>
  <c r="BK75" i="27"/>
  <c r="BJ174" i="27"/>
  <c r="BL58" i="27"/>
  <c r="BK28" i="27"/>
  <c r="BI32" i="27"/>
  <c r="AQ179" i="27"/>
  <c r="AS179" i="27" s="1"/>
  <c r="AQ57" i="27"/>
  <c r="AS57" i="27" s="1"/>
  <c r="AN150" i="27"/>
  <c r="AM79" i="27"/>
  <c r="AO79" i="27" s="1"/>
  <c r="AM141" i="27"/>
  <c r="AO141" i="27" s="1"/>
  <c r="AM123" i="27"/>
  <c r="AO123" i="27" s="1"/>
  <c r="M109" i="27"/>
  <c r="M72" i="27"/>
  <c r="M86" i="27"/>
  <c r="M33" i="27"/>
  <c r="BI10" i="27"/>
  <c r="BD111" i="27"/>
  <c r="BN166" i="27"/>
  <c r="BN79" i="27"/>
  <c r="BL141" i="27"/>
  <c r="BK194" i="27"/>
  <c r="BJ81" i="27"/>
  <c r="BJ141" i="27"/>
  <c r="BI167" i="27"/>
  <c r="BI124" i="27"/>
  <c r="AQ175" i="27"/>
  <c r="AS175" i="27" s="1"/>
  <c r="AM167" i="27"/>
  <c r="AO167" i="27" s="1"/>
  <c r="AM105" i="27"/>
  <c r="AO105" i="27" s="1"/>
  <c r="AM86" i="27"/>
  <c r="AO86" i="27" s="1"/>
  <c r="AM132" i="27"/>
  <c r="AO132" i="27" s="1"/>
  <c r="M114" i="27"/>
  <c r="M70" i="27"/>
  <c r="BI111" i="27"/>
  <c r="BN32" i="27"/>
  <c r="BK8" i="27"/>
  <c r="BJ123" i="27"/>
  <c r="BL79" i="27"/>
  <c r="BK133" i="27"/>
  <c r="BK123" i="27"/>
  <c r="BI123" i="27"/>
  <c r="BD37" i="27"/>
  <c r="AR174" i="27"/>
  <c r="AQ165" i="27"/>
  <c r="AS165" i="27" s="1"/>
  <c r="AN89" i="27"/>
  <c r="AM173" i="27"/>
  <c r="AO173" i="27" s="1"/>
  <c r="AM85" i="27"/>
  <c r="AO85" i="27" s="1"/>
  <c r="M111" i="27"/>
  <c r="M139" i="27"/>
  <c r="M75" i="27"/>
  <c r="M71" i="27"/>
  <c r="M182" i="27"/>
  <c r="BN76" i="27"/>
  <c r="BK76" i="27"/>
  <c r="BL76" i="27"/>
  <c r="AR42" i="27"/>
  <c r="AM197" i="27"/>
  <c r="AO197" i="27" s="1"/>
  <c r="BJ79" i="27"/>
  <c r="BD21" i="27"/>
  <c r="AR179" i="27"/>
  <c r="AQ188" i="27"/>
  <c r="AS188" i="27" s="1"/>
  <c r="AM82" i="27"/>
  <c r="AO82" i="27" s="1"/>
  <c r="AN72" i="27"/>
  <c r="AM72" i="27"/>
  <c r="AO72" i="27" s="1"/>
  <c r="AN140" i="27"/>
  <c r="AM140" i="27"/>
  <c r="AO140" i="27" s="1"/>
  <c r="M197" i="27"/>
  <c r="M136" i="27"/>
  <c r="M124" i="27"/>
  <c r="BI37" i="27"/>
  <c r="BJ37" i="27"/>
  <c r="BN109" i="27"/>
  <c r="M174" i="27"/>
  <c r="M133" i="27"/>
  <c r="BN81" i="27"/>
  <c r="BN48" i="27"/>
  <c r="BN21" i="27"/>
  <c r="BL37" i="27"/>
  <c r="BJ166" i="27"/>
  <c r="BD82" i="27"/>
  <c r="AM179" i="27"/>
  <c r="AO179" i="27" s="1"/>
  <c r="M192" i="27"/>
  <c r="M58" i="27"/>
  <c r="BI59" i="27"/>
  <c r="BJ59" i="27"/>
  <c r="BI142" i="27"/>
  <c r="BK142" i="27"/>
  <c r="BK42" i="27"/>
  <c r="BN42" i="27"/>
  <c r="BL25" i="27"/>
  <c r="BN25" i="27"/>
  <c r="BN167" i="27"/>
  <c r="BN111" i="27"/>
  <c r="BN89" i="27"/>
  <c r="BN147" i="27"/>
  <c r="BN142" i="27"/>
  <c r="BN37" i="27"/>
  <c r="BL179" i="27"/>
  <c r="BL147" i="27"/>
  <c r="BL48" i="27"/>
  <c r="BL42" i="27"/>
  <c r="BK111" i="27"/>
  <c r="BK147" i="27"/>
  <c r="BK37" i="27"/>
  <c r="BK21" i="27"/>
  <c r="BJ179" i="27"/>
  <c r="BJ188" i="27"/>
  <c r="BJ21" i="27"/>
  <c r="BI179" i="27"/>
  <c r="BI188" i="27"/>
  <c r="BI25" i="27"/>
  <c r="BD167" i="27"/>
  <c r="BD81" i="27"/>
  <c r="AR52" i="27"/>
  <c r="AR132" i="27"/>
  <c r="AR182" i="27"/>
  <c r="AR120" i="27"/>
  <c r="AM188" i="27"/>
  <c r="AO188" i="27" s="1"/>
  <c r="AM134" i="27"/>
  <c r="AO134" i="27" s="1"/>
  <c r="AM121" i="27"/>
  <c r="AO121" i="27" s="1"/>
  <c r="M166" i="27"/>
  <c r="M163" i="27"/>
  <c r="M188" i="27"/>
  <c r="M83" i="27"/>
  <c r="M148" i="27"/>
  <c r="M141" i="27"/>
  <c r="M143" i="27"/>
  <c r="M119" i="27"/>
  <c r="M28" i="27"/>
  <c r="M21" i="27"/>
  <c r="A60" i="27"/>
  <c r="BD60" i="27"/>
  <c r="A122" i="27"/>
  <c r="M122" i="27"/>
  <c r="A40" i="27"/>
  <c r="BD40" i="27"/>
  <c r="M40" i="27"/>
  <c r="A14" i="27"/>
  <c r="M14" i="27"/>
  <c r="A24" i="27"/>
  <c r="M24" i="27"/>
  <c r="BI149" i="27"/>
  <c r="BJ149" i="27"/>
  <c r="BK108" i="27"/>
  <c r="AR173" i="27"/>
  <c r="AQ173" i="27"/>
  <c r="AS173" i="27" s="1"/>
  <c r="AM58" i="27"/>
  <c r="AO58" i="27" s="1"/>
  <c r="M178" i="27"/>
  <c r="BL164" i="27"/>
  <c r="BK166" i="27"/>
  <c r="BI197" i="27"/>
  <c r="M164" i="27"/>
  <c r="M194" i="27"/>
  <c r="M135" i="27"/>
  <c r="M123" i="27"/>
  <c r="M20" i="27"/>
  <c r="BN114" i="27"/>
  <c r="BN148" i="27"/>
  <c r="BN41" i="27"/>
  <c r="BL166" i="27"/>
  <c r="BL21" i="27"/>
  <c r="BJ194" i="27"/>
  <c r="BI194" i="27"/>
  <c r="BD48" i="27"/>
  <c r="M159" i="27"/>
  <c r="M167" i="27"/>
  <c r="M49" i="27"/>
  <c r="M121" i="27"/>
  <c r="M17" i="27"/>
  <c r="BL81" i="27"/>
  <c r="BK174" i="27"/>
  <c r="BK81" i="27"/>
  <c r="BK48" i="27"/>
  <c r="BJ135" i="27"/>
  <c r="BJ42" i="27"/>
  <c r="BJ25" i="27"/>
  <c r="BI48" i="27"/>
  <c r="BI42" i="27"/>
  <c r="AR150" i="27"/>
  <c r="AQ177" i="27"/>
  <c r="AS177" i="27" s="1"/>
  <c r="AN148" i="27"/>
  <c r="AM174" i="27"/>
  <c r="AO174" i="27" s="1"/>
  <c r="AM71" i="27"/>
  <c r="AO71" i="27" s="1"/>
  <c r="AM80" i="27"/>
  <c r="AO80" i="27" s="1"/>
  <c r="AM59" i="27"/>
  <c r="AO59" i="27" s="1"/>
  <c r="AM135" i="27"/>
  <c r="AO135" i="27" s="1"/>
  <c r="AM119" i="27"/>
  <c r="AO119" i="27" s="1"/>
  <c r="AN54" i="27"/>
  <c r="AM54" i="27"/>
  <c r="AO54" i="27" s="1"/>
  <c r="M156" i="27"/>
  <c r="M173" i="27"/>
  <c r="M73" i="27"/>
  <c r="M80" i="27"/>
  <c r="M147" i="27"/>
  <c r="M140" i="27"/>
  <c r="M142" i="27"/>
  <c r="M23" i="27"/>
  <c r="AN114" i="27"/>
  <c r="AM114" i="27"/>
  <c r="AO114" i="27" s="1"/>
  <c r="M120" i="27"/>
  <c r="BK159" i="27"/>
  <c r="BL159" i="27"/>
  <c r="BK17" i="27"/>
  <c r="BJ17" i="27"/>
  <c r="BI80" i="27"/>
  <c r="AR59" i="27"/>
  <c r="AN163" i="27"/>
  <c r="AM163" i="27"/>
  <c r="AO163" i="27" s="1"/>
  <c r="BN49" i="27"/>
  <c r="BN43" i="27"/>
  <c r="BJ75" i="27"/>
  <c r="AM90" i="27"/>
  <c r="AO90" i="27" s="1"/>
  <c r="AM124" i="27"/>
  <c r="AO124" i="27" s="1"/>
  <c r="AQ181" i="27"/>
  <c r="AS181" i="27" s="1"/>
  <c r="AM192" i="27"/>
  <c r="AO192" i="27" s="1"/>
  <c r="AM76" i="27"/>
  <c r="AO76" i="27" s="1"/>
  <c r="M48" i="27"/>
  <c r="BN8" i="27"/>
  <c r="BJ82" i="27"/>
  <c r="BJ147" i="27"/>
  <c r="AQ185" i="27"/>
  <c r="AS185" i="27" s="1"/>
  <c r="AQ114" i="27"/>
  <c r="AS114" i="27" s="1"/>
  <c r="M179" i="27"/>
  <c r="M177" i="27"/>
  <c r="M108" i="27"/>
  <c r="M82" i="27"/>
  <c r="M79" i="27"/>
  <c r="M134" i="27"/>
  <c r="M132" i="27"/>
  <c r="M146" i="27"/>
  <c r="M43" i="27"/>
  <c r="M32" i="27"/>
  <c r="M25" i="27"/>
  <c r="BN145" i="27"/>
  <c r="BL87" i="27"/>
  <c r="BL145" i="27"/>
  <c r="BK12" i="27"/>
  <c r="BJ12" i="27"/>
  <c r="BD107" i="27"/>
  <c r="M165" i="27"/>
  <c r="M185" i="27"/>
  <c r="M52" i="27"/>
  <c r="M107" i="27"/>
  <c r="M69" i="27"/>
  <c r="M87" i="27"/>
  <c r="M138" i="27"/>
  <c r="M145" i="27"/>
  <c r="M51" i="27"/>
  <c r="M53" i="27"/>
  <c r="M35" i="27"/>
  <c r="M36" i="27"/>
  <c r="M19" i="27"/>
  <c r="M22" i="27"/>
  <c r="M13" i="27"/>
  <c r="AQ194" i="27"/>
  <c r="AS194" i="27" s="1"/>
  <c r="AQ111" i="27"/>
  <c r="AS111" i="27" s="1"/>
  <c r="BI20" i="27"/>
  <c r="AQ192" i="27"/>
  <c r="AS192" i="27" s="1"/>
  <c r="BN13" i="27"/>
  <c r="BL41" i="27"/>
  <c r="BK49" i="27"/>
  <c r="BK43" i="27"/>
  <c r="BJ76" i="27"/>
  <c r="BJ58" i="27"/>
  <c r="BI174" i="27"/>
  <c r="BI82" i="27"/>
  <c r="BD135" i="27"/>
  <c r="AR163" i="27"/>
  <c r="AN149" i="27"/>
  <c r="AM175" i="27"/>
  <c r="AO175" i="27" s="1"/>
  <c r="AM177" i="27"/>
  <c r="AO177" i="27" s="1"/>
  <c r="AM181" i="27"/>
  <c r="AO181" i="27" s="1"/>
  <c r="AM149" i="27"/>
  <c r="AO149" i="27" s="1"/>
  <c r="AM70" i="27"/>
  <c r="AO70" i="27" s="1"/>
  <c r="AM88" i="27"/>
  <c r="AO88" i="27" s="1"/>
  <c r="AM139" i="27"/>
  <c r="AO139" i="27" s="1"/>
  <c r="AM60" i="27"/>
  <c r="AO60" i="27" s="1"/>
  <c r="AM50" i="27"/>
  <c r="AO50" i="27" s="1"/>
  <c r="AM146" i="27"/>
  <c r="AO146" i="27" s="1"/>
  <c r="AM35" i="27"/>
  <c r="AO35" i="27" s="1"/>
  <c r="BL49" i="27"/>
  <c r="BJ108" i="27"/>
  <c r="BN83" i="27"/>
  <c r="BL148" i="27"/>
  <c r="BK109" i="27"/>
  <c r="BN197" i="27"/>
  <c r="BN80" i="27"/>
  <c r="BN124" i="27"/>
  <c r="BN10" i="27"/>
  <c r="BL182" i="27"/>
  <c r="BL83" i="27"/>
  <c r="BL120" i="27"/>
  <c r="BL13" i="27"/>
  <c r="BK114" i="27"/>
  <c r="BK148" i="27"/>
  <c r="BK41" i="27"/>
  <c r="BJ159" i="27"/>
  <c r="BJ109" i="27"/>
  <c r="BJ49" i="27"/>
  <c r="BJ43" i="27"/>
  <c r="BI164" i="27"/>
  <c r="BI108" i="27"/>
  <c r="BI133" i="27"/>
  <c r="BI28" i="27"/>
  <c r="BD114" i="27"/>
  <c r="AN70" i="27"/>
  <c r="AM165" i="27"/>
  <c r="AO165" i="27" s="1"/>
  <c r="AM185" i="27"/>
  <c r="AO185" i="27" s="1"/>
  <c r="AM52" i="27"/>
  <c r="AO52" i="27" s="1"/>
  <c r="AM107" i="27"/>
  <c r="AO107" i="27" s="1"/>
  <c r="AM69" i="27"/>
  <c r="AO69" i="27" s="1"/>
  <c r="AM87" i="27"/>
  <c r="AO87" i="27" s="1"/>
  <c r="AM138" i="27"/>
  <c r="AO138" i="27" s="1"/>
  <c r="AM145" i="27"/>
  <c r="AO145" i="27" s="1"/>
  <c r="AM51" i="27"/>
  <c r="AO51" i="27" s="1"/>
  <c r="AM53" i="27"/>
  <c r="AO53" i="27" s="1"/>
  <c r="BI178" i="27"/>
  <c r="BN182" i="27"/>
  <c r="BL114" i="27"/>
  <c r="BI135" i="27"/>
  <c r="BI17" i="27"/>
  <c r="BN73" i="27"/>
  <c r="BN136" i="27"/>
  <c r="BN20" i="27"/>
  <c r="BL197" i="27"/>
  <c r="BL80" i="27"/>
  <c r="BL124" i="27"/>
  <c r="BL10" i="27"/>
  <c r="BK182" i="27"/>
  <c r="BK83" i="27"/>
  <c r="BK120" i="27"/>
  <c r="BK13" i="27"/>
  <c r="BJ114" i="27"/>
  <c r="BJ148" i="27"/>
  <c r="BJ41" i="27"/>
  <c r="BI159" i="27"/>
  <c r="BI76" i="27"/>
  <c r="BI58" i="27"/>
  <c r="BD17" i="27"/>
  <c r="AR109" i="27"/>
  <c r="AM155" i="27"/>
  <c r="AO155" i="27" s="1"/>
  <c r="AM183" i="27"/>
  <c r="AO183" i="27" s="1"/>
  <c r="AM57" i="27"/>
  <c r="AO57" i="27" s="1"/>
  <c r="AQ167" i="27"/>
  <c r="AS167" i="27" s="1"/>
  <c r="BI136" i="27"/>
  <c r="BN120" i="27"/>
  <c r="BJ164" i="27"/>
  <c r="BN178" i="27"/>
  <c r="BN82" i="27"/>
  <c r="BN135" i="27"/>
  <c r="BN17" i="27"/>
  <c r="BL73" i="27"/>
  <c r="BL136" i="27"/>
  <c r="BL20" i="27"/>
  <c r="BK197" i="27"/>
  <c r="BK80" i="27"/>
  <c r="BK124" i="27"/>
  <c r="BK10" i="27"/>
  <c r="BJ182" i="27"/>
  <c r="BJ83" i="27"/>
  <c r="BJ120" i="27"/>
  <c r="BJ13" i="27"/>
  <c r="BI109" i="27"/>
  <c r="BI43" i="27"/>
  <c r="BD148" i="27"/>
  <c r="BI73" i="27"/>
  <c r="AN14" i="27"/>
  <c r="BN28" i="27"/>
  <c r="BL178" i="27"/>
  <c r="BK73" i="27"/>
  <c r="BK136" i="27"/>
  <c r="BK20" i="27"/>
  <c r="BK164" i="27"/>
  <c r="BJ133" i="27"/>
  <c r="BJ28" i="27"/>
  <c r="BN174" i="27"/>
  <c r="BN108" i="27"/>
  <c r="BN133" i="27"/>
  <c r="BL82" i="27"/>
  <c r="BL135" i="27"/>
  <c r="BL17" i="27"/>
  <c r="BD174" i="27"/>
  <c r="BD41" i="27"/>
  <c r="AR164" i="27"/>
  <c r="AN40" i="27"/>
  <c r="BD197" i="27"/>
  <c r="BD80" i="27"/>
  <c r="BD166" i="27"/>
  <c r="BD194" i="27"/>
  <c r="BD75" i="27"/>
  <c r="BD79" i="27"/>
  <c r="BD141" i="27"/>
  <c r="BD123" i="27"/>
  <c r="BD32" i="27"/>
  <c r="BD8" i="27"/>
  <c r="BD159" i="27"/>
  <c r="BD76" i="27"/>
  <c r="BD58" i="27"/>
  <c r="BD124" i="27"/>
  <c r="BD10" i="27"/>
  <c r="BD175" i="27"/>
  <c r="BD181" i="27"/>
  <c r="BD70" i="27"/>
  <c r="BD139" i="27"/>
  <c r="BD50" i="27"/>
  <c r="BD122" i="27"/>
  <c r="BD14" i="27"/>
  <c r="BD11" i="27"/>
  <c r="AM122" i="27"/>
  <c r="AO122" i="27" s="1"/>
  <c r="AR136" i="27"/>
  <c r="AN164" i="27"/>
  <c r="AR108" i="27"/>
  <c r="AR28" i="27"/>
  <c r="AN159" i="27"/>
  <c r="AR49" i="27"/>
  <c r="AQ164" i="27"/>
  <c r="AS164" i="27" s="1"/>
  <c r="AM41" i="27"/>
  <c r="AO41" i="27" s="1"/>
  <c r="AR159" i="27"/>
  <c r="AR82" i="27"/>
  <c r="AR80" i="27"/>
  <c r="AR17" i="27"/>
  <c r="AR10" i="27"/>
  <c r="AR166" i="27"/>
  <c r="AQ166" i="27"/>
  <c r="AS166" i="27" s="1"/>
  <c r="BD26" i="27"/>
  <c r="AR147" i="27"/>
  <c r="BL134" i="27"/>
  <c r="BL144" i="27"/>
  <c r="BL137" i="27"/>
  <c r="BN156" i="27"/>
  <c r="BI156" i="27"/>
  <c r="BJ156" i="27"/>
  <c r="BJ74" i="27"/>
  <c r="BK74" i="27"/>
  <c r="BJ140" i="27"/>
  <c r="BK140" i="27"/>
  <c r="BJ143" i="27"/>
  <c r="BK143" i="27"/>
  <c r="BJ39" i="27"/>
  <c r="BK39" i="27"/>
  <c r="BJ27" i="27"/>
  <c r="BK27" i="27"/>
  <c r="BL23" i="27"/>
  <c r="BJ23" i="27"/>
  <c r="BK23" i="27"/>
  <c r="BJ9" i="27"/>
  <c r="BK9" i="27"/>
  <c r="BN152" i="27"/>
  <c r="BN72" i="27"/>
  <c r="BN9" i="27"/>
  <c r="BJ183" i="27"/>
  <c r="BI26" i="27"/>
  <c r="AM166" i="27"/>
  <c r="AO166" i="27" s="1"/>
  <c r="AM161" i="27"/>
  <c r="AO161" i="27" s="1"/>
  <c r="AN161" i="27"/>
  <c r="AM156" i="27"/>
  <c r="AO156" i="27" s="1"/>
  <c r="AN156" i="27"/>
  <c r="BN140" i="27"/>
  <c r="BN143" i="27"/>
  <c r="BN39" i="27"/>
  <c r="BN38" i="27"/>
  <c r="BN27" i="27"/>
  <c r="BN33" i="27"/>
  <c r="BN16" i="27"/>
  <c r="BL9" i="27"/>
  <c r="BI57" i="27"/>
  <c r="BI152" i="27"/>
  <c r="BI105" i="27"/>
  <c r="BI74" i="27"/>
  <c r="BI39" i="27"/>
  <c r="BI27" i="27"/>
  <c r="BD144" i="27"/>
  <c r="A27" i="27"/>
  <c r="BD27" i="27"/>
  <c r="BL161" i="27"/>
  <c r="BI161" i="27"/>
  <c r="BJ161" i="27"/>
  <c r="BJ155" i="27"/>
  <c r="BI155" i="27"/>
  <c r="BN163" i="27"/>
  <c r="BI163" i="27"/>
  <c r="BJ72" i="27"/>
  <c r="BK72" i="27"/>
  <c r="BL90" i="27"/>
  <c r="BJ90" i="27"/>
  <c r="BK90" i="27"/>
  <c r="BL86" i="27"/>
  <c r="BJ86" i="27"/>
  <c r="BK86" i="27"/>
  <c r="BJ134" i="27"/>
  <c r="BK134" i="27"/>
  <c r="BJ144" i="27"/>
  <c r="BK144" i="27"/>
  <c r="BJ137" i="27"/>
  <c r="BK137" i="27"/>
  <c r="BI121" i="27"/>
  <c r="BJ121" i="27"/>
  <c r="BK121" i="27"/>
  <c r="BJ38" i="27"/>
  <c r="BK38" i="27"/>
  <c r="BJ33" i="27"/>
  <c r="BK33" i="27"/>
  <c r="BJ16" i="27"/>
  <c r="BK16" i="27"/>
  <c r="BJ26" i="27"/>
  <c r="BK26" i="27"/>
  <c r="BN57" i="27"/>
  <c r="BN105" i="27"/>
  <c r="BN74" i="27"/>
  <c r="BN26" i="27"/>
  <c r="BI9" i="27"/>
  <c r="BD105" i="27"/>
  <c r="BL57" i="27"/>
  <c r="BL152" i="27"/>
  <c r="BL105" i="27"/>
  <c r="BL72" i="27"/>
  <c r="BL74" i="27"/>
  <c r="BL39" i="27"/>
  <c r="BL38" i="27"/>
  <c r="BL27" i="27"/>
  <c r="BL33" i="27"/>
  <c r="BL16" i="27"/>
  <c r="BK57" i="27"/>
  <c r="BK152" i="27"/>
  <c r="BK105" i="27"/>
  <c r="BI134" i="27"/>
  <c r="BI144" i="27"/>
  <c r="BI140" i="27"/>
  <c r="BI137" i="27"/>
  <c r="BI143" i="27"/>
  <c r="BD54" i="27"/>
  <c r="BN23" i="27"/>
  <c r="BI23" i="27"/>
  <c r="BL121" i="27"/>
  <c r="BN90" i="27"/>
  <c r="BN86" i="27"/>
  <c r="BI90" i="27"/>
  <c r="BI86" i="27"/>
  <c r="BN161" i="27"/>
  <c r="BK161" i="27"/>
  <c r="BL156" i="27"/>
  <c r="BK156" i="27"/>
  <c r="BL155" i="27"/>
  <c r="BN155" i="27"/>
  <c r="BK155" i="27"/>
  <c r="BK163" i="27"/>
  <c r="BJ163" i="27"/>
  <c r="BJ173" i="27"/>
  <c r="BN173" i="27"/>
  <c r="BK173" i="27"/>
  <c r="BK183" i="27"/>
  <c r="BL183" i="27"/>
  <c r="BN183" i="27"/>
  <c r="BN192" i="27"/>
  <c r="BK192" i="27"/>
  <c r="BJ192" i="27"/>
  <c r="BI192" i="27"/>
  <c r="BD161" i="27"/>
  <c r="BD183" i="27"/>
  <c r="BD163" i="27"/>
  <c r="BD152" i="27"/>
  <c r="BD90" i="27"/>
  <c r="BD134" i="27"/>
  <c r="BD143" i="27"/>
  <c r="BD38" i="27"/>
  <c r="BD23" i="27"/>
  <c r="BD57" i="27"/>
  <c r="BD137" i="27"/>
  <c r="BD39" i="27"/>
  <c r="BD16" i="27"/>
  <c r="BD155" i="27"/>
  <c r="BD74" i="27"/>
  <c r="BD156" i="27"/>
  <c r="BD192" i="27"/>
  <c r="BD72" i="27"/>
  <c r="BD86" i="27"/>
  <c r="BD140" i="27"/>
  <c r="BD121" i="27"/>
  <c r="BD33" i="27"/>
  <c r="BD9" i="27"/>
  <c r="BD28" i="27"/>
  <c r="BD13" i="27"/>
  <c r="BD164" i="27"/>
  <c r="BD179" i="27"/>
  <c r="BD178" i="27"/>
  <c r="BD173" i="27"/>
  <c r="BD182" i="27"/>
  <c r="BD188" i="27"/>
  <c r="BD109" i="27"/>
  <c r="BD150" i="27"/>
  <c r="BD108" i="27"/>
  <c r="BD71" i="27"/>
  <c r="BD73" i="27"/>
  <c r="BD89" i="27"/>
  <c r="BD83" i="27"/>
  <c r="BD85" i="27"/>
  <c r="BD49" i="27"/>
  <c r="BD59" i="27"/>
  <c r="BD133" i="27"/>
  <c r="BD132" i="27"/>
  <c r="BD136" i="27"/>
  <c r="BD142" i="27"/>
  <c r="BD120" i="27"/>
  <c r="BD119" i="27"/>
  <c r="BD43" i="27"/>
  <c r="BD42" i="27"/>
  <c r="BD18" i="27"/>
  <c r="BD20" i="27"/>
  <c r="BD25" i="27"/>
  <c r="BD7" i="27"/>
  <c r="AR161" i="27"/>
  <c r="AQ156" i="27"/>
  <c r="AS156" i="27" s="1"/>
  <c r="AU6" i="27" l="1"/>
  <c r="AQ6" i="27"/>
  <c r="J6" i="27" l="1"/>
  <c r="K6" i="27"/>
  <c r="O6" i="27"/>
  <c r="AM6" i="27"/>
  <c r="AO6" i="27" s="1"/>
  <c r="AS6" i="27"/>
  <c r="AR6" i="27"/>
  <c r="AV6" i="27"/>
  <c r="AW6" i="27" s="1"/>
  <c r="BA6" i="27"/>
  <c r="BB6" i="27"/>
  <c r="BE6" i="27"/>
  <c r="BF6" i="27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M6" i="27" l="1"/>
  <c r="A6" i="27"/>
  <c r="BD6" i="27"/>
  <c r="AN6" i="27"/>
  <c r="BI6" i="27"/>
  <c r="BJ6" i="27"/>
  <c r="BN6" i="27"/>
  <c r="BL6" i="27"/>
  <c r="BK6" i="27"/>
  <c r="C2" i="30" l="1"/>
  <c r="C6" i="30"/>
  <c r="C10" i="30"/>
  <c r="C14" i="30"/>
  <c r="C18" i="30"/>
  <c r="C22" i="30"/>
  <c r="C26" i="30"/>
  <c r="C30" i="30"/>
  <c r="C34" i="30"/>
  <c r="C38" i="30"/>
  <c r="C42" i="30"/>
  <c r="C46" i="30"/>
  <c r="C50" i="30"/>
  <c r="C54" i="30"/>
  <c r="C58" i="30"/>
  <c r="C62" i="30"/>
  <c r="C66" i="30"/>
  <c r="C70" i="30"/>
  <c r="C74" i="30"/>
  <c r="C78" i="30"/>
  <c r="C82" i="30"/>
  <c r="C86" i="30"/>
  <c r="C90" i="30"/>
  <c r="C94" i="30"/>
  <c r="C98" i="30"/>
  <c r="C102" i="30"/>
  <c r="C106" i="30"/>
  <c r="C110" i="30"/>
  <c r="C114" i="30"/>
  <c r="C118" i="30"/>
  <c r="C122" i="30"/>
  <c r="C126" i="30"/>
  <c r="C130" i="30"/>
  <c r="C134" i="30"/>
  <c r="C138" i="30"/>
  <c r="C142" i="30"/>
  <c r="C146" i="30"/>
  <c r="C150" i="30"/>
  <c r="C154" i="30"/>
  <c r="C158" i="30"/>
  <c r="C162" i="30"/>
  <c r="C166" i="30"/>
  <c r="C170" i="30"/>
  <c r="C174" i="30"/>
  <c r="D2" i="30"/>
  <c r="D6" i="30"/>
  <c r="D10" i="30"/>
  <c r="D14" i="30"/>
  <c r="D18" i="30"/>
  <c r="D22" i="30"/>
  <c r="D26" i="30"/>
  <c r="D30" i="30"/>
  <c r="D34" i="30"/>
  <c r="D38" i="30"/>
  <c r="D42" i="30"/>
  <c r="D46" i="30"/>
  <c r="D50" i="30"/>
  <c r="D54" i="30"/>
  <c r="D58" i="30"/>
  <c r="D62" i="30"/>
  <c r="D66" i="30"/>
  <c r="D70" i="30"/>
  <c r="C3" i="30"/>
  <c r="C7" i="30"/>
  <c r="C11" i="30"/>
  <c r="C15" i="30"/>
  <c r="C19" i="30"/>
  <c r="C23" i="30"/>
  <c r="C27" i="30"/>
  <c r="C31" i="30"/>
  <c r="C35" i="30"/>
  <c r="C39" i="30"/>
  <c r="C43" i="30"/>
  <c r="C47" i="30"/>
  <c r="C51" i="30"/>
  <c r="C55" i="30"/>
  <c r="C59" i="30"/>
  <c r="C63" i="30"/>
  <c r="C67" i="30"/>
  <c r="C71" i="30"/>
  <c r="C75" i="30"/>
  <c r="C79" i="30"/>
  <c r="C83" i="30"/>
  <c r="C87" i="30"/>
  <c r="C91" i="30"/>
  <c r="C95" i="30"/>
  <c r="C99" i="30"/>
  <c r="C103" i="30"/>
  <c r="C107" i="30"/>
  <c r="C111" i="30"/>
  <c r="C115" i="30"/>
  <c r="C119" i="30"/>
  <c r="C123" i="30"/>
  <c r="C127" i="30"/>
  <c r="C131" i="30"/>
  <c r="C135" i="30"/>
  <c r="C139" i="30"/>
  <c r="C143" i="30"/>
  <c r="C147" i="30"/>
  <c r="C151" i="30"/>
  <c r="C155" i="30"/>
  <c r="C159" i="30"/>
  <c r="C163" i="30"/>
  <c r="C167" i="30"/>
  <c r="C171" i="30"/>
  <c r="C175" i="30"/>
  <c r="D3" i="30"/>
  <c r="D7" i="30"/>
  <c r="D11" i="30"/>
  <c r="D15" i="30"/>
  <c r="D19" i="30"/>
  <c r="D23" i="30"/>
  <c r="D27" i="30"/>
  <c r="D31" i="30"/>
  <c r="D35" i="30"/>
  <c r="D39" i="30"/>
  <c r="D43" i="30"/>
  <c r="D47" i="30"/>
  <c r="D51" i="30"/>
  <c r="D55" i="30"/>
  <c r="D59" i="30"/>
  <c r="D63" i="30"/>
  <c r="D67" i="30"/>
  <c r="D71" i="30"/>
  <c r="C4" i="30"/>
  <c r="C8" i="30"/>
  <c r="C12" i="30"/>
  <c r="C16" i="30"/>
  <c r="C20" i="30"/>
  <c r="C24" i="30"/>
  <c r="C28" i="30"/>
  <c r="C32" i="30"/>
  <c r="C36" i="30"/>
  <c r="C40" i="30"/>
  <c r="C44" i="30"/>
  <c r="C48" i="30"/>
  <c r="C52" i="30"/>
  <c r="C56" i="30"/>
  <c r="C60" i="30"/>
  <c r="C64" i="30"/>
  <c r="C68" i="30"/>
  <c r="C72" i="30"/>
  <c r="C76" i="30"/>
  <c r="C80" i="30"/>
  <c r="C84" i="30"/>
  <c r="C88" i="30"/>
  <c r="C92" i="30"/>
  <c r="C96" i="30"/>
  <c r="C100" i="30"/>
  <c r="C104" i="30"/>
  <c r="C108" i="30"/>
  <c r="C112" i="30"/>
  <c r="C116" i="30"/>
  <c r="C120" i="30"/>
  <c r="C124" i="30"/>
  <c r="C128" i="30"/>
  <c r="C132" i="30"/>
  <c r="C136" i="30"/>
  <c r="C140" i="30"/>
  <c r="C144" i="30"/>
  <c r="C148" i="30"/>
  <c r="C152" i="30"/>
  <c r="C156" i="30"/>
  <c r="C160" i="30"/>
  <c r="C164" i="30"/>
  <c r="C168" i="30"/>
  <c r="C172" i="30"/>
  <c r="C176" i="30"/>
  <c r="D4" i="30"/>
  <c r="D8" i="30"/>
  <c r="D12" i="30"/>
  <c r="D16" i="30"/>
  <c r="D20" i="30"/>
  <c r="D24" i="30"/>
  <c r="D28" i="30"/>
  <c r="D32" i="30"/>
  <c r="D36" i="30"/>
  <c r="D40" i="30"/>
  <c r="D44" i="30"/>
  <c r="D48" i="30"/>
  <c r="D52" i="30"/>
  <c r="D56" i="30"/>
  <c r="D60" i="30"/>
  <c r="D64" i="30"/>
  <c r="D68" i="30"/>
  <c r="D72" i="30"/>
  <c r="D76" i="30"/>
  <c r="D80" i="30"/>
  <c r="D84" i="30"/>
  <c r="D88" i="30"/>
  <c r="D92" i="30"/>
  <c r="D96" i="30"/>
  <c r="D100" i="30"/>
  <c r="D104" i="30"/>
  <c r="D108" i="30"/>
  <c r="D112" i="30"/>
  <c r="D116" i="30"/>
  <c r="D120" i="30"/>
  <c r="D124" i="30"/>
  <c r="D128" i="30"/>
  <c r="D132" i="30"/>
  <c r="D136" i="30"/>
  <c r="D140" i="30"/>
  <c r="D144" i="30"/>
  <c r="D148" i="30"/>
  <c r="D152" i="30"/>
  <c r="D156" i="30"/>
  <c r="D160" i="30"/>
  <c r="D164" i="30"/>
  <c r="C5" i="30"/>
  <c r="C21" i="30"/>
  <c r="C37" i="30"/>
  <c r="C53" i="30"/>
  <c r="C69" i="30"/>
  <c r="C85" i="30"/>
  <c r="C101" i="30"/>
  <c r="C117" i="30"/>
  <c r="C133" i="30"/>
  <c r="C149" i="30"/>
  <c r="C165" i="30"/>
  <c r="D5" i="30"/>
  <c r="D21" i="30"/>
  <c r="D37" i="30"/>
  <c r="D53" i="30"/>
  <c r="D69" i="30"/>
  <c r="D77" i="30"/>
  <c r="D82" i="30"/>
  <c r="D87" i="30"/>
  <c r="D93" i="30"/>
  <c r="D98" i="30"/>
  <c r="D103" i="30"/>
  <c r="D109" i="30"/>
  <c r="D114" i="30"/>
  <c r="D119" i="30"/>
  <c r="D125" i="30"/>
  <c r="D130" i="30"/>
  <c r="D135" i="30"/>
  <c r="D141" i="30"/>
  <c r="D146" i="30"/>
  <c r="D151" i="30"/>
  <c r="D157" i="30"/>
  <c r="D162" i="30"/>
  <c r="D167" i="30"/>
  <c r="D171" i="30"/>
  <c r="D175" i="30"/>
  <c r="E3" i="30"/>
  <c r="E7" i="30"/>
  <c r="E11" i="30"/>
  <c r="E15" i="30"/>
  <c r="E19" i="30"/>
  <c r="E23" i="30"/>
  <c r="E27" i="30"/>
  <c r="E31" i="30"/>
  <c r="E35" i="30"/>
  <c r="E39" i="30"/>
  <c r="E43" i="30"/>
  <c r="E47" i="30"/>
  <c r="E51" i="30"/>
  <c r="E55" i="30"/>
  <c r="E59" i="30"/>
  <c r="E63" i="30"/>
  <c r="E67" i="30"/>
  <c r="E71" i="30"/>
  <c r="E75" i="30"/>
  <c r="E79" i="30"/>
  <c r="E83" i="30"/>
  <c r="E87" i="30"/>
  <c r="E91" i="30"/>
  <c r="E95" i="30"/>
  <c r="E99" i="30"/>
  <c r="E103" i="30"/>
  <c r="E107" i="30"/>
  <c r="E111" i="30"/>
  <c r="E115" i="30"/>
  <c r="E119" i="30"/>
  <c r="E123" i="30"/>
  <c r="E127" i="30"/>
  <c r="E131" i="30"/>
  <c r="E135" i="30"/>
  <c r="E139" i="30"/>
  <c r="E143" i="30"/>
  <c r="E147" i="30"/>
  <c r="E151" i="30"/>
  <c r="E155" i="30"/>
  <c r="E159" i="30"/>
  <c r="E163" i="30"/>
  <c r="E167" i="30"/>
  <c r="E171" i="30"/>
  <c r="E175" i="30"/>
  <c r="F3" i="30"/>
  <c r="F7" i="30"/>
  <c r="F11" i="30"/>
  <c r="F15" i="30"/>
  <c r="F19" i="30"/>
  <c r="C9" i="30"/>
  <c r="C25" i="30"/>
  <c r="C41" i="30"/>
  <c r="C57" i="30"/>
  <c r="C73" i="30"/>
  <c r="C89" i="30"/>
  <c r="C105" i="30"/>
  <c r="C121" i="30"/>
  <c r="C137" i="30"/>
  <c r="C153" i="30"/>
  <c r="C169" i="30"/>
  <c r="D9" i="30"/>
  <c r="D25" i="30"/>
  <c r="D41" i="30"/>
  <c r="D57" i="30"/>
  <c r="D73" i="30"/>
  <c r="D78" i="30"/>
  <c r="D83" i="30"/>
  <c r="D89" i="30"/>
  <c r="D94" i="30"/>
  <c r="D99" i="30"/>
  <c r="D105" i="30"/>
  <c r="D110" i="30"/>
  <c r="D115" i="30"/>
  <c r="D121" i="30"/>
  <c r="D126" i="30"/>
  <c r="D131" i="30"/>
  <c r="D137" i="30"/>
  <c r="D142" i="30"/>
  <c r="D147" i="30"/>
  <c r="D153" i="30"/>
  <c r="D158" i="30"/>
  <c r="D163" i="30"/>
  <c r="D168" i="30"/>
  <c r="D172" i="30"/>
  <c r="D176" i="30"/>
  <c r="E4" i="30"/>
  <c r="E8" i="30"/>
  <c r="E12" i="30"/>
  <c r="E16" i="30"/>
  <c r="E20" i="30"/>
  <c r="E24" i="30"/>
  <c r="E28" i="30"/>
  <c r="E32" i="30"/>
  <c r="E36" i="30"/>
  <c r="E40" i="30"/>
  <c r="E44" i="30"/>
  <c r="E48" i="30"/>
  <c r="E52" i="30"/>
  <c r="E56" i="30"/>
  <c r="E60" i="30"/>
  <c r="E64" i="30"/>
  <c r="E68" i="30"/>
  <c r="E72" i="30"/>
  <c r="E76" i="30"/>
  <c r="E80" i="30"/>
  <c r="E84" i="30"/>
  <c r="E88" i="30"/>
  <c r="C13" i="30"/>
  <c r="C29" i="30"/>
  <c r="C45" i="30"/>
  <c r="C61" i="30"/>
  <c r="C77" i="30"/>
  <c r="C93" i="30"/>
  <c r="C109" i="30"/>
  <c r="C125" i="30"/>
  <c r="C141" i="30"/>
  <c r="C157" i="30"/>
  <c r="C173" i="30"/>
  <c r="D13" i="30"/>
  <c r="D29" i="30"/>
  <c r="D45" i="30"/>
  <c r="D61" i="30"/>
  <c r="D74" i="30"/>
  <c r="D79" i="30"/>
  <c r="D85" i="30"/>
  <c r="D90" i="30"/>
  <c r="D95" i="30"/>
  <c r="D101" i="30"/>
  <c r="D106" i="30"/>
  <c r="D111" i="30"/>
  <c r="D117" i="30"/>
  <c r="D122" i="30"/>
  <c r="D127" i="30"/>
  <c r="D133" i="30"/>
  <c r="D138" i="30"/>
  <c r="D143" i="30"/>
  <c r="D149" i="30"/>
  <c r="D154" i="30"/>
  <c r="D159" i="30"/>
  <c r="D165" i="30"/>
  <c r="D169" i="30"/>
  <c r="D173" i="30"/>
  <c r="D177" i="30"/>
  <c r="E5" i="30"/>
  <c r="E9" i="30"/>
  <c r="E13" i="30"/>
  <c r="E17" i="30"/>
  <c r="E21" i="30"/>
  <c r="E25" i="30"/>
  <c r="E29" i="30"/>
  <c r="E33" i="30"/>
  <c r="E37" i="30"/>
  <c r="E41" i="30"/>
  <c r="E45" i="30"/>
  <c r="E49" i="30"/>
  <c r="E53" i="30"/>
  <c r="E57" i="30"/>
  <c r="E61" i="30"/>
  <c r="E65" i="30"/>
  <c r="E69" i="30"/>
  <c r="E73" i="30"/>
  <c r="E77" i="30"/>
  <c r="E81" i="30"/>
  <c r="C17" i="30"/>
  <c r="C81" i="30"/>
  <c r="C145" i="30"/>
  <c r="D33" i="30"/>
  <c r="D81" i="30"/>
  <c r="D102" i="30"/>
  <c r="D123" i="30"/>
  <c r="D145" i="30"/>
  <c r="D166" i="30"/>
  <c r="E6" i="30"/>
  <c r="E22" i="30"/>
  <c r="E38" i="30"/>
  <c r="E54" i="30"/>
  <c r="E70" i="30"/>
  <c r="E85" i="30"/>
  <c r="E92" i="30"/>
  <c r="E97" i="30"/>
  <c r="E102" i="30"/>
  <c r="E108" i="30"/>
  <c r="E113" i="30"/>
  <c r="E118" i="30"/>
  <c r="E124" i="30"/>
  <c r="E129" i="30"/>
  <c r="E134" i="30"/>
  <c r="E140" i="30"/>
  <c r="E145" i="30"/>
  <c r="E150" i="30"/>
  <c r="E156" i="30"/>
  <c r="E161" i="30"/>
  <c r="E166" i="30"/>
  <c r="E172" i="30"/>
  <c r="E177" i="30"/>
  <c r="F6" i="30"/>
  <c r="F12" i="30"/>
  <c r="F17" i="30"/>
  <c r="F22" i="30"/>
  <c r="F26" i="30"/>
  <c r="F30" i="30"/>
  <c r="F34" i="30"/>
  <c r="F38" i="30"/>
  <c r="F42" i="30"/>
  <c r="F46" i="30"/>
  <c r="F50" i="30"/>
  <c r="F54" i="30"/>
  <c r="F58" i="30"/>
  <c r="F62" i="30"/>
  <c r="F66" i="30"/>
  <c r="F70" i="30"/>
  <c r="F74" i="30"/>
  <c r="F78" i="30"/>
  <c r="F82" i="30"/>
  <c r="F86" i="30"/>
  <c r="F90" i="30"/>
  <c r="F94" i="30"/>
  <c r="F98" i="30"/>
  <c r="F102" i="30"/>
  <c r="F106" i="30"/>
  <c r="F110" i="30"/>
  <c r="F114" i="30"/>
  <c r="F118" i="30"/>
  <c r="F122" i="30"/>
  <c r="F126" i="30"/>
  <c r="F130" i="30"/>
  <c r="F134" i="30"/>
  <c r="F138" i="30"/>
  <c r="F142" i="30"/>
  <c r="F146" i="30"/>
  <c r="F150" i="30"/>
  <c r="F154" i="30"/>
  <c r="F158" i="30"/>
  <c r="F162" i="30"/>
  <c r="F166" i="30"/>
  <c r="F170" i="30"/>
  <c r="F174" i="30"/>
  <c r="G2" i="30"/>
  <c r="G6" i="30"/>
  <c r="G10" i="30"/>
  <c r="G14" i="30"/>
  <c r="G18" i="30"/>
  <c r="G22" i="30"/>
  <c r="G26" i="30"/>
  <c r="G30" i="30"/>
  <c r="G34" i="30"/>
  <c r="G38" i="30"/>
  <c r="G42" i="30"/>
  <c r="G46" i="30"/>
  <c r="G50" i="30"/>
  <c r="G54" i="30"/>
  <c r="G58" i="30"/>
  <c r="G62" i="30"/>
  <c r="G66" i="30"/>
  <c r="G70" i="30"/>
  <c r="G74" i="30"/>
  <c r="G78" i="30"/>
  <c r="G82" i="30"/>
  <c r="G86" i="30"/>
  <c r="G90" i="30"/>
  <c r="G94" i="30"/>
  <c r="G98" i="30"/>
  <c r="G102" i="30"/>
  <c r="G106" i="30"/>
  <c r="G110" i="30"/>
  <c r="G114" i="30"/>
  <c r="G118" i="30"/>
  <c r="G122" i="30"/>
  <c r="G126" i="30"/>
  <c r="G130" i="30"/>
  <c r="G134" i="30"/>
  <c r="G138" i="30"/>
  <c r="G142" i="30"/>
  <c r="G146" i="30"/>
  <c r="G150" i="30"/>
  <c r="G154" i="30"/>
  <c r="G158" i="30"/>
  <c r="G162" i="30"/>
  <c r="G166" i="30"/>
  <c r="G170" i="30"/>
  <c r="G174" i="30"/>
  <c r="C33" i="30"/>
  <c r="C97" i="30"/>
  <c r="C161" i="30"/>
  <c r="D49" i="30"/>
  <c r="D86" i="30"/>
  <c r="D107" i="30"/>
  <c r="D129" i="30"/>
  <c r="D150" i="30"/>
  <c r="D170" i="30"/>
  <c r="E10" i="30"/>
  <c r="E26" i="30"/>
  <c r="E42" i="30"/>
  <c r="E58" i="30"/>
  <c r="E74" i="30"/>
  <c r="E86" i="30"/>
  <c r="E93" i="30"/>
  <c r="E98" i="30"/>
  <c r="E104" i="30"/>
  <c r="E109" i="30"/>
  <c r="E114" i="30"/>
  <c r="E120" i="30"/>
  <c r="E125" i="30"/>
  <c r="E130" i="30"/>
  <c r="E136" i="30"/>
  <c r="E141" i="30"/>
  <c r="E146" i="30"/>
  <c r="E152" i="30"/>
  <c r="E157" i="30"/>
  <c r="E162" i="30"/>
  <c r="E168" i="30"/>
  <c r="E173" i="30"/>
  <c r="F2" i="30"/>
  <c r="F8" i="30"/>
  <c r="F13" i="30"/>
  <c r="F18" i="30"/>
  <c r="F23" i="30"/>
  <c r="F27" i="30"/>
  <c r="F31" i="30"/>
  <c r="F35" i="30"/>
  <c r="F39" i="30"/>
  <c r="F43" i="30"/>
  <c r="F47" i="30"/>
  <c r="F51" i="30"/>
  <c r="F55" i="30"/>
  <c r="F59" i="30"/>
  <c r="F63" i="30"/>
  <c r="F67" i="30"/>
  <c r="F71" i="30"/>
  <c r="F75" i="30"/>
  <c r="F79" i="30"/>
  <c r="F83" i="30"/>
  <c r="F87" i="30"/>
  <c r="F91" i="30"/>
  <c r="F95" i="30"/>
  <c r="F99" i="30"/>
  <c r="F103" i="30"/>
  <c r="F107" i="30"/>
  <c r="F111" i="30"/>
  <c r="F115" i="30"/>
  <c r="F119" i="30"/>
  <c r="F123" i="30"/>
  <c r="F127" i="30"/>
  <c r="F131" i="30"/>
  <c r="F135" i="30"/>
  <c r="F139" i="30"/>
  <c r="F143" i="30"/>
  <c r="F147" i="30"/>
  <c r="F151" i="30"/>
  <c r="F155" i="30"/>
  <c r="F159" i="30"/>
  <c r="F163" i="30"/>
  <c r="F167" i="30"/>
  <c r="F171" i="30"/>
  <c r="F175" i="30"/>
  <c r="G3" i="30"/>
  <c r="G7" i="30"/>
  <c r="G11" i="30"/>
  <c r="G15" i="30"/>
  <c r="G19" i="30"/>
  <c r="G23" i="30"/>
  <c r="G27" i="30"/>
  <c r="G31" i="30"/>
  <c r="G35" i="30"/>
  <c r="G39" i="30"/>
  <c r="G43" i="30"/>
  <c r="C49" i="30"/>
  <c r="C113" i="30"/>
  <c r="C177" i="30"/>
  <c r="D65" i="30"/>
  <c r="D91" i="30"/>
  <c r="D113" i="30"/>
  <c r="D134" i="30"/>
  <c r="D155" i="30"/>
  <c r="D174" i="30"/>
  <c r="E14" i="30"/>
  <c r="E30" i="30"/>
  <c r="E46" i="30"/>
  <c r="E62" i="30"/>
  <c r="E78" i="30"/>
  <c r="E89" i="30"/>
  <c r="E94" i="30"/>
  <c r="E100" i="30"/>
  <c r="E105" i="30"/>
  <c r="E110" i="30"/>
  <c r="E116" i="30"/>
  <c r="E121" i="30"/>
  <c r="E126" i="30"/>
  <c r="E132" i="30"/>
  <c r="E137" i="30"/>
  <c r="E142" i="30"/>
  <c r="E148" i="30"/>
  <c r="E153" i="30"/>
  <c r="E158" i="30"/>
  <c r="E164" i="30"/>
  <c r="E169" i="30"/>
  <c r="E174" i="30"/>
  <c r="F4" i="30"/>
  <c r="F9" i="30"/>
  <c r="F14" i="30"/>
  <c r="F20" i="30"/>
  <c r="F24" i="30"/>
  <c r="F28" i="30"/>
  <c r="F32" i="30"/>
  <c r="F36" i="30"/>
  <c r="F40" i="30"/>
  <c r="F44" i="30"/>
  <c r="F48" i="30"/>
  <c r="F52" i="30"/>
  <c r="F56" i="30"/>
  <c r="F60" i="30"/>
  <c r="F64" i="30"/>
  <c r="F68" i="30"/>
  <c r="F72" i="30"/>
  <c r="F76" i="30"/>
  <c r="F80" i="30"/>
  <c r="F84" i="30"/>
  <c r="F88" i="30"/>
  <c r="F92" i="30"/>
  <c r="F96" i="30"/>
  <c r="F100" i="30"/>
  <c r="F104" i="30"/>
  <c r="F108" i="30"/>
  <c r="F112" i="30"/>
  <c r="F116" i="30"/>
  <c r="F120" i="30"/>
  <c r="F124" i="30"/>
  <c r="F128" i="30"/>
  <c r="F132" i="30"/>
  <c r="F136" i="30"/>
  <c r="F140" i="30"/>
  <c r="F144" i="30"/>
  <c r="F148" i="30"/>
  <c r="F152" i="30"/>
  <c r="F156" i="30"/>
  <c r="F160" i="30"/>
  <c r="F164" i="30"/>
  <c r="F168" i="30"/>
  <c r="F172" i="30"/>
  <c r="F176" i="30"/>
  <c r="C65" i="30"/>
  <c r="D97" i="30"/>
  <c r="E2" i="30"/>
  <c r="E66" i="30"/>
  <c r="E101" i="30"/>
  <c r="E122" i="30"/>
  <c r="E144" i="30"/>
  <c r="E165" i="30"/>
  <c r="F10" i="30"/>
  <c r="F29" i="30"/>
  <c r="F45" i="30"/>
  <c r="F61" i="30"/>
  <c r="F77" i="30"/>
  <c r="F93" i="30"/>
  <c r="F109" i="30"/>
  <c r="F125" i="30"/>
  <c r="F141" i="30"/>
  <c r="F157" i="30"/>
  <c r="F173" i="30"/>
  <c r="G8" i="30"/>
  <c r="G16" i="30"/>
  <c r="G24" i="30"/>
  <c r="G32" i="30"/>
  <c r="G40" i="30"/>
  <c r="G47" i="30"/>
  <c r="G52" i="30"/>
  <c r="G57" i="30"/>
  <c r="G63" i="30"/>
  <c r="G68" i="30"/>
  <c r="G73" i="30"/>
  <c r="G79" i="30"/>
  <c r="G84" i="30"/>
  <c r="G89" i="30"/>
  <c r="G95" i="30"/>
  <c r="G100" i="30"/>
  <c r="G105" i="30"/>
  <c r="G111" i="30"/>
  <c r="G116" i="30"/>
  <c r="G121" i="30"/>
  <c r="G127" i="30"/>
  <c r="G132" i="30"/>
  <c r="G137" i="30"/>
  <c r="G143" i="30"/>
  <c r="G148" i="30"/>
  <c r="G153" i="30"/>
  <c r="G159" i="30"/>
  <c r="G164" i="30"/>
  <c r="G169" i="30"/>
  <c r="G175" i="30"/>
  <c r="G125" i="30"/>
  <c r="G157" i="30"/>
  <c r="C129" i="30"/>
  <c r="D118" i="30"/>
  <c r="E18" i="30"/>
  <c r="E82" i="30"/>
  <c r="E106" i="30"/>
  <c r="E128" i="30"/>
  <c r="E149" i="30"/>
  <c r="E170" i="30"/>
  <c r="F16" i="30"/>
  <c r="F33" i="30"/>
  <c r="F49" i="30"/>
  <c r="F65" i="30"/>
  <c r="F81" i="30"/>
  <c r="F97" i="30"/>
  <c r="F113" i="30"/>
  <c r="F129" i="30"/>
  <c r="F145" i="30"/>
  <c r="F161" i="30"/>
  <c r="F177" i="30"/>
  <c r="G9" i="30"/>
  <c r="G17" i="30"/>
  <c r="G25" i="30"/>
  <c r="G33" i="30"/>
  <c r="G41" i="30"/>
  <c r="G48" i="30"/>
  <c r="G53" i="30"/>
  <c r="G59" i="30"/>
  <c r="G64" i="30"/>
  <c r="G69" i="30"/>
  <c r="G75" i="30"/>
  <c r="G80" i="30"/>
  <c r="G85" i="30"/>
  <c r="G91" i="30"/>
  <c r="G96" i="30"/>
  <c r="G101" i="30"/>
  <c r="G107" i="30"/>
  <c r="G112" i="30"/>
  <c r="G117" i="30"/>
  <c r="G123" i="30"/>
  <c r="G128" i="30"/>
  <c r="G133" i="30"/>
  <c r="G139" i="30"/>
  <c r="G144" i="30"/>
  <c r="G149" i="30"/>
  <c r="G155" i="30"/>
  <c r="G160" i="30"/>
  <c r="G165" i="30"/>
  <c r="G171" i="30"/>
  <c r="G176" i="30"/>
  <c r="G93" i="30"/>
  <c r="G120" i="30"/>
  <c r="G141" i="30"/>
  <c r="G152" i="30"/>
  <c r="G173" i="30"/>
  <c r="D17" i="30"/>
  <c r="D139" i="30"/>
  <c r="E34" i="30"/>
  <c r="E90" i="30"/>
  <c r="E112" i="30"/>
  <c r="E133" i="30"/>
  <c r="E154" i="30"/>
  <c r="E176" i="30"/>
  <c r="F21" i="30"/>
  <c r="F37" i="30"/>
  <c r="F53" i="30"/>
  <c r="F69" i="30"/>
  <c r="F85" i="30"/>
  <c r="F101" i="30"/>
  <c r="F117" i="30"/>
  <c r="F133" i="30"/>
  <c r="F149" i="30"/>
  <c r="F165" i="30"/>
  <c r="G4" i="30"/>
  <c r="G12" i="30"/>
  <c r="G20" i="30"/>
  <c r="G28" i="30"/>
  <c r="G36" i="30"/>
  <c r="G44" i="30"/>
  <c r="G49" i="30"/>
  <c r="G55" i="30"/>
  <c r="G60" i="30"/>
  <c r="G65" i="30"/>
  <c r="G71" i="30"/>
  <c r="G76" i="30"/>
  <c r="G81" i="30"/>
  <c r="G87" i="30"/>
  <c r="G92" i="30"/>
  <c r="G97" i="30"/>
  <c r="G103" i="30"/>
  <c r="G108" i="30"/>
  <c r="G113" i="30"/>
  <c r="G119" i="30"/>
  <c r="G124" i="30"/>
  <c r="G129" i="30"/>
  <c r="G135" i="30"/>
  <c r="G140" i="30"/>
  <c r="G145" i="30"/>
  <c r="G151" i="30"/>
  <c r="G156" i="30"/>
  <c r="G161" i="30"/>
  <c r="G167" i="30"/>
  <c r="G172" i="30"/>
  <c r="G177" i="30"/>
  <c r="D75" i="30"/>
  <c r="D161" i="30"/>
  <c r="E50" i="30"/>
  <c r="E96" i="30"/>
  <c r="E117" i="30"/>
  <c r="E138" i="30"/>
  <c r="E160" i="30"/>
  <c r="F5" i="30"/>
  <c r="F25" i="30"/>
  <c r="F41" i="30"/>
  <c r="F57" i="30"/>
  <c r="F73" i="30"/>
  <c r="F89" i="30"/>
  <c r="F105" i="30"/>
  <c r="F121" i="30"/>
  <c r="F137" i="30"/>
  <c r="F153" i="30"/>
  <c r="F169" i="30"/>
  <c r="G5" i="30"/>
  <c r="G13" i="30"/>
  <c r="G21" i="30"/>
  <c r="G29" i="30"/>
  <c r="G37" i="30"/>
  <c r="G45" i="30"/>
  <c r="G51" i="30"/>
  <c r="G56" i="30"/>
  <c r="G61" i="30"/>
  <c r="G67" i="30"/>
  <c r="G72" i="30"/>
  <c r="G77" i="30"/>
  <c r="G83" i="30"/>
  <c r="G88" i="30"/>
  <c r="G99" i="30"/>
  <c r="G104" i="30"/>
  <c r="G109" i="30"/>
  <c r="G115" i="30"/>
  <c r="G131" i="30"/>
  <c r="G136" i="30"/>
  <c r="G147" i="30"/>
  <c r="G163" i="30"/>
  <c r="G168" i="30"/>
  <c r="S2" i="37"/>
  <c r="S6" i="37"/>
  <c r="S10" i="37"/>
  <c r="S14" i="37"/>
  <c r="S18" i="37"/>
  <c r="S22" i="37"/>
  <c r="S26" i="37"/>
  <c r="S30" i="37"/>
  <c r="S34" i="37"/>
  <c r="S38" i="37"/>
  <c r="S42" i="37"/>
  <c r="S46" i="37"/>
  <c r="S50" i="37"/>
  <c r="S54" i="37"/>
  <c r="S58" i="37"/>
  <c r="S62" i="37"/>
  <c r="S66" i="37"/>
  <c r="S70" i="37"/>
  <c r="S74" i="37"/>
  <c r="S78" i="37"/>
  <c r="S82" i="37"/>
  <c r="S86" i="37"/>
  <c r="S90" i="37"/>
  <c r="S94" i="37"/>
  <c r="S98" i="37"/>
  <c r="S102" i="37"/>
  <c r="S106" i="37"/>
  <c r="S110" i="37"/>
  <c r="S114" i="37"/>
  <c r="S118" i="37"/>
  <c r="S122" i="37"/>
  <c r="S126" i="37"/>
  <c r="S130" i="37"/>
  <c r="S134" i="37"/>
  <c r="T3" i="37"/>
  <c r="T7" i="37"/>
  <c r="T11" i="37"/>
  <c r="T15" i="37"/>
  <c r="S3" i="37"/>
  <c r="S7" i="37"/>
  <c r="S11" i="37"/>
  <c r="S15" i="37"/>
  <c r="S19" i="37"/>
  <c r="S23" i="37"/>
  <c r="S27" i="37"/>
  <c r="S31" i="37"/>
  <c r="S35" i="37"/>
  <c r="S39" i="37"/>
  <c r="S43" i="37"/>
  <c r="S47" i="37"/>
  <c r="S51" i="37"/>
  <c r="S55" i="37"/>
  <c r="S59" i="37"/>
  <c r="S63" i="37"/>
  <c r="S67" i="37"/>
  <c r="S71" i="37"/>
  <c r="S75" i="37"/>
  <c r="S79" i="37"/>
  <c r="S83" i="37"/>
  <c r="S87" i="37"/>
  <c r="S91" i="37"/>
  <c r="S95" i="37"/>
  <c r="S99" i="37"/>
  <c r="S103" i="37"/>
  <c r="S107" i="37"/>
  <c r="S111" i="37"/>
  <c r="S115" i="37"/>
  <c r="S119" i="37"/>
  <c r="S123" i="37"/>
  <c r="S127" i="37"/>
  <c r="S131" i="37"/>
  <c r="S135" i="37"/>
  <c r="T4" i="37"/>
  <c r="T8" i="37"/>
  <c r="T12" i="37"/>
  <c r="T16" i="37"/>
  <c r="T20" i="37"/>
  <c r="T24" i="37"/>
  <c r="T28" i="37"/>
  <c r="T32" i="37"/>
  <c r="T36" i="37"/>
  <c r="T40" i="37"/>
  <c r="T44" i="37"/>
  <c r="T48" i="37"/>
  <c r="T52" i="37"/>
  <c r="T56" i="37"/>
  <c r="T60" i="37"/>
  <c r="T64" i="37"/>
  <c r="T68" i="37"/>
  <c r="T72" i="37"/>
  <c r="T76" i="37"/>
  <c r="T80" i="37"/>
  <c r="T84" i="37"/>
  <c r="S4" i="37"/>
  <c r="S8" i="37"/>
  <c r="S12" i="37"/>
  <c r="S16" i="37"/>
  <c r="S20" i="37"/>
  <c r="S24" i="37"/>
  <c r="S28" i="37"/>
  <c r="S32" i="37"/>
  <c r="S36" i="37"/>
  <c r="S40" i="37"/>
  <c r="S44" i="37"/>
  <c r="S48" i="37"/>
  <c r="S52" i="37"/>
  <c r="S56" i="37"/>
  <c r="S60" i="37"/>
  <c r="S64" i="37"/>
  <c r="S68" i="37"/>
  <c r="S72" i="37"/>
  <c r="S76" i="37"/>
  <c r="S80" i="37"/>
  <c r="S84" i="37"/>
  <c r="S88" i="37"/>
  <c r="S92" i="37"/>
  <c r="S96" i="37"/>
  <c r="S100" i="37"/>
  <c r="S104" i="37"/>
  <c r="S108" i="37"/>
  <c r="S112" i="37"/>
  <c r="S116" i="37"/>
  <c r="S120" i="37"/>
  <c r="S124" i="37"/>
  <c r="S128" i="37"/>
  <c r="S132" i="37"/>
  <c r="S136" i="37"/>
  <c r="T5" i="37"/>
  <c r="T9" i="37"/>
  <c r="T13" i="37"/>
  <c r="T17" i="37"/>
  <c r="T21" i="37"/>
  <c r="T25" i="37"/>
  <c r="T29" i="37"/>
  <c r="T33" i="37"/>
  <c r="T37" i="37"/>
  <c r="T41" i="37"/>
  <c r="T45" i="37"/>
  <c r="T49" i="37"/>
  <c r="T53" i="37"/>
  <c r="T57" i="37"/>
  <c r="T61" i="37"/>
  <c r="T65" i="37"/>
  <c r="T69" i="37"/>
  <c r="T73" i="37"/>
  <c r="T77" i="37"/>
  <c r="T81" i="37"/>
  <c r="T85" i="37"/>
  <c r="T89" i="37"/>
  <c r="T93" i="37"/>
  <c r="T97" i="37"/>
  <c r="T101" i="37"/>
  <c r="T105" i="37"/>
  <c r="T109" i="37"/>
  <c r="T113" i="37"/>
  <c r="T117" i="37"/>
  <c r="T121" i="37"/>
  <c r="T125" i="37"/>
  <c r="T129" i="37"/>
  <c r="T133" i="37"/>
  <c r="U2" i="37"/>
  <c r="U6" i="37"/>
  <c r="U10" i="37"/>
  <c r="U14" i="37"/>
  <c r="U18" i="37"/>
  <c r="U22" i="37"/>
  <c r="U26" i="37"/>
  <c r="U30" i="37"/>
  <c r="U34" i="37"/>
  <c r="U38" i="37"/>
  <c r="U42" i="37"/>
  <c r="U46" i="37"/>
  <c r="U50" i="37"/>
  <c r="U54" i="37"/>
  <c r="U58" i="37"/>
  <c r="U62" i="37"/>
  <c r="U66" i="37"/>
  <c r="U70" i="37"/>
  <c r="S5" i="37"/>
  <c r="S21" i="37"/>
  <c r="S37" i="37"/>
  <c r="S53" i="37"/>
  <c r="S69" i="37"/>
  <c r="S85" i="37"/>
  <c r="S101" i="37"/>
  <c r="S117" i="37"/>
  <c r="S133" i="37"/>
  <c r="T14" i="37"/>
  <c r="T23" i="37"/>
  <c r="T31" i="37"/>
  <c r="T39" i="37"/>
  <c r="T47" i="37"/>
  <c r="T55" i="37"/>
  <c r="T63" i="37"/>
  <c r="T71" i="37"/>
  <c r="T79" i="37"/>
  <c r="T87" i="37"/>
  <c r="T92" i="37"/>
  <c r="T98" i="37"/>
  <c r="T103" i="37"/>
  <c r="T108" i="37"/>
  <c r="T114" i="37"/>
  <c r="T119" i="37"/>
  <c r="T124" i="37"/>
  <c r="T130" i="37"/>
  <c r="T135" i="37"/>
  <c r="U5" i="37"/>
  <c r="U11" i="37"/>
  <c r="U16" i="37"/>
  <c r="U21" i="37"/>
  <c r="S9" i="37"/>
  <c r="S25" i="37"/>
  <c r="S41" i="37"/>
  <c r="S57" i="37"/>
  <c r="S73" i="37"/>
  <c r="S89" i="37"/>
  <c r="S105" i="37"/>
  <c r="S121" i="37"/>
  <c r="T2" i="37"/>
  <c r="T18" i="37"/>
  <c r="T26" i="37"/>
  <c r="T34" i="37"/>
  <c r="T42" i="37"/>
  <c r="T50" i="37"/>
  <c r="T58" i="37"/>
  <c r="T66" i="37"/>
  <c r="T74" i="37"/>
  <c r="T82" i="37"/>
  <c r="T88" i="37"/>
  <c r="T94" i="37"/>
  <c r="T99" i="37"/>
  <c r="T104" i="37"/>
  <c r="T110" i="37"/>
  <c r="T115" i="37"/>
  <c r="T120" i="37"/>
  <c r="T126" i="37"/>
  <c r="T131" i="37"/>
  <c r="T136" i="37"/>
  <c r="U7" i="37"/>
  <c r="U12" i="37"/>
  <c r="U17" i="37"/>
  <c r="U23" i="37"/>
  <c r="U28" i="37"/>
  <c r="U33" i="37"/>
  <c r="U39" i="37"/>
  <c r="U44" i="37"/>
  <c r="U49" i="37"/>
  <c r="U55" i="37"/>
  <c r="U60" i="37"/>
  <c r="U65" i="37"/>
  <c r="U71" i="37"/>
  <c r="U75" i="37"/>
  <c r="U79" i="37"/>
  <c r="U83" i="37"/>
  <c r="U87" i="37"/>
  <c r="U91" i="37"/>
  <c r="U95" i="37"/>
  <c r="U99" i="37"/>
  <c r="U103" i="37"/>
  <c r="U107" i="37"/>
  <c r="U111" i="37"/>
  <c r="U115" i="37"/>
  <c r="U119" i="37"/>
  <c r="U123" i="37"/>
  <c r="U127" i="37"/>
  <c r="U131" i="37"/>
  <c r="U135" i="37"/>
  <c r="V4" i="37"/>
  <c r="V8" i="37"/>
  <c r="V12" i="37"/>
  <c r="V16" i="37"/>
  <c r="V20" i="37"/>
  <c r="V24" i="37"/>
  <c r="V28" i="37"/>
  <c r="V32" i="37"/>
  <c r="V36" i="37"/>
  <c r="V40" i="37"/>
  <c r="V44" i="37"/>
  <c r="V48" i="37"/>
  <c r="V52" i="37"/>
  <c r="V56" i="37"/>
  <c r="V60" i="37"/>
  <c r="V64" i="37"/>
  <c r="V68" i="37"/>
  <c r="V72" i="37"/>
  <c r="V76" i="37"/>
  <c r="V80" i="37"/>
  <c r="V84" i="37"/>
  <c r="V88" i="37"/>
  <c r="V92" i="37"/>
  <c r="V96" i="37"/>
  <c r="V100" i="37"/>
  <c r="V104" i="37"/>
  <c r="V108" i="37"/>
  <c r="V112" i="37"/>
  <c r="S13" i="37"/>
  <c r="S29" i="37"/>
  <c r="S45" i="37"/>
  <c r="S61" i="37"/>
  <c r="S77" i="37"/>
  <c r="S93" i="37"/>
  <c r="S109" i="37"/>
  <c r="S125" i="37"/>
  <c r="T6" i="37"/>
  <c r="T19" i="37"/>
  <c r="T27" i="37"/>
  <c r="T35" i="37"/>
  <c r="T43" i="37"/>
  <c r="T51" i="37"/>
  <c r="T59" i="37"/>
  <c r="T67" i="37"/>
  <c r="T75" i="37"/>
  <c r="T83" i="37"/>
  <c r="T90" i="37"/>
  <c r="T95" i="37"/>
  <c r="T100" i="37"/>
  <c r="T106" i="37"/>
  <c r="T111" i="37"/>
  <c r="T116" i="37"/>
  <c r="T122" i="37"/>
  <c r="T127" i="37"/>
  <c r="T132" i="37"/>
  <c r="U3" i="37"/>
  <c r="U8" i="37"/>
  <c r="U13" i="37"/>
  <c r="U19" i="37"/>
  <c r="U24" i="37"/>
  <c r="U29" i="37"/>
  <c r="U35" i="37"/>
  <c r="U40" i="37"/>
  <c r="U45" i="37"/>
  <c r="U51" i="37"/>
  <c r="U56" i="37"/>
  <c r="U61" i="37"/>
  <c r="U67" i="37"/>
  <c r="U72" i="37"/>
  <c r="U76" i="37"/>
  <c r="U80" i="37"/>
  <c r="U84" i="37"/>
  <c r="U88" i="37"/>
  <c r="U92" i="37"/>
  <c r="U96" i="37"/>
  <c r="U100" i="37"/>
  <c r="U104" i="37"/>
  <c r="U108" i="37"/>
  <c r="U112" i="37"/>
  <c r="U116" i="37"/>
  <c r="U120" i="37"/>
  <c r="U124" i="37"/>
  <c r="U128" i="37"/>
  <c r="U132" i="37"/>
  <c r="U136" i="37"/>
  <c r="V5" i="37"/>
  <c r="V9" i="37"/>
  <c r="V13" i="37"/>
  <c r="V17" i="37"/>
  <c r="V21" i="37"/>
  <c r="V25" i="37"/>
  <c r="V29" i="37"/>
  <c r="V33" i="37"/>
  <c r="V37" i="37"/>
  <c r="V41" i="37"/>
  <c r="V45" i="37"/>
  <c r="V49" i="37"/>
  <c r="V53" i="37"/>
  <c r="V57" i="37"/>
  <c r="V61" i="37"/>
  <c r="V65" i="37"/>
  <c r="V69" i="37"/>
  <c r="V73" i="37"/>
  <c r="V77" i="37"/>
  <c r="V81" i="37"/>
  <c r="V85" i="37"/>
  <c r="V89" i="37"/>
  <c r="V93" i="37"/>
  <c r="V97" i="37"/>
  <c r="V101" i="37"/>
  <c r="V105" i="37"/>
  <c r="V109" i="37"/>
  <c r="S17" i="37"/>
  <c r="S81" i="37"/>
  <c r="T10" i="37"/>
  <c r="T46" i="37"/>
  <c r="T78" i="37"/>
  <c r="T102" i="37"/>
  <c r="T123" i="37"/>
  <c r="U9" i="37"/>
  <c r="U27" i="37"/>
  <c r="U37" i="37"/>
  <c r="U48" i="37"/>
  <c r="U59" i="37"/>
  <c r="U69" i="37"/>
  <c r="U78" i="37"/>
  <c r="U86" i="37"/>
  <c r="U94" i="37"/>
  <c r="U102" i="37"/>
  <c r="U110" i="37"/>
  <c r="U118" i="37"/>
  <c r="U126" i="37"/>
  <c r="U134" i="37"/>
  <c r="V7" i="37"/>
  <c r="V15" i="37"/>
  <c r="V23" i="37"/>
  <c r="V31" i="37"/>
  <c r="V39" i="37"/>
  <c r="V47" i="37"/>
  <c r="V55" i="37"/>
  <c r="V63" i="37"/>
  <c r="V71" i="37"/>
  <c r="V79" i="37"/>
  <c r="V87" i="37"/>
  <c r="V95" i="37"/>
  <c r="V103" i="37"/>
  <c r="V111" i="37"/>
  <c r="V116" i="37"/>
  <c r="V120" i="37"/>
  <c r="V124" i="37"/>
  <c r="V128" i="37"/>
  <c r="V132" i="37"/>
  <c r="V136" i="37"/>
  <c r="W5" i="37"/>
  <c r="W9" i="37"/>
  <c r="W13" i="37"/>
  <c r="W17" i="37"/>
  <c r="W21" i="37"/>
  <c r="W25" i="37"/>
  <c r="W29" i="37"/>
  <c r="W33" i="37"/>
  <c r="W37" i="37"/>
  <c r="W41" i="37"/>
  <c r="W45" i="37"/>
  <c r="W49" i="37"/>
  <c r="W53" i="37"/>
  <c r="W57" i="37"/>
  <c r="W61" i="37"/>
  <c r="W65" i="37"/>
  <c r="W69" i="37"/>
  <c r="W73" i="37"/>
  <c r="W77" i="37"/>
  <c r="W81" i="37"/>
  <c r="W85" i="37"/>
  <c r="W89" i="37"/>
  <c r="W93" i="37"/>
  <c r="W97" i="37"/>
  <c r="W101" i="37"/>
  <c r="W105" i="37"/>
  <c r="W109" i="37"/>
  <c r="W113" i="37"/>
  <c r="W117" i="37"/>
  <c r="W121" i="37"/>
  <c r="W125" i="37"/>
  <c r="W129" i="37"/>
  <c r="W133" i="37"/>
  <c r="V82" i="37"/>
  <c r="V90" i="37"/>
  <c r="V98" i="37"/>
  <c r="V106" i="37"/>
  <c r="V117" i="37"/>
  <c r="V121" i="37"/>
  <c r="V125" i="37"/>
  <c r="V133" i="37"/>
  <c r="W6" i="37"/>
  <c r="W14" i="37"/>
  <c r="W22" i="37"/>
  <c r="S33" i="37"/>
  <c r="S97" i="37"/>
  <c r="T22" i="37"/>
  <c r="T54" i="37"/>
  <c r="T86" i="37"/>
  <c r="T107" i="37"/>
  <c r="T128" i="37"/>
  <c r="U15" i="37"/>
  <c r="U31" i="37"/>
  <c r="U41" i="37"/>
  <c r="U52" i="37"/>
  <c r="U63" i="37"/>
  <c r="U73" i="37"/>
  <c r="U81" i="37"/>
  <c r="U89" i="37"/>
  <c r="U97" i="37"/>
  <c r="U105" i="37"/>
  <c r="U113" i="37"/>
  <c r="U121" i="37"/>
  <c r="U129" i="37"/>
  <c r="V2" i="37"/>
  <c r="V10" i="37"/>
  <c r="V18" i="37"/>
  <c r="V26" i="37"/>
  <c r="V34" i="37"/>
  <c r="V42" i="37"/>
  <c r="V50" i="37"/>
  <c r="V58" i="37"/>
  <c r="V66" i="37"/>
  <c r="V74" i="37"/>
  <c r="V113" i="37"/>
  <c r="V129" i="37"/>
  <c r="W2" i="37"/>
  <c r="W10" i="37"/>
  <c r="W18" i="37"/>
  <c r="S49" i="37"/>
  <c r="S113" i="37"/>
  <c r="T30" i="37"/>
  <c r="T62" i="37"/>
  <c r="T91" i="37"/>
  <c r="T112" i="37"/>
  <c r="T134" i="37"/>
  <c r="U20" i="37"/>
  <c r="U32" i="37"/>
  <c r="U43" i="37"/>
  <c r="U53" i="37"/>
  <c r="U64" i="37"/>
  <c r="U74" i="37"/>
  <c r="U82" i="37"/>
  <c r="U90" i="37"/>
  <c r="U98" i="37"/>
  <c r="U106" i="37"/>
  <c r="U114" i="37"/>
  <c r="U122" i="37"/>
  <c r="U130" i="37"/>
  <c r="V3" i="37"/>
  <c r="V11" i="37"/>
  <c r="V19" i="37"/>
  <c r="V27" i="37"/>
  <c r="V35" i="37"/>
  <c r="V43" i="37"/>
  <c r="V51" i="37"/>
  <c r="V59" i="37"/>
  <c r="V67" i="37"/>
  <c r="V75" i="37"/>
  <c r="V83" i="37"/>
  <c r="V91" i="37"/>
  <c r="V99" i="37"/>
  <c r="V107" i="37"/>
  <c r="V114" i="37"/>
  <c r="V118" i="37"/>
  <c r="V122" i="37"/>
  <c r="V126" i="37"/>
  <c r="V130" i="37"/>
  <c r="V134" i="37"/>
  <c r="W3" i="37"/>
  <c r="W7" i="37"/>
  <c r="W11" i="37"/>
  <c r="W15" i="37"/>
  <c r="W19" i="37"/>
  <c r="W23" i="37"/>
  <c r="W27" i="37"/>
  <c r="W31" i="37"/>
  <c r="W35" i="37"/>
  <c r="W39" i="37"/>
  <c r="W43" i="37"/>
  <c r="W47" i="37"/>
  <c r="W51" i="37"/>
  <c r="W55" i="37"/>
  <c r="W59" i="37"/>
  <c r="W63" i="37"/>
  <c r="W67" i="37"/>
  <c r="W71" i="37"/>
  <c r="W75" i="37"/>
  <c r="W79" i="37"/>
  <c r="W83" i="37"/>
  <c r="W87" i="37"/>
  <c r="W91" i="37"/>
  <c r="W95" i="37"/>
  <c r="W99" i="37"/>
  <c r="W103" i="37"/>
  <c r="W107" i="37"/>
  <c r="W111" i="37"/>
  <c r="W115" i="37"/>
  <c r="W119" i="37"/>
  <c r="W123" i="37"/>
  <c r="W127" i="37"/>
  <c r="W131" i="37"/>
  <c r="W135" i="37"/>
  <c r="S65" i="37"/>
  <c r="S129" i="37"/>
  <c r="T38" i="37"/>
  <c r="T70" i="37"/>
  <c r="T96" i="37"/>
  <c r="T118" i="37"/>
  <c r="U4" i="37"/>
  <c r="U25" i="37"/>
  <c r="U36" i="37"/>
  <c r="U47" i="37"/>
  <c r="U57" i="37"/>
  <c r="U68" i="37"/>
  <c r="U77" i="37"/>
  <c r="U85" i="37"/>
  <c r="U93" i="37"/>
  <c r="U101" i="37"/>
  <c r="U109" i="37"/>
  <c r="U117" i="37"/>
  <c r="U125" i="37"/>
  <c r="U133" i="37"/>
  <c r="V30" i="37"/>
  <c r="V62" i="37"/>
  <c r="V94" i="37"/>
  <c r="V119" i="37"/>
  <c r="V135" i="37"/>
  <c r="W16" i="37"/>
  <c r="W28" i="37"/>
  <c r="W36" i="37"/>
  <c r="W44" i="37"/>
  <c r="W52" i="37"/>
  <c r="W60" i="37"/>
  <c r="W68" i="37"/>
  <c r="W76" i="37"/>
  <c r="W84" i="37"/>
  <c r="W92" i="37"/>
  <c r="W100" i="37"/>
  <c r="W108" i="37"/>
  <c r="W116" i="37"/>
  <c r="W124" i="37"/>
  <c r="W132" i="37"/>
  <c r="V6" i="37"/>
  <c r="V38" i="37"/>
  <c r="V70" i="37"/>
  <c r="V102" i="37"/>
  <c r="V123" i="37"/>
  <c r="W4" i="37"/>
  <c r="W20" i="37"/>
  <c r="W30" i="37"/>
  <c r="W38" i="37"/>
  <c r="W46" i="37"/>
  <c r="W54" i="37"/>
  <c r="W62" i="37"/>
  <c r="W70" i="37"/>
  <c r="W78" i="37"/>
  <c r="W86" i="37"/>
  <c r="W94" i="37"/>
  <c r="W102" i="37"/>
  <c r="W110" i="37"/>
  <c r="W118" i="37"/>
  <c r="W126" i="37"/>
  <c r="W134" i="37"/>
  <c r="W96" i="37"/>
  <c r="W112" i="37"/>
  <c r="W128" i="37"/>
  <c r="V14" i="37"/>
  <c r="V46" i="37"/>
  <c r="V78" i="37"/>
  <c r="V110" i="37"/>
  <c r="V127" i="37"/>
  <c r="W8" i="37"/>
  <c r="W24" i="37"/>
  <c r="W32" i="37"/>
  <c r="W40" i="37"/>
  <c r="W48" i="37"/>
  <c r="W56" i="37"/>
  <c r="W64" i="37"/>
  <c r="W72" i="37"/>
  <c r="W80" i="37"/>
  <c r="W88" i="37"/>
  <c r="W104" i="37"/>
  <c r="W120" i="37"/>
  <c r="W136" i="37"/>
  <c r="V22" i="37"/>
  <c r="V54" i="37"/>
  <c r="V86" i="37"/>
  <c r="V115" i="37"/>
  <c r="V131" i="37"/>
  <c r="W12" i="37"/>
  <c r="W26" i="37"/>
  <c r="W34" i="37"/>
  <c r="W42" i="37"/>
  <c r="W50" i="37"/>
  <c r="W58" i="37"/>
  <c r="W66" i="37"/>
  <c r="W74" i="37"/>
  <c r="W82" i="37"/>
  <c r="W90" i="37"/>
  <c r="W98" i="37"/>
  <c r="W106" i="37"/>
  <c r="W114" i="37"/>
  <c r="W122" i="37"/>
  <c r="W130" i="37"/>
  <c r="O2" i="27"/>
  <c r="G4" i="33" l="1"/>
  <c r="G5" i="33"/>
  <c r="G6" i="33"/>
  <c r="G7" i="33"/>
  <c r="G8" i="33"/>
  <c r="G9" i="33"/>
  <c r="G10" i="33"/>
  <c r="G11" i="33"/>
  <c r="G12" i="33"/>
  <c r="G13" i="33"/>
  <c r="G14" i="33"/>
  <c r="G4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CC326-F47B-4D0D-9998-AACE341AE564}" keepAlive="1" name="Query - Fix Mapping" description="Connection to the 'Fix Mapping' query in the workbook." type="5" refreshedVersion="6" background="1" saveData="1">
    <dbPr connection="Provider=Microsoft.Mashup.OleDb.1;Data Source=$Workbook$;Location=Fix Mapping;Extended Properties=&quot;&quot;" command="SELECT * FROM [Fix Mapping]"/>
  </connection>
  <connection id="2" xr16:uid="{7A10A8CB-0CD4-455F-AF05-E3AC7F4887E3}" keepAlive="1" name="Query - Form To Win" description="Connection to the 'Form To Win' query in the workbook." type="5" refreshedVersion="6" background="1" saveData="1">
    <dbPr connection="Provider=Microsoft.Mashup.OleDb.1;Data Source=$Workbook$;Location=Form To Win;Extended Properties=&quot;&quot;" command="SELECT * FROM [Form To Win]"/>
  </connection>
  <connection id="3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6F247135-BABB-47DF-B605-A1A071454990}" keepAlive="1" name="Query - Pvt Map 1" description="Connection to the 'Pvt Map 1' query in the workbook." type="5" refreshedVersion="6" background="1" saveData="1">
    <dbPr connection="Provider=Microsoft.Mashup.OleDb.1;Data Source=$Workbook$;Location=Pvt Map 1;Extended Properties=&quot;&quot;" command="SELECT * FROM [Pvt Map 1]"/>
  </connection>
  <connection id="5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7B1A872A-F02D-403C-AA47-E16333F26B44}" keepAlive="1" name="Query - Table43" description="Connection to the 'Table43' query in the workbook." type="5" refreshedVersion="6" background="1" saveData="1">
    <dbPr connection="Provider=Microsoft.Mashup.OleDb.1;Data Source=$Workbook$;Location=Table43;Extended Properties=&quot;&quot;" command="SELECT * FROM [Table43]"/>
  </connection>
  <connection id="7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<sst xmlns="http://schemas.openxmlformats.org/spreadsheetml/2006/main" count="9556" uniqueCount="1362">
  <si>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</si>
  <si>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</si>
  <si>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</si>
  <si>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</si>
  <si>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</si>
  <si>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</si>
  <si>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</si>
  <si>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</si>
  <si>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</si>
  <si>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</si>
  <si>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</si>
  <si>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</si>
  <si>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</si>
  <si>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</si>
  <si>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</si>
  <si>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</si>
  <si>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</si>
  <si>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</si>
  <si>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</si>
  <si>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</si>
  <si>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</si>
  <si>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</si>
  <si>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</si>
  <si>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</si>
  <si>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</si>
  <si>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</si>
  <si>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</si>
  <si>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</si>
  <si>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</si>
  <si>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</si>
  <si>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</si>
  <si>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</si>
  <si>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</si>
  <si>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</si>
  <si>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</si>
  <si>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</si>
  <si>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</si>
  <si>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</si>
  <si>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</si>
  <si>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</si>
  <si>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</si>
  <si>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</si>
  <si>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</si>
  <si>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</si>
  <si>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</si>
  <si>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</si>
  <si>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</si>
  <si>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</si>
  <si>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</si>
  <si>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</si>
  <si>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</si>
  <si>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</si>
  <si>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</si>
  <si>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</si>
  <si>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</si>
  <si>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</si>
  <si>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</si>
  <si>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</si>
  <si>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</si>
  <si>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</si>
  <si>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</si>
  <si>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</si>
  <si>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</si>
  <si>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</si>
  <si>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</si>
  <si>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</si>
  <si>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</si>
  <si>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</si>
  <si>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</si>
  <si>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</si>
  <si>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</si>
  <si>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</si>
  <si>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</si>
  <si>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</si>
  <si>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</si>
  <si>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</si>
  <si>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</si>
  <si>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</si>
  <si>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</si>
  <si>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</si>
  <si>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</si>
  <si>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</si>
  <si>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</si>
  <si>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</si>
  <si>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</si>
  <si>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</si>
  <si>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</si>
  <si>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</si>
  <si>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</si>
  <si>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</si>
  <si>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</si>
  <si>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</si>
  <si>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</si>
  <si>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</si>
  <si>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</si>
  <si>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</si>
  <si>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</si>
  <si>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</si>
  <si>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</si>
  <si>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</si>
  <si>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</si>
  <si>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</si>
  <si>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</si>
  <si>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</si>
  <si>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</si>
  <si>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</si>
  <si>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</si>
  <si>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</si>
  <si>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</si>
  <si>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</si>
  <si>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</si>
  <si>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</si>
  <si>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</si>
  <si>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</si>
  <si>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</si>
  <si>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</si>
  <si>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</si>
  <si>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</si>
  <si>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</si>
  <si>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</si>
  <si>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</si>
  <si>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</si>
  <si>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</si>
  <si>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</si>
  <si>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</si>
  <si>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</si>
  <si>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</si>
  <si>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</si>
  <si>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</si>
  <si>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</si>
  <si>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</si>
  <si>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</si>
  <si>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</si>
  <si>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</si>
  <si>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</si>
  <si>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</si>
  <si>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</si>
  <si>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</si>
  <si>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</si>
  <si>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</si>
  <si>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</si>
  <si>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</si>
  <si>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</si>
  <si>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</si>
  <si>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</si>
  <si>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</si>
  <si>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</si>
  <si>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</si>
  <si>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KELOMPOK PRODUK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</si>
  <si>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</si>
  <si>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</si>
  <si>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</si>
  <si>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</si>
  <si>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</si>
  <si>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</si>
  <si>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</si>
  <si>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</si>
  <si>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</si>
  <si>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</si>
  <si>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</si>
  <si>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</si>
  <si>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</si>
  <si>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</si>
  <si>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</si>
  <si>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</si>
  <si>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</si>
  <si>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</si>
  <si>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</si>
  <si>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</si>
  <si>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</si>
  <si>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</si>
  <si>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</si>
  <si>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</si>
  <si>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ALEX</t>
  </si>
  <si>
    <t>Nama Jenis Kemasan</t>
  </si>
  <si>
    <t>Nama Golongan</t>
  </si>
  <si>
    <t>kode  1 Digit
(Nomor)</t>
  </si>
  <si>
    <t>KET. GOLONGAN</t>
  </si>
  <si>
    <t>LITER</t>
  </si>
  <si>
    <t>GRAM</t>
  </si>
  <si>
    <t>Tanda Kode Revisi</t>
  </si>
  <si>
    <t>Status Barang</t>
  </si>
  <si>
    <t>Ket. Tambahan / Pembantu</t>
  </si>
  <si>
    <t>Harga Jual MT</t>
  </si>
  <si>
    <t>MARGIN</t>
  </si>
  <si>
    <t>Aktif</t>
  </si>
  <si>
    <t>Nama Principle</t>
  </si>
  <si>
    <t>PCS</t>
  </si>
  <si>
    <t>SHEET</t>
  </si>
  <si>
    <t>KODE BARANG</t>
  </si>
  <si>
    <t>NAMA BARANG</t>
  </si>
  <si>
    <t>NAMA KELOMPOK</t>
  </si>
  <si>
    <t>NAMA PRINCIPLE</t>
  </si>
  <si>
    <t>ANTANGIN GROUP</t>
  </si>
  <si>
    <t>CANDY GROUP</t>
  </si>
  <si>
    <t>IMUGARD GROUP</t>
  </si>
  <si>
    <t>KOJIMA MADU</t>
  </si>
  <si>
    <t>KULDON GROUP</t>
  </si>
  <si>
    <t>MEN GROUP</t>
  </si>
  <si>
    <t>OBH GROUP</t>
  </si>
  <si>
    <t>WOMEN GROUP</t>
  </si>
  <si>
    <t>PILKITA</t>
  </si>
  <si>
    <t>FRESHCARE GROUP</t>
  </si>
  <si>
    <t>FRESHLIVING GROUP</t>
  </si>
  <si>
    <t>HERBA</t>
  </si>
  <si>
    <t>HOTIN GROUP</t>
  </si>
  <si>
    <t>MADU GROUP</t>
  </si>
  <si>
    <t>MYWELL</t>
  </si>
  <si>
    <t>TRESNOJOYO</t>
  </si>
  <si>
    <t>ANTANGIN JRG PLUS JAHE MERAH TD20</t>
  </si>
  <si>
    <t>ANTANGIN JUNIORS SD5</t>
  </si>
  <si>
    <t>ANTANGIN JRG + MADU SD12</t>
  </si>
  <si>
    <t>ANTANGIN MINT SD12</t>
  </si>
  <si>
    <t>ANTANGIN MINT SD5</t>
  </si>
  <si>
    <t>ANTANGIN GOOD NIGTH TD20</t>
  </si>
  <si>
    <t>ANTANGIN HABBATUSSAUDA SD12</t>
  </si>
  <si>
    <t>ANTANGIN HABBATUSSAUDA SD14</t>
  </si>
  <si>
    <t>ANTANGIN MINT SD14</t>
  </si>
  <si>
    <t>OB HERBAL PERMEN HERBAL RASA MINT S5</t>
  </si>
  <si>
    <t>ANTANGIN PERMEN HERBAL RASA MADU MINT T30</t>
  </si>
  <si>
    <t>ANTANGIN PERMEN ANEKA RASA T250</t>
  </si>
  <si>
    <t>ANTANGIN PERMEN ANEKA RASA T150</t>
  </si>
  <si>
    <t>TEJAHE PERMEN RASA JAHE B50</t>
  </si>
  <si>
    <t>TEJAHE PERMEN RASA JAHE T150</t>
  </si>
  <si>
    <t>TEJAHE PERMEN RASA BANDREK B50</t>
  </si>
  <si>
    <t>TEJAHE PERMEN RASA JAHE T250</t>
  </si>
  <si>
    <t>TEJAHE PERMEN RASA SEKOTENG B50</t>
  </si>
  <si>
    <t>ZIPLONG PERMEN RASA MINT B50</t>
  </si>
  <si>
    <t>TEJAHE PERMEN ASSORTED T150</t>
  </si>
  <si>
    <t>ZIPLONG PERMEN RASA MINT SD5</t>
  </si>
  <si>
    <t>KOJIMA CANDY BAG 50</t>
  </si>
  <si>
    <t>KOJIMA CANDY S5</t>
  </si>
  <si>
    <t>ZIPLONG PERMEN RASA EUCALYPTUS MINT B50</t>
  </si>
  <si>
    <t>PERMEN TEJAHE JAHE MERAH BAG 50</t>
  </si>
  <si>
    <t>ANTANGIN PERMEN ANEKA RASA B50</t>
  </si>
  <si>
    <t>IMUGARD K10</t>
  </si>
  <si>
    <t>KOJIMA D10</t>
  </si>
  <si>
    <t>KOJIMA B140</t>
  </si>
  <si>
    <t>KOJIMA R6</t>
  </si>
  <si>
    <t>KOJIMA B100</t>
  </si>
  <si>
    <t>KULDON TD10</t>
  </si>
  <si>
    <t>KULDON GRANULE S10</t>
  </si>
  <si>
    <t>SRONGPAS D20</t>
  </si>
  <si>
    <t>ANTALINU TD20</t>
  </si>
  <si>
    <t>OB HERBAL B100</t>
  </si>
  <si>
    <t>OB HERBAL B60</t>
  </si>
  <si>
    <t>OB HERBAL D10</t>
  </si>
  <si>
    <t>OB HERBAL JUNIOR B60</t>
  </si>
  <si>
    <t>OB HERBAL ZIPLONG D5</t>
  </si>
  <si>
    <t>OB HERBAL 30 ML</t>
  </si>
  <si>
    <t>OB HERBAL JUNIOR 30 ML</t>
  </si>
  <si>
    <t>OB HERBAL HABBATUSSAUDA B60</t>
  </si>
  <si>
    <t>OB HERBAL SACHET R12 (RENCENG ISI 12 SACHET)</t>
  </si>
  <si>
    <t>OB HERBAL SACHET D11 (DUS ISI 11 SACHET)</t>
  </si>
  <si>
    <t>NATUR SLIM S30</t>
  </si>
  <si>
    <t>TUNTAS  K10</t>
  </si>
  <si>
    <t>RAPET WANGI K10</t>
  </si>
  <si>
    <t>PILKITA 2T D50 TM</t>
  </si>
  <si>
    <t>PILKITA PLUS MADU SD12</t>
  </si>
  <si>
    <t>FRESHCARE GREEN TEA</t>
  </si>
  <si>
    <t>FRESHCARE SPLASH FRUITY</t>
  </si>
  <si>
    <t>FRESHCARE LAVENDER</t>
  </si>
  <si>
    <t>FRESHCARE ORIGINAL</t>
  </si>
  <si>
    <t>FRESHCARE STRONG</t>
  </si>
  <si>
    <t>FRESHCARE SANDALWOOD</t>
  </si>
  <si>
    <t>FRESHCARE SPORT</t>
  </si>
  <si>
    <t>FRESHCARE TEENS HAPPY CERRY</t>
  </si>
  <si>
    <t>FRESHCARE TEENS BUBBLE GUM</t>
  </si>
  <si>
    <t>FRESHCARE TEENS PASSION FRUIT</t>
  </si>
  <si>
    <t>FRESHCARE MIX CITRUS</t>
  </si>
  <si>
    <t>FRESHCARE MINYAK KAYU PUTIH</t>
  </si>
  <si>
    <t>FRESHCARE PRESS &amp; RELAX STRONG 10 ml</t>
  </si>
  <si>
    <t>FRESHCARE PRESS &amp; RELAX MINYAK ANGIN KAYU PUTIH</t>
  </si>
  <si>
    <t>FRESHCARE MIX EUCALYPTUS</t>
  </si>
  <si>
    <t>FRESHCARE EUCALYPTUS PATCH</t>
  </si>
  <si>
    <t>FRESHCARE TELON PATCH</t>
  </si>
  <si>
    <t>FRESHCARE SMASH</t>
  </si>
  <si>
    <t>FRESHCARE SMASH MATCHA</t>
  </si>
  <si>
    <t>FRESHCARE STRONG 15+5ML</t>
  </si>
  <si>
    <t>FRESHLIVING ESSENTIAL LAVENDER OIL 10 ML</t>
  </si>
  <si>
    <t>FRESHLIVING ESSENTIAL PEPPERMINT OIL 10 ML</t>
  </si>
  <si>
    <t>FRESHLIVING ESSENTIAL EUCALYPTUS LAVENDER OIL 10 ML</t>
  </si>
  <si>
    <t>FRESHLIVING MINYAK ZAITUN 50ML</t>
  </si>
  <si>
    <t>FRESHLIVING ZAITUN LOTION 80 gr</t>
  </si>
  <si>
    <t>FRESHLIVING STEAM EYE MASK LAVENDER</t>
  </si>
  <si>
    <t>FRESHLIVING BEBIO C&amp;F</t>
  </si>
  <si>
    <t>FRESHLIVING BEBIO ITHCY</t>
  </si>
  <si>
    <t>FRESHLIVING BEBIO TUMMY</t>
  </si>
  <si>
    <t>MINYAK HERBA WAHID 100 ml</t>
  </si>
  <si>
    <t>HOTIN CREAM 120 ml</t>
  </si>
  <si>
    <t>HOTIN CREAM AROMATHERAPY 120 ml</t>
  </si>
  <si>
    <t>HOTIN CREAM PUMP 120 ml</t>
  </si>
  <si>
    <t>HOTIN CREAM AROMATHERAPY PUMP 120 ml</t>
  </si>
  <si>
    <t>HOTIN CREAM 60 ml</t>
  </si>
  <si>
    <t>HOTIN CREAM AROMATHERAPY 60 ml</t>
  </si>
  <si>
    <t>HOTIN CREAM TUBE 60 ml</t>
  </si>
  <si>
    <t>HOTIN CREAM TUBE 120 ml</t>
  </si>
  <si>
    <t>HOTIN CREAM AROMATHERAPY TUBE 60 ml</t>
  </si>
  <si>
    <t>HOTIN CREAM AROMATHERAPY TUBE 120 ml</t>
  </si>
  <si>
    <t>HOTIN CREAM STRONG TUBE 60 gr</t>
  </si>
  <si>
    <t>HOTIN CREAM STRONG 120 ml</t>
  </si>
  <si>
    <t>HOTIN KOYO AROMATHERAPY 10 Lbr</t>
  </si>
  <si>
    <t>HOTIN STRONG TUBE 120 gr</t>
  </si>
  <si>
    <t>HOTIN BALSEM OTOT EXTRA HOT 20g +5g</t>
  </si>
  <si>
    <t>HOTIN CREAM STRONG BOTOL 60 gr</t>
  </si>
  <si>
    <t>HOTIN GO 100 gr</t>
  </si>
  <si>
    <t>HOTIN GO STRONG 100 gr</t>
  </si>
  <si>
    <t>HOTIN GO TUBE 50 gr</t>
  </si>
  <si>
    <t>HOTIN GO STRONG TUBE 50 gr</t>
  </si>
  <si>
    <t>MADU TJ MURNI 150 gr</t>
  </si>
  <si>
    <t>MADU TJ EXTRA 150 gr</t>
  </si>
  <si>
    <t>MADU TJ MURNI 250 gr</t>
  </si>
  <si>
    <t>MADU TJ EXTRA 250 gr</t>
  </si>
  <si>
    <t>MADU KURMA TJ 150 gr</t>
  </si>
  <si>
    <t>MADU TJ MURNI 500 gr</t>
  </si>
  <si>
    <t>MADU TJ EXTRA 500 gr</t>
  </si>
  <si>
    <t>MADU KURMA TJ 250 gr</t>
  </si>
  <si>
    <t>MADU TJ JOYBEE JERUK 100 ml</t>
  </si>
  <si>
    <t>MADU TJ JOYBEE ORIGINAL 100 ml</t>
  </si>
  <si>
    <t>MADU TJ JOYBEE STRAWBERRY 100 ml</t>
  </si>
  <si>
    <t>MADU TJ PANAS DALAM 150 gr</t>
  </si>
  <si>
    <t>MADU TJ JOYBEE GROW EMULSION 200 ml</t>
  </si>
  <si>
    <t>SARI KURMA TJ 250 gr</t>
  </si>
  <si>
    <t>MADU LEMON TJ</t>
  </si>
  <si>
    <t>TJ JOYBEE GUMMY</t>
  </si>
  <si>
    <t>MADU TJ PANAS DALAM DUS ISI 5s</t>
  </si>
  <si>
    <t>MADU TJ JAHE MERAH MINT 150 gr</t>
  </si>
  <si>
    <t>MADU TJ JAHE MERAH MINT 250 g</t>
  </si>
  <si>
    <t>MADU KURMA TJ 500 gr</t>
  </si>
  <si>
    <t>MADU TJ HITAM PAHIT 250 gr</t>
  </si>
  <si>
    <t>MADU TJ JAHE MERAH MINT 500 gr</t>
  </si>
  <si>
    <t>MADU TJ MANUKA 250 gr</t>
  </si>
  <si>
    <t>MADU TJ MURNI POUCH 500 gr</t>
  </si>
  <si>
    <t>TJ PROPOLIS ISI 5 KAPSUL</t>
  </si>
  <si>
    <t>MADU TJ HONEY COMB 250 gr</t>
  </si>
  <si>
    <t>WELMOVE 5 Kaplet</t>
  </si>
  <si>
    <t>OM3HEART 30 SOFT CAPSULES</t>
  </si>
  <si>
    <t>OM3HEART 60 SOFT CAPSULES</t>
  </si>
  <si>
    <t>FITBES FORCE KAPLET 5s</t>
  </si>
  <si>
    <t>WELMOVE ULTRA</t>
  </si>
  <si>
    <t>MYWELL VIT C + Zn K5</t>
  </si>
  <si>
    <t>MYWELL VITAMIN D3 1000 IU</t>
  </si>
  <si>
    <t>MINYAK TELON TRESNOJOYO 60 ml</t>
  </si>
  <si>
    <t>MINYAK TELON TRESNOJOYO 100 ml</t>
  </si>
  <si>
    <t>BALSAM TELON TRESNOJOYO 20 gr</t>
  </si>
  <si>
    <t>BALSAM TELON TRESNOJOYO 40 gr</t>
  </si>
  <si>
    <t>TELON HERBAL PLUS CITRONELLA 60 ml</t>
  </si>
  <si>
    <t>TELON HERBAL PLUS CITRONELLA 100 ml</t>
  </si>
  <si>
    <t>MINYAK KAYU PUTIH LOS 60 ml</t>
  </si>
  <si>
    <t>BALJITOT 50 ml</t>
  </si>
  <si>
    <t>TELON HERBAL PLUS CITRONELLA 100 ml BANDED MINYAK TELON 30 ml</t>
  </si>
  <si>
    <t>MINYAK KAYU PUTIH LOS 120 ml</t>
  </si>
  <si>
    <t>MADU TJ JERUK D12 (DUS)</t>
  </si>
  <si>
    <t>MADU TJ ORIGINAL D12 (DUS)</t>
  </si>
  <si>
    <t>MADU TJ STRAWBERRY D12 (DUS)</t>
  </si>
  <si>
    <t xml:space="preserve">STRIP     </t>
  </si>
  <si>
    <t xml:space="preserve">SACHET    </t>
  </si>
  <si>
    <t xml:space="preserve">TOPLES    </t>
  </si>
  <si>
    <t xml:space="preserve">BAG       </t>
  </si>
  <si>
    <t xml:space="preserve">PCS       </t>
  </si>
  <si>
    <t xml:space="preserve">BLISTER   </t>
  </si>
  <si>
    <t xml:space="preserve">BOTOL     </t>
  </si>
  <si>
    <t>STICK PACK</t>
  </si>
  <si>
    <t xml:space="preserve">DUS       </t>
  </si>
  <si>
    <t xml:space="preserve">TUBE      </t>
  </si>
  <si>
    <t xml:space="preserve">POT       </t>
  </si>
  <si>
    <t xml:space="preserve">POUCH     </t>
  </si>
  <si>
    <t xml:space="preserve">AMPLOP    </t>
  </si>
  <si>
    <t>M6</t>
  </si>
  <si>
    <t>MPM</t>
  </si>
  <si>
    <t>0</t>
  </si>
  <si>
    <t>M5</t>
  </si>
  <si>
    <t>PT. MARKETAMA INDAH</t>
  </si>
  <si>
    <t>MARKETAMA</t>
  </si>
  <si>
    <t>PT. FKS SEJAHTERA</t>
  </si>
  <si>
    <t>FKS</t>
  </si>
  <si>
    <t>F3</t>
  </si>
  <si>
    <t>45MIX</t>
  </si>
  <si>
    <t>0101</t>
  </si>
  <si>
    <t>PT. MULIA PUTRA MANDIRI</t>
  </si>
  <si>
    <t>PT. PRIMARASA ABADI SEJAHTERA</t>
  </si>
  <si>
    <t>PAS</t>
  </si>
  <si>
    <t>P2</t>
  </si>
  <si>
    <t>00</t>
  </si>
  <si>
    <t>040411111</t>
  </si>
  <si>
    <t>040415100</t>
  </si>
  <si>
    <t>040413100</t>
  </si>
  <si>
    <t>040701100</t>
  </si>
  <si>
    <t>040703100</t>
  </si>
  <si>
    <t>040702100</t>
  </si>
  <si>
    <t>040701101</t>
  </si>
  <si>
    <t>040702101</t>
  </si>
  <si>
    <t>040703101</t>
  </si>
  <si>
    <t>041715400</t>
  </si>
  <si>
    <t>041716400</t>
  </si>
  <si>
    <t>041717400</t>
  </si>
  <si>
    <t>041718400</t>
  </si>
  <si>
    <t>041719400</t>
  </si>
  <si>
    <t>041720400</t>
  </si>
  <si>
    <t>042501703</t>
  </si>
  <si>
    <t>042501800</t>
  </si>
  <si>
    <t>042502800</t>
  </si>
  <si>
    <t>042503800</t>
  </si>
  <si>
    <t>042504800</t>
  </si>
  <si>
    <t>042505001</t>
  </si>
  <si>
    <t>042505800</t>
  </si>
  <si>
    <t>042506800</t>
  </si>
  <si>
    <t>050413100</t>
  </si>
  <si>
    <t>050413200</t>
  </si>
  <si>
    <t>050415100</t>
  </si>
  <si>
    <t>050415200</t>
  </si>
  <si>
    <t>050701100</t>
  </si>
  <si>
    <t>050701101</t>
  </si>
  <si>
    <t>050702100</t>
  </si>
  <si>
    <t>050702101</t>
  </si>
  <si>
    <t>050703100</t>
  </si>
  <si>
    <t>050703101</t>
  </si>
  <si>
    <t>050701293</t>
  </si>
  <si>
    <t>050702293</t>
  </si>
  <si>
    <t>050703293</t>
  </si>
  <si>
    <t>050704293</t>
  </si>
  <si>
    <t>072601000</t>
  </si>
  <si>
    <t>072602000</t>
  </si>
  <si>
    <t>072603000</t>
  </si>
  <si>
    <t>072604000</t>
  </si>
  <si>
    <t>051701001</t>
  </si>
  <si>
    <t>051701002</t>
  </si>
  <si>
    <t>051701003</t>
  </si>
  <si>
    <t>051701300</t>
  </si>
  <si>
    <t>051701700</t>
  </si>
  <si>
    <t>051701800</t>
  </si>
  <si>
    <t>051702001</t>
  </si>
  <si>
    <t>051702300</t>
  </si>
  <si>
    <t>051702700</t>
  </si>
  <si>
    <t>051702800</t>
  </si>
  <si>
    <t>051703001</t>
  </si>
  <si>
    <t>051703002</t>
  </si>
  <si>
    <t>051703003</t>
  </si>
  <si>
    <t>051703300</t>
  </si>
  <si>
    <t>051703700</t>
  </si>
  <si>
    <t>051703800</t>
  </si>
  <si>
    <t>051704001</t>
  </si>
  <si>
    <t>051704300</t>
  </si>
  <si>
    <t>051704700</t>
  </si>
  <si>
    <t>051704800</t>
  </si>
  <si>
    <t>051705001</t>
  </si>
  <si>
    <t>051705002</t>
  </si>
  <si>
    <t>051705300</t>
  </si>
  <si>
    <t>051705700</t>
  </si>
  <si>
    <t>051705800</t>
  </si>
  <si>
    <t>051706001</t>
  </si>
  <si>
    <t>051706300</t>
  </si>
  <si>
    <t>051706700</t>
  </si>
  <si>
    <t>051706800</t>
  </si>
  <si>
    <t>052501500</t>
  </si>
  <si>
    <t>052501600</t>
  </si>
  <si>
    <t>052501902</t>
  </si>
  <si>
    <t>052502400</t>
  </si>
  <si>
    <t>052502500</t>
  </si>
  <si>
    <t>052502901</t>
  </si>
  <si>
    <t>052503400</t>
  </si>
  <si>
    <t>052503500</t>
  </si>
  <si>
    <t>052503901</t>
  </si>
  <si>
    <t>052504400</t>
  </si>
  <si>
    <t>052504500</t>
  </si>
  <si>
    <t>052505400</t>
  </si>
  <si>
    <t>052505500</t>
  </si>
  <si>
    <t>052506401</t>
  </si>
  <si>
    <t>052506501</t>
  </si>
  <si>
    <t>052602001</t>
  </si>
  <si>
    <t>061701300</t>
  </si>
  <si>
    <t>061701502</t>
  </si>
  <si>
    <t>061702300</t>
  </si>
  <si>
    <t>061702502</t>
  </si>
  <si>
    <t>061703300</t>
  </si>
  <si>
    <t>061703502</t>
  </si>
  <si>
    <t>061704300</t>
  </si>
  <si>
    <t>061704502</t>
  </si>
  <si>
    <t>061705300</t>
  </si>
  <si>
    <t>061705502</t>
  </si>
  <si>
    <t>061706300</t>
  </si>
  <si>
    <t>061706502</t>
  </si>
  <si>
    <t>070701000</t>
  </si>
  <si>
    <t>070701292</t>
  </si>
  <si>
    <t>070702000</t>
  </si>
  <si>
    <t>070702292</t>
  </si>
  <si>
    <t>070703292</t>
  </si>
  <si>
    <t>071701204</t>
  </si>
  <si>
    <t>071701302</t>
  </si>
  <si>
    <t>071702204</t>
  </si>
  <si>
    <t>071702302</t>
  </si>
  <si>
    <t>071703204</t>
  </si>
  <si>
    <t>071703302</t>
  </si>
  <si>
    <t>071705204</t>
  </si>
  <si>
    <t>071705302</t>
  </si>
  <si>
    <t>081721100</t>
  </si>
  <si>
    <t>081722100</t>
  </si>
  <si>
    <t>081723100</t>
  </si>
  <si>
    <t>101701007</t>
  </si>
  <si>
    <t>101701009</t>
  </si>
  <si>
    <t>101702001</t>
  </si>
  <si>
    <t>191701307</t>
  </si>
  <si>
    <t>191701306</t>
  </si>
  <si>
    <t>040402200</t>
  </si>
  <si>
    <t>Sabun DREAM Papaya 72x100G</t>
  </si>
  <si>
    <t>DERMYTHOL BAR 12x6x70Gr (Lunchbox) Mix Varian</t>
  </si>
  <si>
    <t>DERMYTHOL Hygienic Protect 72x70Gr</t>
  </si>
  <si>
    <t>DERMYTHOL Hygienic Bio Sulfur 72x70Gr</t>
  </si>
  <si>
    <t>Garden of Na'Eem Taifi Rose 72x75Gr</t>
  </si>
  <si>
    <t>Garden of Na'Eem Midnight Gardenia 72x75Gr</t>
  </si>
  <si>
    <t>Garden of Na'Eem Royal Jasmine 72x75Gr</t>
  </si>
  <si>
    <t>Garden of Na'Eem Taifi Rose 24x3x75Gr (P3)</t>
  </si>
  <si>
    <t>Garden of NaEem Royal Jasmine 24x3x75Gr (P3)</t>
  </si>
  <si>
    <t>Garden of NaEem Midnight Gardenia 24x3x75Gr (P3)</t>
  </si>
  <si>
    <t>Sabun SHINZUI Matsu 144x80Gr</t>
  </si>
  <si>
    <t>Sabun SHINZUI Hana 144x80Gr</t>
  </si>
  <si>
    <t>Sabun SHINZUI Kirei 144x80Gr</t>
  </si>
  <si>
    <t>Sabun SHINZUI Myori 144x80Gr</t>
  </si>
  <si>
    <t>Sabun SHINZUI Sakura 144x80Gr</t>
  </si>
  <si>
    <t>Sabun SHINZUI Kensho 144x80Gr</t>
  </si>
  <si>
    <t>Zen Body Soap Mix 6x12x80Gr (6 Lunchbox)</t>
  </si>
  <si>
    <t>Zen Body Soap Shiso &amp; Sandalwood 24x3x70Gr (P3)</t>
  </si>
  <si>
    <t>Zen Body Soap Shiso &amp; Sea Salt 24x3x70Gr (P3)</t>
  </si>
  <si>
    <t>Zen Body Soap Shiso &amp; Sulphur 24x3x70Gr (P3)</t>
  </si>
  <si>
    <t>Zen Body Soap Shiso &amp; Tea Tree 24x3x70Gr (P3)</t>
  </si>
  <si>
    <t>ZEN Body Soap Shiso &amp; Sulphur 72x60Gr</t>
  </si>
  <si>
    <t>Zen Body Soap Shiso &amp; Echinacea 24x3x70Gr (P3)</t>
  </si>
  <si>
    <t>Zen Body Soap Shiso &amp; Juniper Berries 24x3x70Gr (P3)</t>
  </si>
  <si>
    <t>DERMYTHOL Body Cleanser Hygienic Bio Sulfur Ref 24x400Ml</t>
  </si>
  <si>
    <t>DERMYTHOL Body Cleanser Hygienic Bio Sulfur Btl 24x480Ml</t>
  </si>
  <si>
    <t>DERMYTHOL Body Cleanser Hygienic Protect Ref 24x400Ml</t>
  </si>
  <si>
    <t>DERMYTHOL Body Cleanser Hygienic Protect Btl 24x480Ml</t>
  </si>
  <si>
    <t>Garden of Na eem Body Cleanser Taifi Rose Ref 24 x 400Ml</t>
  </si>
  <si>
    <t>Garden of Na eem Body Cleanser Taifi Rose Botol 24 x 480Ml</t>
  </si>
  <si>
    <t>Garden of Na eem Body Cleanser Royal Jasmine Ref 24 x 400Ml</t>
  </si>
  <si>
    <t>Garden of Na eem Body Cleanser Royal Jasmine Botol 24 x 480Ml</t>
  </si>
  <si>
    <t>Garden of Na eem Body Cleanser Midnight Gardenia Ref 24 x 400Ml</t>
  </si>
  <si>
    <t>Garden of Na eem Body Cleanser Midnight Gardenia Botol 24 x 480Ml</t>
  </si>
  <si>
    <t>PINK SKIN PERFUME LTN First Love 48x180Ml</t>
  </si>
  <si>
    <t>PINK SKIN PERFUME LTN Shining Star 48x180Ml</t>
  </si>
  <si>
    <t>PINK SKIN PERFUME LTN Sweet Rose 48x180Ml</t>
  </si>
  <si>
    <t>PINK SKIN PERFUME LTN Forget Me Not 48x180Ml</t>
  </si>
  <si>
    <t>PINK SKIN Parfume Lotion First Love Star 48x70 ml</t>
  </si>
  <si>
    <t>PINK SKIN Parfume Lotion Shining Star 48x70 ml</t>
  </si>
  <si>
    <t>PINK SKIN Parfume Lotion Sweet Rose 48x70 ml</t>
  </si>
  <si>
    <t>PINK SKIN Parfume Lotion Forget Me Not 48x70 ml</t>
  </si>
  <si>
    <t>SHZ Body Cleanser Matsu Ref 48x85Ml</t>
  </si>
  <si>
    <t>SHZ BCL Matsu Ref 12x725Ml</t>
  </si>
  <si>
    <t>SHZ BCL Matsu Ref 24x380Ml</t>
  </si>
  <si>
    <t>Sabun Cair SHINZUI Regular Ref 48x180ML</t>
  </si>
  <si>
    <t>Sabun Cair SHINZUI Matsu 48x225Ml</t>
  </si>
  <si>
    <t>Sabun Cair SHINZUI Matsu 24x480ML</t>
  </si>
  <si>
    <t>SHZ BCL Hana Ref 24x380Ml</t>
  </si>
  <si>
    <t>Sabun Cair SHINZUI Hana Ref 48x180ML</t>
  </si>
  <si>
    <t>Sabun Cair SHINZUI Hana 48x225Ml</t>
  </si>
  <si>
    <t>Sabun Cair SHINZUI Hana 24x480ML</t>
  </si>
  <si>
    <t>SHZ Body Cleanser Kirei Ref 48x85Ml</t>
  </si>
  <si>
    <t>SHZ BCL Kirei Ref 12x725Ml</t>
  </si>
  <si>
    <t>SHZ BCL Kirei Ref 24x380Ml</t>
  </si>
  <si>
    <t>Sabun Cair SHINZUI Kirei Ref 48x180ML</t>
  </si>
  <si>
    <t>Sabun Cair SHINZUI Kirei 48x225Ml</t>
  </si>
  <si>
    <t>Sabun Cair SHINZUI Kirei 24x480ML</t>
  </si>
  <si>
    <t>SHZ BCL Myori Ref 24x380Ml</t>
  </si>
  <si>
    <t>Sabun Cair SHINZUI Myori Ref 48x180ML</t>
  </si>
  <si>
    <t>Sabun Cair SHINZUI Myori 48x225Ml</t>
  </si>
  <si>
    <t>Sabun Cair SHINZUI Myori 24x480ML</t>
  </si>
  <si>
    <t>SHZ BCL Sakura Ref 12x725Ml</t>
  </si>
  <si>
    <t>SHZ BCL Sakura Ref 24x380Ml</t>
  </si>
  <si>
    <t>Sabun Cair SHINZUI Sakura Ref 48x180ML</t>
  </si>
  <si>
    <t>Sabun Cair SHINZUI Sakura 48x225Ml</t>
  </si>
  <si>
    <t>Sabun Cair SHINZUI Sakura 24x480ML</t>
  </si>
  <si>
    <t>SHZ BCL KS Ref 24x380Ml</t>
  </si>
  <si>
    <t>Sabun Cair SHINZUI Kensho Ref 48x180ML</t>
  </si>
  <si>
    <t>Sabun Cair SHINZUI Kensho 48x225Ml</t>
  </si>
  <si>
    <t>Sabun Cair SHINZUI Kensho 24x480ML</t>
  </si>
  <si>
    <t>BodyWash ZEN Shiso&amp;Sandalwood Btl 24x480Ml</t>
  </si>
  <si>
    <t>BodyWash ZEN Shiso&amp;Sandalwood Ref 24x400Ml</t>
  </si>
  <si>
    <t>ZEN Body Cleanser Shiso&amp; Sandalwood Ref 48 x 85Ml</t>
  </si>
  <si>
    <t>Body Cleanser ZEN Shiso &amp; Tea Tree Ref 24x400Ml</t>
  </si>
  <si>
    <t>Body Cleanser ZEN Shiso &amp; Tea Tree Btl 24x480Ml</t>
  </si>
  <si>
    <t>ZEN Body Cleanser Shiso&amp;Tea Tree Ref 48x85Ml</t>
  </si>
  <si>
    <t>BodyWash ZEN Shiso&amp;SeaSalt Ref 24x400Ml</t>
  </si>
  <si>
    <t>BodyWash ZEN Shiso&amp;SeaSalt 24x480Ml</t>
  </si>
  <si>
    <t>ZEN Body Cleanser Shiso&amp;Sea Salt Ref 48x85Ml</t>
  </si>
  <si>
    <t>Body Cleanser ZEN Shiso &amp; Echinacea Ref 24x400Ml</t>
  </si>
  <si>
    <t>Body Cleanser ZEN Shiso &amp; Echinacea Btl 24x480Ml</t>
  </si>
  <si>
    <t>BodyWash ZEN Shiso&amp;Sulphur Ref 24x400Ml</t>
  </si>
  <si>
    <t>BodyWash ZEN Shiso&amp;Sulphur Btl 24x480Ml</t>
  </si>
  <si>
    <t>ZEN Body Cleanser Shiso And Juniper Berries Ref 24x400Ml</t>
  </si>
  <si>
    <t>ZEN Body Cleanser Shiso And Juniper Berries Btl 24x480Ml</t>
  </si>
  <si>
    <t>PINK SKIN Perfume BCL Shining Star Botol 24x360Ml Upsize 30%</t>
  </si>
  <si>
    <t>Body Scrub SHINZUI Matsu 96x110Gr</t>
  </si>
  <si>
    <t>Body Scrub SHINZUI Matsu 48x200Gr New</t>
  </si>
  <si>
    <t>Body Scrub SHINZUI Hana 96x110Gr</t>
  </si>
  <si>
    <t>Body Scrub SHINZUI Hana 48x200Gr New</t>
  </si>
  <si>
    <t>Body Scrub SHINZUI Kirei 96x110Gr</t>
  </si>
  <si>
    <t>Body Scrub SHINZUI Kirei 48x200Gr New</t>
  </si>
  <si>
    <t>Body Scrub SHINZUI Myori 96x110Gr</t>
  </si>
  <si>
    <t>Body Scrub SHINZUI Myori 48x200Gr New</t>
  </si>
  <si>
    <t>Body Scrub SHINZUI Sakura 96x110Gr</t>
  </si>
  <si>
    <t>Body Scrub SHINZUI Sakura 48x200Gr New</t>
  </si>
  <si>
    <t>Body Scrub SHINZUI Kensho 96x110Gr</t>
  </si>
  <si>
    <t>Body Scrub SHINZUI Kensho 48x200Gr New</t>
  </si>
  <si>
    <t>Gardenia Glow BLT Taifi Rose Sachet 10x48x9Ml</t>
  </si>
  <si>
    <t>GG BLT Taifi Rose 48x200Ml</t>
  </si>
  <si>
    <t>Gardenia Glow BLT Royal Jasmine Sachet 10x48x9Ml</t>
  </si>
  <si>
    <t>GG BLT Royal Jasmine 48X200Ml</t>
  </si>
  <si>
    <t>GG BLT Midnight Gardenia 48X200Ml</t>
  </si>
  <si>
    <t>Body Lotion SHINZUI Matsu 48x100ml New</t>
  </si>
  <si>
    <t>Body Lotion SHINZUI Matsu 48x210ml New</t>
  </si>
  <si>
    <t>Body Lotion SHINZUI Hana 48x100ml New</t>
  </si>
  <si>
    <t>Body Lotion SHINZUI Hana 48x210ml New</t>
  </si>
  <si>
    <t>Body Lotion SHINZUI Kirei 48x100ml New</t>
  </si>
  <si>
    <t>Body Lotion SHINZUI Kirei 48x210ml New</t>
  </si>
  <si>
    <t>Body Lotion SHINZUI Sakura 48x100ml New</t>
  </si>
  <si>
    <t>Body Lotion SHINZUI Sakura 48x210ml New</t>
  </si>
  <si>
    <t>SHZ Exfoliating Gel Ichigo 48 x 130Ml</t>
  </si>
  <si>
    <t>SHZ Exfoliating Gel Cica 48 x 130Ml</t>
  </si>
  <si>
    <t>SHZ Exfoliating Gel Honey 48 x 130Ml</t>
  </si>
  <si>
    <t>SHZ Brightening Serum 48x20Ml</t>
  </si>
  <si>
    <t>SHZ Serum Moisturizer 48x30Gr</t>
  </si>
  <si>
    <t>SHZ Brightening Sunscreen SPF 35 PA 48x30Ml</t>
  </si>
  <si>
    <t>Facial Wash SHINZUI Cica 48x80ML Upsize 20ML</t>
  </si>
  <si>
    <t>SHZ F.Wash Snow Mushroom 12x10x20Ml (P10)</t>
  </si>
  <si>
    <t>Facial Wash SHINZUI Snow Mushroom 48x80ML Upsize 20ML</t>
  </si>
  <si>
    <t>DREAM</t>
  </si>
  <si>
    <t>DERMYTHOL</t>
  </si>
  <si>
    <t>GARDEN OF NAEEM</t>
  </si>
  <si>
    <t>SHINZUI1</t>
  </si>
  <si>
    <t>ZEN</t>
  </si>
  <si>
    <t>PINK SKIN</t>
  </si>
  <si>
    <t>SHINZUI2</t>
  </si>
  <si>
    <t>ZEN2</t>
  </si>
  <si>
    <t>GARDENIA GLOW</t>
  </si>
  <si>
    <t>PT. UNITAMA SARI MAS</t>
  </si>
  <si>
    <t>USM</t>
  </si>
  <si>
    <t>U3</t>
  </si>
  <si>
    <t>PT. FOKUS RITEL NUSAPRIMA</t>
  </si>
  <si>
    <t>8992946533730</t>
  </si>
  <si>
    <t>8992946533747</t>
  </si>
  <si>
    <t>8992946522369</t>
  </si>
  <si>
    <t>8992946533518</t>
  </si>
  <si>
    <t>8992946533419</t>
  </si>
  <si>
    <t>8992946533433</t>
  </si>
  <si>
    <t>8992946533457</t>
  </si>
  <si>
    <t>8992946534546</t>
  </si>
  <si>
    <t>8992946534522</t>
  </si>
  <si>
    <t>8992946534539</t>
  </si>
  <si>
    <t>8992946534553</t>
  </si>
  <si>
    <t>8992946511790</t>
  </si>
  <si>
    <t>8992946533679</t>
  </si>
  <si>
    <t>8992946533686</t>
  </si>
  <si>
    <t>8992946534775</t>
  </si>
  <si>
    <t>8992946534119</t>
  </si>
  <si>
    <t>8992946534126</t>
  </si>
  <si>
    <t>8992946534478</t>
  </si>
  <si>
    <t>8992946531316</t>
  </si>
  <si>
    <t>8992946533273</t>
  </si>
  <si>
    <t>8992946534133</t>
  </si>
  <si>
    <t>8992946534157</t>
  </si>
  <si>
    <t>8992946534140</t>
  </si>
  <si>
    <t>FRN</t>
  </si>
  <si>
    <t>F4</t>
  </si>
  <si>
    <t>BAR</t>
  </si>
  <si>
    <t>LUNCH</t>
  </si>
  <si>
    <t>SABUN</t>
  </si>
  <si>
    <t>PAPAYA</t>
  </si>
  <si>
    <t>BODY CLEANSER</t>
  </si>
  <si>
    <t>REFILL</t>
  </si>
  <si>
    <t>HYGIENIC BIO SULFUR</t>
  </si>
  <si>
    <t>400ML</t>
  </si>
  <si>
    <t>PCH</t>
  </si>
  <si>
    <t>HYGIENIC PROTECT</t>
  </si>
  <si>
    <t>480ML</t>
  </si>
  <si>
    <t>TAIFI ROSE</t>
  </si>
  <si>
    <t>100G</t>
  </si>
  <si>
    <t>ROYAL JASMINE</t>
  </si>
  <si>
    <t>FIRST LOVE</t>
  </si>
  <si>
    <t>SHINING STAR</t>
  </si>
  <si>
    <t>SWEET ROSE</t>
  </si>
  <si>
    <t>SHINZUI</t>
  </si>
  <si>
    <t>MATSU</t>
  </si>
  <si>
    <t>HANA</t>
  </si>
  <si>
    <t>KIREI</t>
  </si>
  <si>
    <t>9ML</t>
  </si>
  <si>
    <t>200ML</t>
  </si>
  <si>
    <t xml:space="preserve">PINK SKIN </t>
  </si>
  <si>
    <t>PARFUME LTN</t>
  </si>
  <si>
    <t>180ML</t>
  </si>
  <si>
    <t>70ML</t>
  </si>
  <si>
    <t>SABUN CAIR</t>
  </si>
  <si>
    <t>360ML</t>
  </si>
  <si>
    <t>MYORI</t>
  </si>
  <si>
    <t>SAKURA</t>
  </si>
  <si>
    <t>KENSHO</t>
  </si>
  <si>
    <t>725ML</t>
  </si>
  <si>
    <t>380ML</t>
  </si>
  <si>
    <t>225ML</t>
  </si>
  <si>
    <t>BODY SCRUB</t>
  </si>
  <si>
    <t>BODY LATION</t>
  </si>
  <si>
    <t>EXFOLIATING</t>
  </si>
  <si>
    <t>BRIGHTENING</t>
  </si>
  <si>
    <t>SERUM</t>
  </si>
  <si>
    <t>CICA</t>
  </si>
  <si>
    <t>MIX</t>
  </si>
  <si>
    <t>BTL</t>
  </si>
  <si>
    <t>110G</t>
  </si>
  <si>
    <t>200G</t>
  </si>
  <si>
    <t>100ML</t>
  </si>
  <si>
    <t>210ML</t>
  </si>
  <si>
    <t>130ML</t>
  </si>
  <si>
    <t>SUNSCREEN</t>
  </si>
  <si>
    <t>GEL ICHIGO</t>
  </si>
  <si>
    <t>GEL CICA</t>
  </si>
  <si>
    <t>GEL HONEY</t>
  </si>
  <si>
    <t>MOISTURIZER</t>
  </si>
  <si>
    <t>SPF 35</t>
  </si>
  <si>
    <t>20ML</t>
  </si>
  <si>
    <t>30ML</t>
  </si>
  <si>
    <t>80ML</t>
  </si>
  <si>
    <t>85ML</t>
  </si>
  <si>
    <t>SHISO &amp; SANDALWOOD</t>
  </si>
  <si>
    <t>SHISO &amp; SEA SALT</t>
  </si>
  <si>
    <t>SHISO &amp; SULPHUR</t>
  </si>
  <si>
    <t xml:space="preserve">SHISO &amp; TEA TREE </t>
  </si>
  <si>
    <t>SHINSO &amp; SULPHUR</t>
  </si>
  <si>
    <t>SHISO &amp; ECHINACEA</t>
  </si>
  <si>
    <t>SHISO &amp; JUNIPER BERRIES</t>
  </si>
  <si>
    <t>+20ML</t>
  </si>
  <si>
    <t>30%</t>
  </si>
  <si>
    <t>PUMP</t>
  </si>
  <si>
    <t xml:space="preserve">BTL </t>
  </si>
  <si>
    <t>TUBE</t>
  </si>
  <si>
    <t>JAR</t>
  </si>
  <si>
    <t xml:space="preserve">PCH </t>
  </si>
  <si>
    <t>BOX</t>
  </si>
  <si>
    <t>PACK</t>
  </si>
  <si>
    <t>SCH</t>
  </si>
  <si>
    <t>0070</t>
  </si>
  <si>
    <t>0400</t>
  </si>
  <si>
    <t>0480</t>
  </si>
  <si>
    <t>0100</t>
  </si>
  <si>
    <t>0110</t>
  </si>
  <si>
    <t>0130</t>
  </si>
  <si>
    <t>0180</t>
  </si>
  <si>
    <t>0200</t>
  </si>
  <si>
    <t>0020</t>
  </si>
  <si>
    <t>0210</t>
  </si>
  <si>
    <t>0225</t>
  </si>
  <si>
    <t>01</t>
  </si>
  <si>
    <t>1</t>
  </si>
  <si>
    <t>02</t>
  </si>
  <si>
    <t>03</t>
  </si>
  <si>
    <t>04</t>
  </si>
  <si>
    <t>05</t>
  </si>
  <si>
    <t>06</t>
  </si>
  <si>
    <t>07</t>
  </si>
  <si>
    <t>08</t>
  </si>
  <si>
    <t>09</t>
  </si>
  <si>
    <t>0030</t>
  </si>
  <si>
    <t>0360</t>
  </si>
  <si>
    <t>0380</t>
  </si>
  <si>
    <t>0060</t>
  </si>
  <si>
    <t>0725</t>
  </si>
  <si>
    <t>0075</t>
  </si>
  <si>
    <t>0080</t>
  </si>
  <si>
    <t>0009</t>
  </si>
  <si>
    <t>0085</t>
  </si>
  <si>
    <t>30G</t>
  </si>
  <si>
    <t>75G</t>
  </si>
  <si>
    <t>80G</t>
  </si>
  <si>
    <t>70G</t>
  </si>
  <si>
    <t>60G</t>
  </si>
  <si>
    <t>10</t>
  </si>
  <si>
    <t>11</t>
  </si>
  <si>
    <t>BCL</t>
  </si>
  <si>
    <t>REF</t>
  </si>
  <si>
    <t>GRDN OF NA EEM</t>
  </si>
  <si>
    <t>GRDN GLOW</t>
  </si>
  <si>
    <t>BODY LTN</t>
  </si>
  <si>
    <t>HYGIENIC BIO SLFR</t>
  </si>
  <si>
    <t>MIDNIGHT GRDN</t>
  </si>
  <si>
    <t>ROYAL JASMNE</t>
  </si>
  <si>
    <t>FACIAL WSH</t>
  </si>
  <si>
    <t>SNOW MSHRM</t>
  </si>
  <si>
    <t>BODY WSH</t>
  </si>
  <si>
    <t>FORGET ME NT</t>
  </si>
  <si>
    <t>RYL JASMINE</t>
  </si>
  <si>
    <t>MDNGHT GRDN</t>
  </si>
  <si>
    <t>F4011100007010</t>
  </si>
  <si>
    <t>F4012101040010</t>
  </si>
  <si>
    <t>F4012102040010</t>
  </si>
  <si>
    <t>F4012001048020</t>
  </si>
  <si>
    <t>F4012002048020</t>
  </si>
  <si>
    <t>F4013001007010</t>
  </si>
  <si>
    <t>F4013002007010</t>
  </si>
  <si>
    <t>F4021001010010</t>
  </si>
  <si>
    <t>F4031101040010</t>
  </si>
  <si>
    <t>F4031102040020</t>
  </si>
  <si>
    <t>F4031103040020</t>
  </si>
  <si>
    <t>F4031001048030</t>
  </si>
  <si>
    <t>F4031002048030</t>
  </si>
  <si>
    <t>F4031003048010</t>
  </si>
  <si>
    <t>F4032001007510</t>
  </si>
  <si>
    <t>F4032001007520</t>
  </si>
  <si>
    <t>F4032002007510</t>
  </si>
  <si>
    <t>F4032002007520</t>
  </si>
  <si>
    <t>F4032003007510</t>
  </si>
  <si>
    <t>F4032003007520</t>
  </si>
  <si>
    <t>F4041001020010</t>
  </si>
  <si>
    <t>F4041002020010</t>
  </si>
  <si>
    <t>F4041002000920</t>
  </si>
  <si>
    <t>F4041003020010</t>
  </si>
  <si>
    <t>F4041003000920</t>
  </si>
  <si>
    <t>F4051001036011</t>
  </si>
  <si>
    <t>F4052001018010</t>
  </si>
  <si>
    <t>F4052001007010</t>
  </si>
  <si>
    <t>F4052002018010</t>
  </si>
  <si>
    <t>F4052002007010</t>
  </si>
  <si>
    <t>F4052003018010</t>
  </si>
  <si>
    <t>F4052003007010</t>
  </si>
  <si>
    <t>F4052004018010</t>
  </si>
  <si>
    <t>F4052004007010</t>
  </si>
  <si>
    <t>F4061101038010</t>
  </si>
  <si>
    <t>F4061102038010</t>
  </si>
  <si>
    <t>F4061103038010</t>
  </si>
  <si>
    <t>F4061103072510</t>
  </si>
  <si>
    <t>F4061103008510</t>
  </si>
  <si>
    <t>F4061104038010</t>
  </si>
  <si>
    <t>F4061104072510</t>
  </si>
  <si>
    <t>F4061109008510</t>
  </si>
  <si>
    <t>F4061110038010</t>
  </si>
  <si>
    <t>F4061111038010</t>
  </si>
  <si>
    <t>F4061111072510</t>
  </si>
  <si>
    <t>F4062001010010</t>
  </si>
  <si>
    <t>F4062001021010</t>
  </si>
  <si>
    <t>F4062002010010</t>
  </si>
  <si>
    <t>F4062002021010</t>
  </si>
  <si>
    <t>F4062003010010</t>
  </si>
  <si>
    <t>F4062003021010</t>
  </si>
  <si>
    <t>F4062004010010</t>
  </si>
  <si>
    <t>F4062004021010</t>
  </si>
  <si>
    <t>F4063001011010</t>
  </si>
  <si>
    <t>F4063001020010</t>
  </si>
  <si>
    <t>F4063002011010</t>
  </si>
  <si>
    <t>F4063002020010</t>
  </si>
  <si>
    <t>F4063003011010</t>
  </si>
  <si>
    <t>F4063003020010</t>
  </si>
  <si>
    <t>F4063004011010</t>
  </si>
  <si>
    <t>F4063004020010</t>
  </si>
  <si>
    <t>F4063005011010</t>
  </si>
  <si>
    <t>F4063005020010</t>
  </si>
  <si>
    <t>F4063006011010</t>
  </si>
  <si>
    <t>F4063006020010</t>
  </si>
  <si>
    <t>F4064001013010</t>
  </si>
  <si>
    <t>F4064002013010</t>
  </si>
  <si>
    <t>F4064003013010</t>
  </si>
  <si>
    <t>F4065001008011</t>
  </si>
  <si>
    <t>F4065002008011</t>
  </si>
  <si>
    <t>F4065003002010</t>
  </si>
  <si>
    <t>F4066001008010</t>
  </si>
  <si>
    <t>F4066002008010</t>
  </si>
  <si>
    <t>F4066003008010</t>
  </si>
  <si>
    <t>F4066004008010</t>
  </si>
  <si>
    <t>F4066005008010</t>
  </si>
  <si>
    <t>F4066006008010</t>
  </si>
  <si>
    <t>F4067101018010</t>
  </si>
  <si>
    <t>F4067102018010</t>
  </si>
  <si>
    <t>F4067103018010</t>
  </si>
  <si>
    <t>F4067104018010</t>
  </si>
  <si>
    <t>F4067005018010</t>
  </si>
  <si>
    <t>F4067005048020</t>
  </si>
  <si>
    <t>F4067006048020</t>
  </si>
  <si>
    <t>F4067007022530</t>
  </si>
  <si>
    <t>F4067007048030</t>
  </si>
  <si>
    <t>F4067008022530</t>
  </si>
  <si>
    <t>F4067008048030</t>
  </si>
  <si>
    <t>F4067009048020</t>
  </si>
  <si>
    <t>F4067010018010</t>
  </si>
  <si>
    <t>F4068001002010</t>
  </si>
  <si>
    <t>F4068002003020</t>
  </si>
  <si>
    <t>F4069001003010</t>
  </si>
  <si>
    <t>F4071101040010</t>
  </si>
  <si>
    <t>F4071102040010</t>
  </si>
  <si>
    <t>F4071103008510</t>
  </si>
  <si>
    <t>F4071104008510</t>
  </si>
  <si>
    <t>F4071105040010</t>
  </si>
  <si>
    <t>F4071105008510</t>
  </si>
  <si>
    <t>F4071001048030</t>
  </si>
  <si>
    <t>F4071002048030</t>
  </si>
  <si>
    <t>F4071003048030</t>
  </si>
  <si>
    <t>F4072101040010</t>
  </si>
  <si>
    <t>F4072102040010</t>
  </si>
  <si>
    <t>F4072103040010</t>
  </si>
  <si>
    <t>F4072001048020</t>
  </si>
  <si>
    <t>F4072002048020</t>
  </si>
  <si>
    <t>F4072003048020</t>
  </si>
  <si>
    <t>F4073101008010</t>
  </si>
  <si>
    <t>F4073002006010</t>
  </si>
  <si>
    <t>F4073003007020</t>
  </si>
  <si>
    <t>F4073004007020</t>
  </si>
  <si>
    <t>F4073005007020</t>
  </si>
  <si>
    <t>F4073006007020</t>
  </si>
  <si>
    <t>F4073007007020</t>
  </si>
  <si>
    <t>F4073008007020</t>
  </si>
  <si>
    <t>DERMYTHOL BAR LUNCH 70G X 6 BOX</t>
  </si>
  <si>
    <t>DERMYTHOL BAR</t>
  </si>
  <si>
    <t>DERMYTHOL BCL REF HYGIENIC BIO SLFR 400ML X 24 PCH</t>
  </si>
  <si>
    <t>DERMYTHOL BCL REF HYGIENIC PROTECT 400ML X 24 PCH</t>
  </si>
  <si>
    <t>DERMYTHOL BCL HYGIENIC BIO SULFUR 480ML X 24 PUMP</t>
  </si>
  <si>
    <t>DERMYTHOL BCL HYGIENIC PROTECT 480ML X 24 PUMP</t>
  </si>
  <si>
    <t>DERMYTHOL SABUN HYGIENIC BIO SULFUR 70G X 72 PCS</t>
  </si>
  <si>
    <t>DERMYTHOL SABUN HYGIENIC PROTECT 70G X 72 PCS</t>
  </si>
  <si>
    <t>DREAM SABUN PAPAYA 100G X 72 PCS</t>
  </si>
  <si>
    <t>GRDN OF NA EEM BCL REF MDNGHT GRDN 400ML X 24 PUMP</t>
  </si>
  <si>
    <t>GRDN OF NA EEM BCL REF ROYAL JASMNE 400ML X 24 PCH</t>
  </si>
  <si>
    <t>GRDN OF NA EEM BCL REF TAIFI ROSE 400ML X 24 PCH</t>
  </si>
  <si>
    <t>GRDN OF NA EEM BCL MDNGHT GRDN 480ML X 24 BTL</t>
  </si>
  <si>
    <t>GRDN OF NA EEM BCL ROYAL JASMINE 480ML X 24 BTL</t>
  </si>
  <si>
    <t>GRDN OF NA EEM BCL TAIFI ROSE 480ML X 24 PUMP</t>
  </si>
  <si>
    <t>GRDN OF NA EEM SABUN MIDNIGHT GRDN 75G X 24 PACK</t>
  </si>
  <si>
    <t>GRDN OF NA EEM SABUN MIDNIGHT GRDN 75G X 72 PCS</t>
  </si>
  <si>
    <t>GRDN OF NA EEM SABUN ROYAL JASMINE 75G X 24 PACK</t>
  </si>
  <si>
    <t>GRDN OF NA EEM SABUN ROYAL JASMINE 75G X 72 PCS</t>
  </si>
  <si>
    <t>GRDN OF NA EEM SABUN TAIFI ROSE 75G X 24 PACK</t>
  </si>
  <si>
    <t>GRDN OF NA EEM SABUN TAIFI ROSE 75G X 72 PCS</t>
  </si>
  <si>
    <t>GRDN GLOW BODY LTN MIDNIGHT GRDN 200ML X 48 BTL</t>
  </si>
  <si>
    <t>GRDN GLOW BODY LTN RYL JASMINE 200ML X 48 BTL</t>
  </si>
  <si>
    <t>GRDN GLOW BODY LTN RYL JASMINE 9ML X 48 SCH</t>
  </si>
  <si>
    <t>GRDN GLOW BODY LTN TAIFI ROSE 200ML X 48 BTL</t>
  </si>
  <si>
    <t>GRDN GLOW BODY LTN TAIFI ROSE 9ML X 48 SCH</t>
  </si>
  <si>
    <t>PINK SKIN BCL SHINING STAR 360ML X 24 TUBE 30%</t>
  </si>
  <si>
    <t>PINK SKIN PARFUME LTN FIRST LOVE 180ML X 48 TUBE</t>
  </si>
  <si>
    <t>PINK SKIN PARFUME LTN FIRST LOVE 70ML X 48 TUBE</t>
  </si>
  <si>
    <t>PINK SKIN PARFUME LTN FORGET ME NT 180ML X 48 TUBE</t>
  </si>
  <si>
    <t>PINK SKIN PARFUME LTN FORGET ME NT 70ML X 48 TUBE</t>
  </si>
  <si>
    <t>PINK SKIN PARFUME LTN SHINING STAR 180ML X 48 TUBE</t>
  </si>
  <si>
    <t>PINK SKIN PARFUME LTN SHINING STAR 70ML X 48 TUBE</t>
  </si>
  <si>
    <t>PINK SKIN PARFUME LTN SWEET ROSE 180ML X 48 TUBE</t>
  </si>
  <si>
    <t>PINK SKIN PARFUME LTN SWEET ROSE 70ML X 48 TUBE</t>
  </si>
  <si>
    <t>SHINZUI BODY CLEANSER REFILL HANA 380ML X 24 PCH</t>
  </si>
  <si>
    <t>SHINZUI BODY CLEANSER REFILL KENSHO 380ML X 24 PCH</t>
  </si>
  <si>
    <t>SHINZUI BODY CLEANSER REFILL KIREI 380ML X 24 PCH</t>
  </si>
  <si>
    <t>SHINZUI BODY CLEANSER REFILL KIREI 725ML X 12 PCH</t>
  </si>
  <si>
    <t>SHINZUI BODY CLEANSER REFILL KIREI 85ML X 48 PCH</t>
  </si>
  <si>
    <t>SHINZUI BODY CLEANSER REFILL MATSU 380ML X 24 PCH</t>
  </si>
  <si>
    <t>SHINZUI BODY CLEANSER REFILL MATSU 725ML X 12 PCH</t>
  </si>
  <si>
    <t>SHINZUI BODY CLEANSER REFILL MATSU 85ML X 48 PCH</t>
  </si>
  <si>
    <t>SHINZUI BODY CLEANSER REFILL MYORI 380ML X 24 PCH</t>
  </si>
  <si>
    <t>SHINZUI BODY CLEANSER REFILL SAKURA 380ML X 24 PCH</t>
  </si>
  <si>
    <t>SHINZUI BODY CLEANSER REFILL SAKURA 725ML X 12 PCH</t>
  </si>
  <si>
    <t>SHINZUI BODY LATION HANA 100ML X 48 BTL</t>
  </si>
  <si>
    <t>SHINZUI BODY LATION HANA 210ML X 48 BTL</t>
  </si>
  <si>
    <t>SHINZUI BODY LATION KIREI 100ML X 48 BTL</t>
  </si>
  <si>
    <t>SHINZUI BODY LATION KIREI 210ML X 48 BTL</t>
  </si>
  <si>
    <t>SHINZUI BODY LATION MATSU 100ML X 48 BTL</t>
  </si>
  <si>
    <t>SHINZUI BODY LATION MATSU 210ML X 48 BTL</t>
  </si>
  <si>
    <t>SHINZUI BODY LATION SAKURA 100ML X 48 BTL</t>
  </si>
  <si>
    <t>SHINZUI BODY LATION SAKURA 210ML X 48 BTL</t>
  </si>
  <si>
    <t>SHINZUI BODY SCRUB HANA 200G X 48 JAR</t>
  </si>
  <si>
    <t>SHINZUI BODY SCRUB KENSHO 110G X 96 JAR</t>
  </si>
  <si>
    <t>SHINZUI BODY SCRUB KENSHO 200G X 48 JAR</t>
  </si>
  <si>
    <t>SHINZUI BODY SCRUB KIREI 110G X 96 JAR</t>
  </si>
  <si>
    <t>SHINZUI BODY SCRUB KIREI 200G X 48 JAR</t>
  </si>
  <si>
    <t>SHINZUI BODY SCRUB MATSU 110G X 96 JAR</t>
  </si>
  <si>
    <t>SHINZUI BODY SCRUB MATSU 200G X 48 JAR</t>
  </si>
  <si>
    <t>SHINZUI BODY SCRUB MYORI 110G X 96 JAR</t>
  </si>
  <si>
    <t>SHINZUI BODY SCRUB MYORI 200G X 48 JAR</t>
  </si>
  <si>
    <t>SHINZUI BODY SCRUB SAKURA 110G X 96 JAR</t>
  </si>
  <si>
    <t>SHINZUI BODY SCRUB SAKURA 200G X 48 JAR</t>
  </si>
  <si>
    <t>SHINZUI EXFOLIATING GEL CICA 130ML X 48 TUBE</t>
  </si>
  <si>
    <t>SHINZUI EXFOLIATING GEL HONEY 130ML X 48 TUBE</t>
  </si>
  <si>
    <t>SHINZUI EXFOLIATING GEL ICHIGO 130ML X 48 TUBE</t>
  </si>
  <si>
    <t>SHINZUI FACIAL WSH SNOW MSHRM 80ML X 48 TUBE +20ML</t>
  </si>
  <si>
    <t>SHINZUI FACIAL WSH CICA 80ML X 48 TUBE +20ML</t>
  </si>
  <si>
    <t>SHINZUI SABUN HANA 80G X 144 PCS</t>
  </si>
  <si>
    <t>SHINZUI SABUN KENSHO 80G X 144 PCS</t>
  </si>
  <si>
    <t>SHINZUI SABUN KIREI 80G X 144 PCS</t>
  </si>
  <si>
    <t>SHINZUI SABUN MATSU 80G X 144 PCS</t>
  </si>
  <si>
    <t>SHINZUI SABUN MYORI 80G X 144 PCS</t>
  </si>
  <si>
    <t>SHINZUI SABUN SAKURA 80G X 144 PCS</t>
  </si>
  <si>
    <t>SHINZUI SABUN CAIR REFILL KENSHO 180ML X 48 PCH</t>
  </si>
  <si>
    <t>SHINZUI SABUN CAIR REFILL KIREI 180ML X 48 PCH</t>
  </si>
  <si>
    <t>SHINZUI SABUN CAIR REFILL MYORI 180ML X 48 PCH</t>
  </si>
  <si>
    <t>SHINZUI SABUN CAIR REFILL SAKURA 180ML X 48 PCH</t>
  </si>
  <si>
    <t>SHINZUI SABUN CAIR HANA 180ML X 48 PCH</t>
  </si>
  <si>
    <t>SHINZUI SABUN CAIR HANA 480ML X 24 PUMP</t>
  </si>
  <si>
    <t>SHINZUI SABUN CAIR KENSHO 480ML X 24 PUMP</t>
  </si>
  <si>
    <t>SHINZUI SABUN CAIR KIREI 225ML X 48 BTL</t>
  </si>
  <si>
    <t>SHINZUI SABUN CAIR KIREI 480ML X 24 BTL</t>
  </si>
  <si>
    <t>SHINZUI SABUN CAIR MATSU 225ML X 48 BTL</t>
  </si>
  <si>
    <t>SHINZUI SABUN CAIR MATSU 480ML X 24 BTL</t>
  </si>
  <si>
    <t>SHINZUI SABUN CAIR MYORI 480ML X 24 PUMP</t>
  </si>
  <si>
    <t>SHINZUI SERUM BRIGHTENING 20ML X 48 TUBE</t>
  </si>
  <si>
    <t>SHINZUI SERUM MOISTURIZER 30G X 48 JAR</t>
  </si>
  <si>
    <t>SHINZUI SUNSCREEN SPF 35 30ML X 48 TUBE</t>
  </si>
  <si>
    <t>ZEN BCL REF SHISO &amp; ECHINACEA 400ML X 24 PCH</t>
  </si>
  <si>
    <t>ZEN BCL REF SHISO &amp; JUNIPER BERRIES 400ML X 24 PCH</t>
  </si>
  <si>
    <t>ZEN BCL REF SHISO &amp; SANDALWOOD 85ML X 48 PCH</t>
  </si>
  <si>
    <t>ZEN BCL REF SHISO &amp; SEA SALT 85ML X 48 PCH</t>
  </si>
  <si>
    <t>ZEN BCL REF SHISO &amp; TEA TREE 400ML X 24 PCH</t>
  </si>
  <si>
    <t>ZEN BCL REF SHISO &amp; TEA TREE 85ML X 48 PCH</t>
  </si>
  <si>
    <t>ZEN BCL SHISO &amp; ECHINACEA 480ML X 24 PUMP</t>
  </si>
  <si>
    <t>ZEN BCL SHISO &amp; JUNIPER BERRIES 480ML X 24 PUMP</t>
  </si>
  <si>
    <t>ZEN BCL SHISO &amp; TEA TREE 480ML X 24 PUMP</t>
  </si>
  <si>
    <t>ZEN BODY WSH REF SHISO &amp; SANDALWOOD 400ML X 24 PCH</t>
  </si>
  <si>
    <t>ZEN BODY WSH REF SHISO &amp; SEA SALT 400ML X 24 PCH</t>
  </si>
  <si>
    <t>ZEN BODY WSH REF SHISO &amp; SULPHUR 400ML X 24 PCH</t>
  </si>
  <si>
    <t>ZEN BODY WSH SHISO &amp; SANDALWOOD 480ML X 24 PUMP</t>
  </si>
  <si>
    <t>ZEN BODY WSH SHISO &amp; SEA SALT 480ML X 24 PUMP</t>
  </si>
  <si>
    <t>ZEN BODY WSH SHISO &amp; SULPHUR 480ML X 24 PUMP</t>
  </si>
  <si>
    <t>ZEN SABUN LUNCH MIX 80G X 6 BOX</t>
  </si>
  <si>
    <t>ZEN SABUN SHINSO &amp; SULPHUR 60G X 72 PCS</t>
  </si>
  <si>
    <t>ZEN SABUN SHISO &amp; ECHINACEA 70G X 24 PACK</t>
  </si>
  <si>
    <t>ZEN SABUN SHISO &amp; JUNIPER BERRIES 70G X 24 PACK</t>
  </si>
  <si>
    <t>ZEN SABUN SHISO &amp; SANDALWOOD 70G X 24 PACK</t>
  </si>
  <si>
    <t>ZEN SABUN SHISO &amp; SEA SALT 70G X 24 PACK</t>
  </si>
  <si>
    <t>ZEN SABUN SHISO &amp; SULPHUR 70G X 24 PACK</t>
  </si>
  <si>
    <t>ZEN SABUN SHISO &amp; TEA TREE 70G X 24 PACK</t>
  </si>
  <si>
    <t>F4011</t>
  </si>
  <si>
    <t>DERMYTHOL BCL</t>
  </si>
  <si>
    <t>F4012</t>
  </si>
  <si>
    <t>DERMYTHOL SABUN</t>
  </si>
  <si>
    <t>F4013</t>
  </si>
  <si>
    <t>DREAM SABUN</t>
  </si>
  <si>
    <t>F4021</t>
  </si>
  <si>
    <t>GRDN OF NA EEM BCL</t>
  </si>
  <si>
    <t>F4031</t>
  </si>
  <si>
    <t>GRDN OF NA EEM SABUN</t>
  </si>
  <si>
    <t>F4032</t>
  </si>
  <si>
    <t>GRDN GLOW BODY LTN</t>
  </si>
  <si>
    <t>F4041</t>
  </si>
  <si>
    <t>PINK SKIN BCL</t>
  </si>
  <si>
    <t>F4051</t>
  </si>
  <si>
    <t>PINK SKIN PARFUME LTN</t>
  </si>
  <si>
    <t>F4052</t>
  </si>
  <si>
    <t>SHINZUI BODY CLEANSER</t>
  </si>
  <si>
    <t>F4061</t>
  </si>
  <si>
    <t>SHINZUI BODY LATION</t>
  </si>
  <si>
    <t>F4062</t>
  </si>
  <si>
    <t>SHINZUI BODY SCRUB</t>
  </si>
  <si>
    <t>F4063</t>
  </si>
  <si>
    <t>SHINZUI EXFOLIATING</t>
  </si>
  <si>
    <t>F4064</t>
  </si>
  <si>
    <t>SHINZUI FACIAL WSH</t>
  </si>
  <si>
    <t>F4065</t>
  </si>
  <si>
    <t>SHINZUI SABUN</t>
  </si>
  <si>
    <t>F4066</t>
  </si>
  <si>
    <t>SHINZUI SABUN CAIR</t>
  </si>
  <si>
    <t>F4067</t>
  </si>
  <si>
    <t>SHINZUI SERUM</t>
  </si>
  <si>
    <t>F4068</t>
  </si>
  <si>
    <t>SHINZUI SUNSCREEN</t>
  </si>
  <si>
    <t>F4069</t>
  </si>
  <si>
    <t>ZEN BCL</t>
  </si>
  <si>
    <t>F4071</t>
  </si>
  <si>
    <t>ZEN BODY WSH</t>
  </si>
  <si>
    <t>F4072</t>
  </si>
  <si>
    <t>ZEN SABUN</t>
  </si>
  <si>
    <t>F4073</t>
  </si>
  <si>
    <t>S-FRN</t>
  </si>
  <si>
    <t>REG/MATSU</t>
  </si>
  <si>
    <t>F4067011048020</t>
  </si>
  <si>
    <t>SHINZUI SABUN CAIR REG/MATSU 180ML X 48 PCH</t>
  </si>
  <si>
    <t>SHINZUI SABUN CAIR SAKURA 480ML X 24 PUMP</t>
  </si>
  <si>
    <t>ZEN BCL Shiso &amp; Juniper Berries Ref 48x85Ml</t>
  </si>
  <si>
    <t>4P</t>
  </si>
  <si>
    <t>2</t>
  </si>
  <si>
    <t>Zen Bar Soap Shiso &amp; Tea Tree 18x4x70Gr (P4) Geger</t>
  </si>
  <si>
    <t>Zen Bar Soap Shiso &amp; Tea Tree 18x4x60Gr (P4) Geger</t>
  </si>
  <si>
    <t xml:space="preserve">ZEN </t>
  </si>
  <si>
    <t>Zen Body Soap Mix 6x12x70Gr Upsize (6 Lunchbox)</t>
  </si>
  <si>
    <t>Zen Bcl Tea Tree Ref 24x400Ml (1PKT DW L Basil SCH 15Ml</t>
  </si>
  <si>
    <t>ZEN BCL ShISO &amp; Sandalwood Ref 24x400Ml (1PIC) &amp; ZEN BCL Shiso &amp; JB sachet 15Ml (1PIC)</t>
  </si>
  <si>
    <t>BND</t>
  </si>
  <si>
    <t>ZEN BCL Shiso &amp; Sea Salt Ref 24x400Ml (1PIC) &amp; ZEN Shiso &amp; JB 15Ml (1PIC)</t>
  </si>
  <si>
    <t>ZEN BCL Shiso &amp; Sulphur Ref 24x400Ml (1PCS) &amp; ZEN Shiso &amp; JB 15Ml (1PCS)</t>
  </si>
  <si>
    <t>SHZ BCL MATSU REF 400MLX3X12 (2PKT1 ZEN BCL TEATREE 400ML)</t>
  </si>
  <si>
    <t>SHZ BCL SAKURA REF 24X400ML (1PCH) &amp; SHZ Exfo Ichigo SCH 9ML (1PCS) 1 PKTX24</t>
  </si>
  <si>
    <t>Sabun Zen Shiso &amp; Tea Tree 18x4x70Gr (P4)</t>
  </si>
  <si>
    <t>042502500</t>
  </si>
  <si>
    <t>042502501</t>
  </si>
  <si>
    <t>042502503</t>
  </si>
  <si>
    <t>051701495</t>
  </si>
  <si>
    <t>051705401</t>
  </si>
  <si>
    <t>052506402</t>
  </si>
  <si>
    <t>052506602</t>
  </si>
  <si>
    <t>052506702</t>
  </si>
  <si>
    <t>052502402</t>
  </si>
  <si>
    <t>042501702</t>
  </si>
  <si>
    <t>070702391</t>
  </si>
  <si>
    <t>N</t>
  </si>
  <si>
    <t>051701012</t>
  </si>
  <si>
    <t>SHZ BCL MT Ref 400Ml &amp; ZEN BCL Shiso &amp; TT 400Ml 2Pkt1 x12</t>
  </si>
  <si>
    <t>Discontinue</t>
  </si>
  <si>
    <t>Sabun Zen Shiso &amp; SANDALWOOD 82X80Gr</t>
  </si>
  <si>
    <t>SHZ FWS SNOW MUSHROOM 80ML UPSIZE 20ML &amp; SHZ FWS SNOW MUSHROOM 20ML 1 PKTX48</t>
  </si>
  <si>
    <t>PINK SKIN EDP FORGET ME NOT 48X30ML</t>
  </si>
  <si>
    <t>PINK SKIN EDP FIRST LOVE 48X30ML</t>
  </si>
  <si>
    <t>PINK SKIN EDP SWEET ROSE 48X30ML</t>
  </si>
  <si>
    <t>PINK SKIN EDP SHINING STAR 48X330ML</t>
  </si>
  <si>
    <t>EDP</t>
  </si>
  <si>
    <t>FORGET ME NOT</t>
  </si>
  <si>
    <t>051701400</t>
  </si>
  <si>
    <t>051702400</t>
  </si>
  <si>
    <t>051703400</t>
  </si>
  <si>
    <t>051704400</t>
  </si>
  <si>
    <t>051705400</t>
  </si>
  <si>
    <t>051706400</t>
  </si>
  <si>
    <t>BCL Shinzui Matsu Ref 24x420ml</t>
  </si>
  <si>
    <t>BCL Shinzui Hana Ref 24x420ml @24</t>
  </si>
  <si>
    <t>BCL Shinzui Kirei Ref 24x420ml</t>
  </si>
  <si>
    <t>BCL Shinzui Myori Ref 24x420ml @24</t>
  </si>
  <si>
    <t>BCL Shinzui Sakura Ref 24x420ml @24</t>
  </si>
  <si>
    <t>BCL Shinzui Kensho Ref 24x420ml</t>
  </si>
  <si>
    <t>3</t>
  </si>
  <si>
    <t>4</t>
  </si>
  <si>
    <t>5</t>
  </si>
  <si>
    <t>6</t>
  </si>
  <si>
    <t>7</t>
  </si>
  <si>
    <t>420ML</t>
  </si>
  <si>
    <t>0420</t>
  </si>
  <si>
    <t>042501102</t>
  </si>
  <si>
    <t>042501008</t>
  </si>
  <si>
    <t>Zen Bar Paket Sandalwood 70gr New 24 PKT 1 x 72</t>
  </si>
  <si>
    <t>Zen Bar Paket Tea Tree 70gr New 24 PKT 1 x 72</t>
  </si>
  <si>
    <t>042503004</t>
  </si>
  <si>
    <t>Zen Bar Paket Sea Salt 70gr New 24 PKT 1 x 72</t>
  </si>
  <si>
    <t>042502008</t>
  </si>
  <si>
    <t>042505005</t>
  </si>
  <si>
    <t>Zen Bar Paket Sulphur 70gr New 24 PKT 1 x 72</t>
  </si>
  <si>
    <t>042506008</t>
  </si>
  <si>
    <t>Zen Bar Paket Juniper Berries 70gr New 24 PKT 1 x 72</t>
  </si>
  <si>
    <t>061704003</t>
  </si>
  <si>
    <t>061703004</t>
  </si>
  <si>
    <t>061705004</t>
  </si>
  <si>
    <t>SHZ B. Scrub MY 200Gr New &amp; SHZ FWS Snow Mushroom 20Ml 1Pkt1 x48</t>
  </si>
  <si>
    <t>SHZ B. Scrub K 200Gr NEW &amp; SHZ FWS Snow Mushroom 200Ml 1Pkt1 x48</t>
  </si>
  <si>
    <t>SHZ Bright Sunscreen SPF 35 PA 30Ml &amp; SHZ FWS Snow Mushroom 20Ml 1Pkt1 x48</t>
  </si>
  <si>
    <t>BANDED</t>
  </si>
  <si>
    <t>041701000</t>
  </si>
  <si>
    <t>SHZ BAR MATSU 24X3X60GR PW</t>
  </si>
  <si>
    <t>041703000</t>
  </si>
  <si>
    <t xml:space="preserve">SHZ BAR KIREI 24X3X60GR PW </t>
  </si>
  <si>
    <t>061701003</t>
  </si>
  <si>
    <t>SHZ B. SCRUB MT 200GR NEW &amp; SHZ FWS SNOW MUSHROOM 20ML 1PKT1 X48</t>
  </si>
  <si>
    <t>(blank)</t>
  </si>
  <si>
    <t>F4053004003020</t>
  </si>
  <si>
    <t>F4053001003020</t>
  </si>
  <si>
    <t>F4053002003020</t>
  </si>
  <si>
    <t>F4053003003020</t>
  </si>
  <si>
    <t>F4061104040011</t>
  </si>
  <si>
    <t>F4061204042010</t>
  </si>
  <si>
    <t>F4061301042010</t>
  </si>
  <si>
    <t>F4061403042010</t>
  </si>
  <si>
    <t>F4061510042010</t>
  </si>
  <si>
    <t>F4061611042010</t>
  </si>
  <si>
    <t>F4061702042010</t>
  </si>
  <si>
    <t>F4061111040011</t>
  </si>
  <si>
    <t>F40630050200111</t>
  </si>
  <si>
    <t>F40630030200111</t>
  </si>
  <si>
    <t>F40630060200111</t>
  </si>
  <si>
    <t>F40630040200111</t>
  </si>
  <si>
    <t>F40690010030121</t>
  </si>
  <si>
    <t>F4065001008012</t>
  </si>
  <si>
    <t>F4066004006010</t>
  </si>
  <si>
    <t>F4066003006010</t>
  </si>
  <si>
    <t>F4067005022530</t>
  </si>
  <si>
    <t>F4067006022530</t>
  </si>
  <si>
    <t>F4067009022530</t>
  </si>
  <si>
    <t>F4067011022530</t>
  </si>
  <si>
    <t>F4071103040011</t>
  </si>
  <si>
    <t>F4071104040011</t>
  </si>
  <si>
    <t>F40711020085101</t>
  </si>
  <si>
    <t>F4071105040011</t>
  </si>
  <si>
    <t>F4071106040011</t>
  </si>
  <si>
    <t>F4073005008010</t>
  </si>
  <si>
    <t>F4073208007020</t>
  </si>
  <si>
    <t>F4073208006020</t>
  </si>
  <si>
    <t>F4073101007010</t>
  </si>
  <si>
    <t>F4073101007010N</t>
  </si>
  <si>
    <t>SHINZUI BODY CLEANSER REF MATSU 400ML X 12 PCH BND</t>
  </si>
  <si>
    <t>SHINZUI BODY CLEANSER REF SAKURA 400ML X 24 PCH BND</t>
  </si>
  <si>
    <t>SHINZUI BODY SCRUB MYORI 200G X 48 JAR BANDED</t>
  </si>
  <si>
    <t>SHINZUI BODY SCRUB KIREI 200G X 48 JAR BANDED</t>
  </si>
  <si>
    <t>SHINZUI BODY SCRUB SAKURA 200G X 48 JAR BANDED</t>
  </si>
  <si>
    <t>SHINZUI SUNSCREEN SPF 35 30ML X 48 TUBE BANDED</t>
  </si>
  <si>
    <t>SHINZUI SABUN CAIR HANA 225ML X 48 BTL</t>
  </si>
  <si>
    <t>SHINZUI SABUN CAIR KENSHO 225ML X 48 BTL</t>
  </si>
  <si>
    <t>SHINZUI SABUN CAIR MYORI 225ML X 48 BTL</t>
  </si>
  <si>
    <t>SHINZUI SABUN CAIR SAKURA 225ML X 48 BTL</t>
  </si>
  <si>
    <t>ZEN BCL REF SHISO &amp; SANDALWOOD 400ML X 24 PCH BND</t>
  </si>
  <si>
    <t>ZEN BCL REF SHISO &amp; SEA SALT 400ML X 24 PCH BND</t>
  </si>
  <si>
    <t>ZEN BCL REF SHISO &amp; JUNIPER BERRIES 85ML X 48 PCH</t>
  </si>
  <si>
    <t>ZEN BCL REF SHISO &amp; TEA TREE 400ML X 24 PCH BND</t>
  </si>
  <si>
    <t>ZEN BCL REF SHISO &amp; SULPHUR 400ML X 24 PCH BND</t>
  </si>
  <si>
    <t>ZEN SABUN 4P SHISO &amp; TEA TREE 70G X 18 PACK</t>
  </si>
  <si>
    <t>ZEN SABUN 4P SHISO &amp; TEA TREE 60G X 18 PACK</t>
  </si>
  <si>
    <t>ZEN SABUN LUNCH MIX 70G X 6 BOX</t>
  </si>
  <si>
    <t>PINK SKIN EDP SWEET ROSE 30ML X 48 BTL</t>
  </si>
  <si>
    <t>PINK SKIN EDP FIRST LOVE 30ML X 48 BTL</t>
  </si>
  <si>
    <t>PINK SKIN EDP FORGET ME NOT 30ML X 48 BTL</t>
  </si>
  <si>
    <t>PINK SKIN EDP SHINING STAR 30ML X 48 BTL</t>
  </si>
  <si>
    <t>SHINZUI BODY CLEANSER REFILL MATSU 420ML X 24 PCH</t>
  </si>
  <si>
    <t>SHINZUI BODY CLEANSER REFILL HANA 420ML X 24 PCH</t>
  </si>
  <si>
    <t>SHINZUI BODY CLEANSER REFILL KIREI 420ML X 24 PCH</t>
  </si>
  <si>
    <t>SHINZUI BODY CLEANSER REFILL MYORI 420ML X 24 PCH</t>
  </si>
  <si>
    <t>SHINZUI BODY CLEANSER REFILL SAKURA 420ML X 24 PCH</t>
  </si>
  <si>
    <t>SHINZUI BODY CLEANSER REFILL KENSHO 420ML X 24 PCH</t>
  </si>
  <si>
    <t>SHINZUI BODY SCRUB MATSU 200G X 48 JAR BANDED</t>
  </si>
  <si>
    <t>SHINZUI FACIAL WSH SNOW MSHRM 80ML X 48 TUBE BND</t>
  </si>
  <si>
    <t>SHINZUI SABUN MATSU 60G X 72 PCS</t>
  </si>
  <si>
    <t>SHINZUI SABUN KIREI 60G X 72 PCS</t>
  </si>
  <si>
    <t>ZEN SABUN SHISO &amp; SANDALWOOD 80G X 72 PCS</t>
  </si>
  <si>
    <t>Lama</t>
  </si>
  <si>
    <t>PINK SKIN EDP</t>
  </si>
  <si>
    <t>F4053</t>
  </si>
  <si>
    <t>042504004</t>
  </si>
  <si>
    <t>Zen Bar Paket Echinacea 70gr New 24 PKT 1 x 72</t>
  </si>
  <si>
    <t>SHZ F. WASH SNOW MUSHROOM 120X20ML</t>
  </si>
  <si>
    <t>8992946535298</t>
  </si>
  <si>
    <t>800ML</t>
  </si>
  <si>
    <t>0800</t>
  </si>
  <si>
    <t>ZEN Body Cleanser Shiso&amp; Sandalwood Ref 12X800Ml</t>
  </si>
  <si>
    <t>052501800</t>
  </si>
  <si>
    <t>051705000</t>
  </si>
  <si>
    <t>SHZ BCL S REF 6X1500ML</t>
  </si>
  <si>
    <t>1500ML</t>
  </si>
  <si>
    <t>1500</t>
  </si>
  <si>
    <t>SHZ BRIGHTENING ESCENCE TONER 48X50ML</t>
  </si>
  <si>
    <t>TONER</t>
  </si>
  <si>
    <t>50ML</t>
  </si>
  <si>
    <t>0050</t>
  </si>
  <si>
    <t>BRIGHTENING ESCENCE</t>
  </si>
  <si>
    <t>PCSX10</t>
  </si>
  <si>
    <t>48 RCG</t>
  </si>
  <si>
    <t>GARDENIA GLOW BODY LTN</t>
  </si>
  <si>
    <t>Column1</t>
  </si>
  <si>
    <t>F4031101040020</t>
  </si>
  <si>
    <t>F4041002000930</t>
  </si>
  <si>
    <t>F4041003000930</t>
  </si>
  <si>
    <t>F4061111150010</t>
  </si>
  <si>
    <t>F4061001005010</t>
  </si>
  <si>
    <t>F4065001002020</t>
  </si>
  <si>
    <t>F4066004006020</t>
  </si>
  <si>
    <t>F4066003006020</t>
  </si>
  <si>
    <t>F4071103080010</t>
  </si>
  <si>
    <t>GRDN OF NA EEM BCL REF MDNGHT GRDN 400ML X 24 PCH</t>
  </si>
  <si>
    <t>GARDENIA GLOW BODY LTN RYL JASMINE 9ML X 48 RCG PCSX10</t>
  </si>
  <si>
    <t>GRDN GLOW BODY LTN TAIFI ROSE 9ML X 48 RCG PCSX10</t>
  </si>
  <si>
    <t>SHINZUI BODY CLEANSER REF SAKURA 1500ML X 6 PCH</t>
  </si>
  <si>
    <t>SHINZUI TONER BRIGHTENING ESCENCE 50ML X 48 BTL</t>
  </si>
  <si>
    <t>SHINZUI FACIAL WSH SNOW MSHRM 20ML X 120 PCS</t>
  </si>
  <si>
    <t>SHINZUI SABUN MATSU 60G X 24 PACK</t>
  </si>
  <si>
    <t>SHINZUI SABUN KIREI 60G X 24 PACK</t>
  </si>
  <si>
    <t>ZEN BCL REF SHISO &amp; SANDALWOOD 800ML X 12 PCH</t>
  </si>
  <si>
    <t>SHINZUI TONER</t>
  </si>
  <si>
    <t xml:space="preserve">SHZ BAR SAKURA 24X3X60GR PW </t>
  </si>
  <si>
    <t>041702001</t>
  </si>
  <si>
    <t>052505003</t>
  </si>
  <si>
    <t>380/400ML</t>
  </si>
  <si>
    <t>SHZ BRIGHTENING MICELLAR WATER 24X300ML</t>
  </si>
  <si>
    <t>MICELLAR WATER</t>
  </si>
  <si>
    <t>300ML</t>
  </si>
  <si>
    <t>0300</t>
  </si>
  <si>
    <t>SHZ FWS CICA 80ML UPSIZE 20ML&amp;SHZ FWS CICA 20ML 1 PKTX48</t>
  </si>
  <si>
    <t>SHZ Moisturizer Light 120x10GR</t>
  </si>
  <si>
    <t>SHZ Moisturizer Gel 120x10GR</t>
  </si>
  <si>
    <t>SHZ BRIGHTENING MICELLAR WATER 48X150ML</t>
  </si>
  <si>
    <t>150ML</t>
  </si>
  <si>
    <t>0150</t>
  </si>
  <si>
    <t>SHINZUI MOIST</t>
  </si>
  <si>
    <t>10G</t>
  </si>
  <si>
    <t>0010</t>
  </si>
  <si>
    <t>LIGHT</t>
  </si>
  <si>
    <t>GEL</t>
  </si>
  <si>
    <t>041703100</t>
  </si>
  <si>
    <t>SHZ KIREI 72x60Gr</t>
  </si>
  <si>
    <t>PROMO</t>
  </si>
  <si>
    <t>SHZ B.LTN MYORI/M 48X210 ML</t>
  </si>
  <si>
    <t>SHZ F.WASH ANTI ACNE 48X80ML</t>
  </si>
  <si>
    <t>ANTI ACNE</t>
  </si>
  <si>
    <t>Body Lotion SHINZUI Myori 48X210ML</t>
  </si>
  <si>
    <t>071704302</t>
  </si>
  <si>
    <t>ZEN BCL SHISO &amp; SANDALWOOD REF 24X380ML</t>
  </si>
  <si>
    <t>ZEN BCL SHISO &amp; SEA SALT REF 24X380ML</t>
  </si>
  <si>
    <t>SHZ Exfoliating Gel Cica 48 x 260Ml</t>
  </si>
  <si>
    <t>260ML</t>
  </si>
  <si>
    <t>0260</t>
  </si>
  <si>
    <t>081722200</t>
  </si>
  <si>
    <t>052501004</t>
  </si>
  <si>
    <t>052503002</t>
  </si>
  <si>
    <t>052506002</t>
  </si>
  <si>
    <t>ZEN Body Cleanser Shiso And Juniper Berries Ref 24x380Ml</t>
  </si>
  <si>
    <t>400/380ML</t>
  </si>
  <si>
    <t>TOPLES</t>
  </si>
  <si>
    <t>F4062005021010</t>
  </si>
  <si>
    <t>F40610001030010</t>
  </si>
  <si>
    <t>F40610001015010</t>
  </si>
  <si>
    <t>F4064001026010</t>
  </si>
  <si>
    <t>F4065002008012</t>
  </si>
  <si>
    <t>F4065003002013</t>
  </si>
  <si>
    <t>F4065004008020</t>
  </si>
  <si>
    <t>F4066003006013</t>
  </si>
  <si>
    <t>F4066006006020</t>
  </si>
  <si>
    <t>F40611001001010</t>
  </si>
  <si>
    <t>F40611002001010</t>
  </si>
  <si>
    <t>F4071103038010</t>
  </si>
  <si>
    <t>F4071104038010</t>
  </si>
  <si>
    <t/>
  </si>
  <si>
    <t>071704204</t>
  </si>
  <si>
    <t>Body Lotion SHINZUI Myori 48X100ML</t>
  </si>
  <si>
    <t>F4062005010010</t>
  </si>
  <si>
    <t>191704000</t>
  </si>
  <si>
    <t>SHINZUI BODY LATION MYORI 210ML X 48 BTL</t>
  </si>
  <si>
    <t>SHINZUI BODY LATION MYORI 100ML X 48 BTL</t>
  </si>
  <si>
    <t>SHINZUI BODY SCRUB HANA 110G X 48 JAR</t>
  </si>
  <si>
    <t>SHINZUI MICELLAR WATER</t>
  </si>
  <si>
    <t>F40610</t>
  </si>
  <si>
    <t>SHINZUI MICELLAR WATER BRIGHTENING 300ML X 24 BTL</t>
  </si>
  <si>
    <t>SHINZUI MICELLAR WATER BRIGHTENING 150ML X 48 BTL</t>
  </si>
  <si>
    <t>SHINZUI EXFOLIATING GEL CICA 260ML X 48 TUBE</t>
  </si>
  <si>
    <t>SHINZUI FACIAL WSH CICA 80ML X TUBE BND</t>
  </si>
  <si>
    <t>SHINZUI FACIAL WSH SNOW MSHRM 20ML X 12 TOPLES MIX</t>
  </si>
  <si>
    <t>SHINZUI FACIAL WSH ANTI ACNE 80ML X 48 PCS</t>
  </si>
  <si>
    <t>SHINZUI SABUN KIREI 60G X 72 PCS PROMO</t>
  </si>
  <si>
    <t>SHINZUI SABUN SAKURA 60G X 24 PACK</t>
  </si>
  <si>
    <t>F40611</t>
  </si>
  <si>
    <t>SHINZUI MOISTURIZER LIGHT 10G X 120 TUBE</t>
  </si>
  <si>
    <t>SHINZUI MOISTURIZER GEL 10G X 120 TUBE</t>
  </si>
  <si>
    <t>ZEN BCL SHISO &amp; SANDALWOOD 380ML X 24 PCH</t>
  </si>
  <si>
    <t>ZEN BCL SHISO &amp; SEA SALT 380ML X 24 PCH</t>
  </si>
  <si>
    <t>X</t>
  </si>
  <si>
    <t>SHZ SERUM MOISTURIZER 96X15GR</t>
  </si>
  <si>
    <t>15G</t>
  </si>
  <si>
    <t>0015</t>
  </si>
  <si>
    <t>F4068002001520</t>
  </si>
  <si>
    <t>SHINZUI FACIAL WSH SNOW MSHRM 20ML X 12 TUBE</t>
  </si>
  <si>
    <t>SHINZUI SERUM MOISTURIZER 15G X 96 JAR</t>
  </si>
  <si>
    <t>ZEN BAR SHISO &amp; SANDALWOOD 24X3X60GR (P3) UPSIZE 15GR</t>
  </si>
  <si>
    <t>042501011</t>
  </si>
  <si>
    <t>042506012</t>
  </si>
  <si>
    <t>ZEN BAR SHISO &amp; JUNIPER BERRIES 24X3X60GR (P3) UPSIZE 15GR</t>
  </si>
  <si>
    <t>60+15G</t>
  </si>
  <si>
    <t>SHZ F.WASH SNOW MUSHROOM 120X20ML (TRAY)</t>
  </si>
  <si>
    <t>052506000</t>
  </si>
  <si>
    <t>042505007</t>
  </si>
  <si>
    <t>ZEN BAR SHISO &amp; SULPHUR 24X3X60GR (P3) UPSIZE 15GR</t>
  </si>
  <si>
    <t>061703006</t>
  </si>
  <si>
    <t>061704004</t>
  </si>
  <si>
    <t>061705006</t>
  </si>
  <si>
    <t>SHZ B. SCRUB S 200GR &amp; SHZ BAR S 60GR 1 BND 1X48</t>
  </si>
  <si>
    <t>061701004</t>
  </si>
  <si>
    <t>SHZ B. SCRUB MT 200GR NEW &amp; SHZ BAR S 60GR 1BND 1 X48</t>
  </si>
  <si>
    <t>061702004</t>
  </si>
  <si>
    <t>SHZ B. SCRUB H 200GR &amp; SHZ BAR S 60GR 1 BND 1X48</t>
  </si>
  <si>
    <t>061706004</t>
  </si>
  <si>
    <t>SHZ B.SCRUB KS 200GR &amp; SHZ BAR S 60GR 1 BND 1 X 48</t>
  </si>
  <si>
    <t xml:space="preserve">SHZ B.SCRUB MY 200GR &amp; SHZ BAR 60GR 1 BND 1X48 </t>
  </si>
  <si>
    <t>SHZ B.SCRUB K 200GR &amp; SHZ BAR S 60GR 1 BND 1X48</t>
  </si>
  <si>
    <t>042502010</t>
  </si>
  <si>
    <t>ZEN BAR SHISO &amp; TEA TREE 24X3X60GR (P3) UPSIZE 15GR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</si>
</sst>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165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2" fontId="0" fillId="0" borderId="0" xfId="0" applyNumberFormat="1"/>
    <xf numFmtId="43" fontId="0" fillId="0" borderId="0" xfId="1" applyFont="1" applyAlignment="1">
      <alignment horizontal="center" vertical="center"/>
    </xf>
    <xf numFmtId="43" fontId="12" fillId="7" borderId="0" xfId="1" applyFont="1" applyFill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43" fontId="0" fillId="0" borderId="0" xfId="1" applyFont="1"/>
    <xf numFmtId="43" fontId="17" fillId="2" borderId="0" xfId="1" applyFont="1" applyFill="1" applyAlignment="1">
      <alignment horizontal="center" vertical="center" wrapText="1"/>
    </xf>
    <xf numFmtId="43" fontId="12" fillId="8" borderId="0" xfId="1" applyFont="1" applyFill="1" applyAlignment="1">
      <alignment horizontal="center" vertical="center" wrapText="1"/>
    </xf>
    <xf numFmtId="43" fontId="12" fillId="9" borderId="0" xfId="1" applyFont="1" applyFill="1" applyAlignment="1">
      <alignment horizontal="center" vertical="center" wrapText="1"/>
    </xf>
    <xf numFmtId="10" fontId="0" fillId="0" borderId="0" xfId="8" applyNumberFormat="1" applyFont="1" applyAlignment="1">
      <alignment horizontal="center" vertical="center"/>
    </xf>
    <xf numFmtId="10" fontId="13" fillId="2" borderId="10" xfId="8" applyNumberFormat="1" applyFont="1" applyFill="1" applyBorder="1" applyAlignment="1">
      <alignment horizontal="center" vertical="center"/>
    </xf>
    <xf numFmtId="10" fontId="12" fillId="9" borderId="0" xfId="8" applyNumberFormat="1" applyFont="1" applyFill="1" applyAlignment="1">
      <alignment horizontal="center" vertical="center" wrapText="1"/>
    </xf>
    <xf numFmtId="10" fontId="2" fillId="0" borderId="0" xfId="8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49" fontId="2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49" fontId="2" fillId="11" borderId="0" xfId="0" quotePrefix="1" applyNumberFormat="1" applyFont="1" applyFill="1" applyAlignment="1">
      <alignment horizontal="center" vertical="center"/>
    </xf>
    <xf numFmtId="43" fontId="2" fillId="11" borderId="0" xfId="1" applyFont="1" applyFill="1" applyBorder="1" applyAlignment="1">
      <alignment horizontal="center" vertical="center"/>
    </xf>
    <xf numFmtId="43" fontId="2" fillId="11" borderId="0" xfId="1" applyFont="1" applyFill="1" applyAlignment="1">
      <alignment horizontal="center" vertical="center"/>
    </xf>
    <xf numFmtId="10" fontId="2" fillId="11" borderId="0" xfId="8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center"/>
    </xf>
    <xf numFmtId="0" fontId="0" fillId="11" borderId="0" xfId="0" quotePrefix="1" applyFill="1" applyAlignment="1">
      <alignment horizontal="center" vertical="center"/>
    </xf>
    <xf numFmtId="0" fontId="0" fillId="11" borderId="0" xfId="0" applyFill="1"/>
    <xf numFmtId="0" fontId="0" fillId="11" borderId="13" xfId="0" applyFill="1" applyBorder="1" applyAlignment="1">
      <alignment horizontal="center" vertical="center"/>
    </xf>
    <xf numFmtId="1" fontId="0" fillId="11" borderId="13" xfId="0" applyNumberFormat="1" applyFill="1" applyBorder="1" applyAlignment="1">
      <alignment horizontal="center" vertical="center"/>
    </xf>
    <xf numFmtId="10" fontId="2" fillId="11" borderId="0" xfId="8" applyNumberFormat="1" applyFont="1" applyFill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10" fontId="2" fillId="0" borderId="0" xfId="8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43" fontId="2" fillId="12" borderId="0" xfId="1" applyFont="1" applyFill="1" applyBorder="1" applyAlignment="1">
      <alignment horizontal="center" vertical="center"/>
    </xf>
    <xf numFmtId="43" fontId="2" fillId="12" borderId="0" xfId="1" applyFont="1" applyFill="1" applyAlignment="1">
      <alignment horizontal="center" vertical="center"/>
    </xf>
    <xf numFmtId="10" fontId="2" fillId="12" borderId="0" xfId="8" applyNumberFormat="1" applyFont="1" applyFill="1" applyAlignment="1">
      <alignment horizontal="center" vertical="center"/>
    </xf>
    <xf numFmtId="14" fontId="2" fillId="12" borderId="0" xfId="0" applyNumberFormat="1" applyFont="1" applyFill="1" applyAlignment="1">
      <alignment horizontal="center" vertical="center"/>
    </xf>
    <xf numFmtId="0" fontId="0" fillId="12" borderId="0" xfId="0" quotePrefix="1" applyFill="1" applyAlignment="1">
      <alignment horizontal="center" vertical="center"/>
    </xf>
    <xf numFmtId="0" fontId="0" fillId="12" borderId="0" xfId="0" applyFill="1"/>
    <xf numFmtId="0" fontId="0" fillId="12" borderId="12" xfId="0" quotePrefix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5" borderId="12" xfId="0" quotePrefix="1" applyNumberForma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49" fontId="2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9" fontId="2" fillId="5" borderId="0" xfId="0" quotePrefix="1" applyNumberFormat="1" applyFont="1" applyFill="1" applyAlignment="1">
      <alignment horizontal="center" vertical="center"/>
    </xf>
    <xf numFmtId="43" fontId="2" fillId="5" borderId="0" xfId="1" applyFont="1" applyFill="1" applyBorder="1" applyAlignment="1">
      <alignment horizontal="center" vertical="center"/>
    </xf>
    <xf numFmtId="43" fontId="2" fillId="5" borderId="0" xfId="1" applyFont="1" applyFill="1" applyAlignment="1">
      <alignment horizontal="center" vertical="center"/>
    </xf>
    <xf numFmtId="10" fontId="2" fillId="5" borderId="0" xfId="8" applyNumberFormat="1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0" fillId="5" borderId="0" xfId="0" applyFill="1"/>
    <xf numFmtId="0" fontId="0" fillId="5" borderId="12" xfId="0" quotePrefix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0" fontId="0" fillId="11" borderId="12" xfId="0" quotePrefix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" fontId="0" fillId="13" borderId="12" xfId="0" quotePrefix="1" applyNumberForma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49" fontId="2" fillId="13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49" fontId="2" fillId="13" borderId="0" xfId="0" quotePrefix="1" applyNumberFormat="1" applyFont="1" applyFill="1" applyAlignment="1">
      <alignment horizontal="center" vertical="center"/>
    </xf>
    <xf numFmtId="43" fontId="2" fillId="13" borderId="0" xfId="1" applyFont="1" applyFill="1" applyBorder="1" applyAlignment="1">
      <alignment horizontal="center" vertical="center"/>
    </xf>
    <xf numFmtId="43" fontId="2" fillId="13" borderId="0" xfId="1" applyFont="1" applyFill="1" applyAlignment="1">
      <alignment horizontal="center" vertical="center"/>
    </xf>
    <xf numFmtId="10" fontId="2" fillId="13" borderId="0" xfId="8" applyNumberFormat="1" applyFont="1" applyFill="1" applyAlignment="1">
      <alignment horizontal="center" vertical="center"/>
    </xf>
    <xf numFmtId="14" fontId="2" fillId="13" borderId="0" xfId="0" applyNumberFormat="1" applyFont="1" applyFill="1" applyAlignment="1">
      <alignment horizontal="center" vertical="center"/>
    </xf>
    <xf numFmtId="0" fontId="0" fillId="13" borderId="0" xfId="0" quotePrefix="1" applyFill="1" applyAlignment="1">
      <alignment horizontal="center" vertical="center"/>
    </xf>
    <xf numFmtId="0" fontId="0" fillId="13" borderId="0" xfId="0" applyFill="1"/>
    <xf numFmtId="1" fontId="0" fillId="13" borderId="12" xfId="0" applyNumberFormat="1" applyFill="1" applyBorder="1" applyAlignment="1">
      <alignment horizontal="center" vertical="center"/>
    </xf>
    <xf numFmtId="0" fontId="0" fillId="13" borderId="12" xfId="0" quotePrefix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vertical="center"/>
    </xf>
    <xf numFmtId="0" fontId="0" fillId="13" borderId="0" xfId="0" applyNumberFormat="1" applyFill="1" applyAlignment="1">
      <alignment horizontal="center" vertical="center"/>
    </xf>
    <xf numFmtId="0" fontId="0" fillId="13" borderId="12" xfId="0" applyNumberFormat="1" applyFill="1" applyBorder="1" applyAlignment="1">
      <alignment horizontal="center" vertical="center"/>
    </xf>
    <xf numFmtId="0" fontId="0" fillId="13" borderId="0" xfId="0" applyNumberFormat="1" applyFill="1" applyAlignment="1">
      <alignment horizontal="left" vertical="center"/>
    </xf>
    <xf numFmtId="43" fontId="2" fillId="13" borderId="0" xfId="1" applyNumberFormat="1" applyFont="1" applyFill="1" applyBorder="1" applyAlignment="1">
      <alignment horizontal="center" vertical="center"/>
    </xf>
    <xf numFmtId="43" fontId="2" fillId="13" borderId="0" xfId="1" applyNumberFormat="1" applyFont="1" applyFill="1" applyAlignment="1">
      <alignment horizontal="center" vertical="center"/>
    </xf>
    <xf numFmtId="0" fontId="2" fillId="13" borderId="0" xfId="0" applyNumberFormat="1" applyFont="1" applyFill="1" applyAlignment="1">
      <alignment horizontal="center" vertical="center"/>
    </xf>
    <xf numFmtId="0" fontId="0" fillId="13" borderId="0" xfId="0" quotePrefix="1" applyNumberFormat="1" applyFill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5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43" fontId="13" fillId="2" borderId="10" xfId="1" applyFont="1" applyFill="1" applyBorder="1" applyAlignment="1">
      <alignment horizontal="center" vertical="center"/>
    </xf>
  </cellXfs>
  <cellStyles count="9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  <cellStyle name="Percent" xfId="8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ri Ramadhan" refreshedDate="46214.4161662037" createdVersion="8" refreshedVersion="8" minRefreshableVersion="3" recordCount="192" xr:uid="{14271D16-06CD-49A1-81CD-A428F8521F54}">
  <cacheSource type="worksheet">
    <worksheetSource name="Table43"/>
  </cacheSource>
  <cacheFields count="67">
    <cacheField name="CONCATENATE MAPPING" numFmtId="0">
      <sharedItems/>
    </cacheField>
    <cacheField name="No. Urut_x000a_Item Sama" numFmtId="0">
      <sharedItems containsString="0" containsBlank="1" containsNumber="1" containsInteger="1" minValue="1" maxValue="3"/>
    </cacheField>
    <cacheField name="NO" numFmtId="0">
      <sharedItems containsString="0" containsBlank="1" containsNumber="1" containsInteger="1" minValue="1" maxValue="172"/>
    </cacheField>
    <cacheField name="Kode Pcpl" numFmtId="0">
      <sharedItems containsBlank="1" containsMixedTypes="1" containsNumber="1" containsInteger="1" minValue="10002" maxValue="191704000" count="1315">
        <s v="040411111"/>
        <s v="050413100"/>
        <s v="050415100"/>
        <s v="050413200"/>
        <s v="050415200"/>
        <s v="040413100"/>
        <s v="040415100"/>
        <s v="040402200"/>
        <s v="050703100"/>
        <s v="050702100"/>
        <s v="050701100"/>
        <s v="050703101"/>
        <s v="050702101"/>
        <s v="050701101"/>
        <s v="040703101"/>
        <s v="040703100"/>
        <s v="040702101"/>
        <s v="040702100"/>
        <s v="040701101"/>
        <s v="040701100"/>
        <s v="070703292"/>
        <s v="070702292"/>
        <s v="070702391"/>
        <s v="070702000"/>
        <s v="070701292"/>
        <s v="070701000"/>
        <s v="052602001"/>
        <s v="050701293"/>
        <s v="072601000"/>
        <s v="050704293"/>
        <s v="072604000"/>
        <s v="050702293"/>
        <s v="072602000"/>
        <s v="050703293"/>
        <s v="072603000"/>
        <n v="112603000"/>
        <n v="112601000"/>
        <n v="112604000"/>
        <n v="112602000"/>
        <s v="051702001"/>
        <s v="051706001"/>
        <s v="051703003"/>
        <s v="051703002"/>
        <s v="051703001"/>
        <s v="051701003"/>
        <s v="051701002"/>
        <s v="051701495"/>
        <s v="051701012"/>
        <s v="051701001"/>
        <s v="051704001"/>
        <s v="051705002"/>
        <s v="051705001"/>
        <s v="051701400"/>
        <s v="051702400"/>
        <s v="051703400"/>
        <s v="051704400"/>
        <s v="051705400"/>
        <s v="051706400"/>
        <s v="051705000"/>
        <s v="051705401"/>
        <s v="071702204"/>
        <s v="071702302"/>
        <s v="071703204"/>
        <s v="071703302"/>
        <s v="071701204"/>
        <s v="071701302"/>
        <s v="071705204"/>
        <s v="071705302"/>
        <s v="071704302"/>
        <s v="071704204"/>
        <s v="061702300"/>
        <s v="061702502"/>
        <s v="061706300"/>
        <s v="061706502"/>
        <s v="061703300"/>
        <s v="061703502"/>
        <s v="061701300"/>
        <s v="061701502"/>
        <s v="061704300"/>
        <s v="061704502"/>
        <s v="061705300"/>
        <s v="061705502"/>
        <s v="061703004"/>
        <s v="061704003"/>
        <s v="061705004"/>
        <s v="061701003"/>
        <n v="161702000"/>
        <n v="101701006"/>
        <n v="171701001"/>
        <n v="171701000"/>
        <s v="081722100"/>
        <s v="081722200"/>
        <s v="081723100"/>
        <s v="081721100"/>
        <s v="191701306"/>
        <n v="191702002"/>
        <s v="191701307"/>
        <m/>
        <n v="191703000"/>
        <n v="191702000"/>
        <s v="191704000"/>
        <n v="191702001"/>
        <n v="191702003"/>
        <n v="191701700"/>
        <s v="041716400"/>
        <s v="041720400"/>
        <s v="041717400"/>
        <s v="041715400"/>
        <s v="041718400"/>
        <s v="041719400"/>
        <s v="041701000"/>
        <s v="041703000"/>
        <s v="041703100"/>
        <s v="041702001"/>
        <s v="051706300"/>
        <s v="051703300"/>
        <s v="051704300"/>
        <s v="051705300"/>
        <s v="051702300"/>
        <s v="051702700"/>
        <s v="051702800"/>
        <s v="051706700"/>
        <s v="051706800"/>
        <s v="051703700"/>
        <s v="051703800"/>
        <s v="051701700"/>
        <s v="051701800"/>
        <s v="051704700"/>
        <s v="051704800"/>
        <s v="051701300"/>
        <s v="051705700"/>
        <s v="051705800"/>
        <s v="101701007"/>
        <s v="101701009"/>
        <n v="101701008"/>
        <s v="101702001"/>
        <n v="131702001"/>
        <n v="131703001"/>
        <s v="052504400"/>
        <s v="052506401"/>
        <s v="052506002"/>
        <s v="052501800"/>
        <s v="052501902"/>
        <s v="052506402"/>
        <s v="052503901"/>
        <s v="052506602"/>
        <s v="052502400"/>
        <s v="052502901"/>
        <s v="052504500"/>
        <s v="052506501"/>
        <s v="052502500"/>
        <s v="052506000"/>
        <s v="052502402"/>
        <s v="052506702"/>
        <s v="052501004"/>
        <s v="052503002"/>
        <s v="052501600"/>
        <s v="052503400"/>
        <s v="052505400"/>
        <s v="052505003"/>
        <s v="052501500"/>
        <s v="052503500"/>
        <s v="052505500"/>
        <s v="042501702"/>
        <s v="042505001"/>
        <s v="042505800"/>
        <s v="042504004"/>
        <s v="042506800"/>
        <s v="042506008"/>
        <s v="042506012"/>
        <s v="042501800"/>
        <s v="042501008"/>
        <s v="042501011"/>
        <s v="042501102"/>
        <s v="042502800"/>
        <s v="042503004"/>
        <s v="042503800"/>
        <s v="042505005"/>
        <s v="042504800"/>
        <s v="042502008"/>
        <s v="042502500"/>
        <s v="042502501"/>
        <s v="042502503"/>
        <s v="042501703"/>
        <n v="52506000" u="1"/>
        <n v="100003468" u="1"/>
        <n v="100110193" u="1"/>
        <n v="100106534" u="1"/>
        <n v="60115" u="1"/>
        <n v="60052" u="1"/>
        <n v="100112697" u="1"/>
        <n v="100108910" u="1"/>
        <n v="100203" u="1"/>
        <n v="100002372" u="1"/>
        <n v="10061" u="1"/>
        <n v="100101774" u="1"/>
        <n v="10484494" u="1"/>
        <n v="100100102" u="1"/>
        <n v="100111473" u="1"/>
        <n v="100105822" u="1"/>
        <n v="100003012" u="1"/>
        <n v="100003204" u="1"/>
        <n v="100003332" u="1"/>
        <n v="100204" u="1"/>
        <n v="100003460" u="1"/>
        <n v="100106334" u="1"/>
        <n v="100112369" u="1"/>
        <n v="60116" u="1"/>
        <n v="60053" u="1"/>
        <n v="100101446" u="1"/>
        <n v="100004356" u="1"/>
        <n v="100205" u="1"/>
        <n v="100111022" u="1"/>
        <n v="100113009" u="1"/>
        <n v="10077" u="1"/>
        <n v="100101894" u="1"/>
        <n v="100003068" u="1"/>
        <n v="100003260" u="1"/>
        <n v="100111662" u="1"/>
        <n v="100003324" u="1"/>
        <n v="100106198" u="1"/>
        <n v="100109990" u="1"/>
        <n v="60117" u="1"/>
        <n v="100103302" u="1"/>
        <n v="60054" u="1"/>
        <n v="100113006" u="1"/>
        <n v="100003060" u="1"/>
        <n v="100111462" u="1"/>
        <n v="10030" u="1"/>
        <n v="100003252" u="1"/>
        <n v="100003316" u="1"/>
        <n v="100003380" u="1"/>
        <n v="100109982" u="1"/>
        <n v="100003508" u="1"/>
        <n v="100108374" u="1"/>
        <n v="100101366" u="1"/>
        <n v="100004212" u="1"/>
        <n v="100000425" u="1"/>
        <n v="100004340" u="1"/>
        <n v="60118" u="1"/>
        <n v="60055" u="1"/>
        <n v="100103614" u="1"/>
        <n v="100109142" u="1"/>
        <n v="100112870" u="1"/>
        <n v="100111326" u="1"/>
        <n v="100105798" u="1"/>
        <n v="10109" u="1"/>
        <n v="100109910" u="1"/>
        <n v="100112286" u="1"/>
        <n v="100110486" u="1"/>
        <n v="100112862" u="1"/>
        <n v="60119" u="1"/>
        <n v="60056" u="1"/>
        <n v="100111254" u="1"/>
        <n v="100100075" u="1"/>
        <n v="100003305" u="1"/>
        <n v="100003369" u="1"/>
        <n v="100111958" u="1"/>
        <n v="100112342" u="1"/>
        <n v="100101227" u="1"/>
        <n v="100002273" u="1"/>
        <n v="100004329" u="1"/>
        <n v="100101803" u="1"/>
        <n v="60120" u="1"/>
        <n v="100100067" u="1"/>
        <n v="60057" u="1"/>
        <n v="100100131" u="1"/>
        <n v="100100259" u="1"/>
        <n v="100003297" u="1"/>
        <n v="100003361" u="1"/>
        <n v="100106358" u="1"/>
        <n v="100113750" u="1"/>
        <n v="100106550" u="1"/>
        <n v="100112462" u="1"/>
        <n v="100101347" u="1"/>
        <n v="100004193" u="1"/>
        <n v="100103531" u="1"/>
        <n v="100101795" u="1"/>
        <n v="410066" u="1"/>
        <n v="100109566" u="1"/>
        <n v="60121" u="1"/>
        <n v="100003033" u="1"/>
        <n v="100003161" u="1"/>
        <n v="100100443" u="1"/>
        <n v="410068" u="1"/>
        <n v="100003289" u="1"/>
        <n v="100003417" u="1"/>
        <n v="10374203" u="1"/>
        <n v="10094" u="1"/>
        <n v="10031" u="1"/>
        <n v="150291" u="1"/>
        <n v="100108918" u="1"/>
        <n v="410072" u="1"/>
        <n v="150292" u="1"/>
        <n v="100004377" u="1"/>
        <n v="100103523" u="1"/>
        <n v="100111102" u="1"/>
        <n v="100111166" u="1"/>
        <n v="100101787" u="1"/>
        <n v="410073" u="1"/>
        <n v="100002897" u="1"/>
        <n v="1059929" u="1"/>
        <n v="100100435" u="1"/>
        <n v="1059933" u="1"/>
        <n v="100113670" u="1"/>
        <n v="10374202" u="1"/>
        <n v="150294" u="1"/>
        <n v="10110" u="1"/>
        <n v="100106539" u="1"/>
        <n v="100112318" u="1"/>
        <n v="100101267" u="1"/>
        <n v="150295" u="1"/>
        <n v="12001" u="1"/>
        <n v="100112830" u="1"/>
        <n v="100002441" u="1"/>
        <n v="100103515" u="1"/>
        <n v="100003017" u="1"/>
        <n v="100003209" u="1"/>
        <n v="100003337" u="1"/>
        <n v="60060" u="1"/>
        <n v="100975" u="1"/>
        <n v="100003465" u="1"/>
        <n v="150298" u="1"/>
        <n v="120011" u="1"/>
        <n v="10063" u="1"/>
        <n v="150299" u="1"/>
        <n v="100002369" u="1"/>
        <n v="100103379" u="1"/>
        <n v="100976" u="1"/>
        <n v="100100099" u="1"/>
        <n v="100220" u="1"/>
        <n v="100003009" u="1"/>
        <n v="100003329" u="1"/>
        <n v="60124" u="1"/>
        <n v="60061" u="1"/>
        <n v="100101059" u="1"/>
        <n v="100221" u="1"/>
        <n v="100108707" u="1"/>
        <n v="100002681" u="1"/>
        <n v="100103627" u="1"/>
        <n v="100111147" u="1"/>
        <n v="100101891" u="1"/>
        <n v="100111467" u="1"/>
        <n v="100222" u="1"/>
        <n v="100003321" u="1"/>
        <n v="100109987" u="1"/>
        <n v="60125" u="1"/>
        <n v="60062" u="1"/>
        <n v="900005" u="1"/>
        <n v="100113003" u="1"/>
        <n v="100100083" u="1"/>
        <n v="100003057" u="1"/>
        <n v="100003313" u="1"/>
        <n v="100003377" u="1"/>
        <n v="100109979" u="1"/>
        <n v="191704000" u="1"/>
        <n v="100001582" u="1"/>
        <n v="100111971" u="1"/>
        <n v="60063" u="1"/>
        <n v="100981" u="1"/>
        <n v="100101363" u="1"/>
        <n v="100004209" u="1"/>
        <n v="100004337" u="1"/>
        <n v="100225" u="1"/>
        <n v="100112867" u="1"/>
        <n v="10048" u="1"/>
        <n v="100111323" u="1"/>
        <n v="100105795" u="1"/>
        <n v="100111515" u="1"/>
        <n v="100003054" u="1"/>
        <n v="100109907" u="1"/>
        <n v="100226" u="1"/>
        <n v="100001638" u="1"/>
        <n v="100001766" u="1"/>
        <n v="60001" u="1"/>
        <n v="100103411" u="1"/>
        <n v="100004334" u="1"/>
        <n v="100111251" u="1"/>
        <n v="100109579" u="1"/>
        <n v="12018" u="1"/>
        <n v="100003302" u="1"/>
        <n v="100109963" u="1"/>
        <n v="100003366" u="1"/>
        <n v="100106363" u="1"/>
        <n v="100111955" u="1"/>
        <n v="100001694" u="1"/>
        <n v="100100840" u="1"/>
        <n v="100106555" u="1"/>
        <n v="100228" u="1"/>
        <n v="100101352" u="1"/>
        <n v="60065" u="1"/>
        <n v="60002" u="1"/>
        <n v="100004326" u="1"/>
        <n v="100112851" u="1"/>
        <n v="100101800" u="1"/>
        <n v="100002718" u="1"/>
        <n v="100229" u="1"/>
        <n v="100100064" u="1"/>
        <n v="100003166" u="1"/>
        <n v="150319" u="1"/>
        <n v="100003230" u="1"/>
        <n v="100986" u="1"/>
        <n v="100106547" u="1"/>
        <n v="150320" u="1"/>
        <n v="100112267" u="1"/>
        <n v="100101344" u="1"/>
        <n v="100987" u="1"/>
        <n v="60003" u="1"/>
        <n v="100101792" u="1"/>
        <n v="100111235" u="1"/>
        <n v="100100120" u="1"/>
        <n v="100103848" u="1"/>
        <n v="10096" u="1"/>
        <n v="460054" u="1"/>
        <n v="100100440" u="1"/>
        <n v="100003222" u="1"/>
        <n v="100113675" u="1"/>
        <n v="100003350" u="1"/>
        <n v="460055" u="1"/>
        <n v="460056" u="1"/>
        <n v="100108915" u="1"/>
        <n v="100004374" u="1"/>
        <n v="100111099" u="1"/>
        <n v="100111163" u="1"/>
        <n v="100101784" u="1"/>
        <n v="60067" u="1"/>
        <n v="60004" u="1"/>
        <n v="460060" u="1"/>
        <n v="100100112" u="1"/>
        <n v="100100240" u="1"/>
        <n v="100003022" u="1"/>
        <n v="460061" u="1"/>
        <n v="100233" u="1"/>
        <n v="100100432" u="1"/>
        <n v="10112" u="1"/>
        <n v="100003214" u="1"/>
        <n v="100003342" u="1"/>
        <n v="100003406" u="1"/>
        <n v="100106536" u="1"/>
        <n v="100112507" u="1"/>
        <n v="100234" u="1"/>
        <n v="100002374" u="1"/>
        <n v="100103512" u="1"/>
        <n v="100101776" u="1"/>
        <n v="150329" u="1"/>
        <n v="60068" u="1"/>
        <n v="100991" u="1"/>
        <n v="100100232" u="1"/>
        <n v="100003014" u="1"/>
        <n v="100003206" u="1"/>
        <n v="100001470" u="1"/>
        <n v="100003334" u="1"/>
        <n v="100111987" u="1"/>
        <n v="100112371" u="1"/>
        <n v="10002" u="1"/>
        <n v="100002366" u="1"/>
        <n v="150332" u="1"/>
        <n v="100236" u="1"/>
        <n v="100004358" u="1"/>
        <n v="100002686" u="1"/>
        <n v="120028" u="1"/>
        <n v="100100096" u="1"/>
        <n v="150333" u="1"/>
        <n v="150081" u="1"/>
        <n v="60006" u="1"/>
        <n v="100003262" u="1"/>
        <n v="1062272" u="1"/>
        <n v="100106200" u="1"/>
        <n v="100003454" u="1"/>
        <n v="100109992" u="1"/>
        <n v="10081" u="1"/>
        <n v="120029" u="1"/>
        <n v="10018" u="1"/>
        <n v="10489794" u="1"/>
        <n v="100111080" u="1"/>
        <n v="100238" u="1"/>
        <n v="120030" u="1"/>
        <n v="100002998" u="1"/>
        <n v="100003062" u="1"/>
        <n v="100111464" u="1"/>
        <n v="100003254" u="1"/>
        <n v="60070" u="1"/>
        <n v="100109984" u="1"/>
        <n v="100100792" u="1"/>
        <n v="100108376" u="1"/>
        <n v="10097" u="1"/>
        <n v="120031" u="1"/>
        <n v="10489793" u="1"/>
        <n v="100101368" u="1"/>
        <n v="100110880" u="1"/>
        <n v="100109144" u="1"/>
        <n v="100109208" u="1"/>
        <n v="100100272" u="1"/>
        <n v="120032" u="1"/>
        <n v="100100400" u="1"/>
        <n v="150341" u="1"/>
        <n v="60071" u="1"/>
        <n v="100111968" u="1"/>
        <n v="100001771" u="1"/>
        <n v="100112288" u="1"/>
        <n v="100101232" u="1"/>
        <n v="10113" u="1"/>
        <n v="10489792" u="1"/>
        <n v="100101360" u="1"/>
        <n v="120033" u="1"/>
        <n v="100002347" u="1"/>
        <n v="100112864" u="1"/>
        <n v="12004" u="1"/>
        <n v="100111256" u="1"/>
        <n v="100100077" u="1"/>
        <n v="100003051" u="1"/>
        <n v="120034" u="1"/>
        <n v="100003307" u="1"/>
        <n v="100003371" u="1"/>
        <n v="100111960" u="1"/>
        <n v="60072" u="1"/>
        <n v="100001763" u="1"/>
        <n v="60009" u="1"/>
        <n v="100110416" u="1"/>
        <n v="100112344" u="1"/>
        <n v="10489791" u="1"/>
        <n v="100112408" u="1"/>
        <n v="120035" u="1"/>
        <n v="100004203" u="1"/>
        <n v="10066" u="1"/>
        <n v="1062376" u="1"/>
        <n v="100004331" u="1"/>
        <n v="12020" u="1"/>
        <n v="100111248" u="1"/>
        <n v="100003235" u="1"/>
        <n v="100003299" u="1"/>
        <n v="100003363" u="1"/>
        <n v="100106360" u="1"/>
        <n v="100106552" u="1"/>
        <n v="150349" u="1"/>
        <n v="100112272" u="1"/>
        <n v="60010" u="1"/>
        <n v="100112464" u="1"/>
        <n v="100101349" u="1"/>
        <n v="150350" u="1"/>
        <n v="100004195" u="1"/>
        <n v="10082" u="1"/>
        <n v="100003163" u="1"/>
        <n v="100003227" u="1"/>
        <n v="100003483" u="1"/>
        <n v="100112456" u="1"/>
        <n v="100101341" u="1"/>
        <n v="10098" u="1"/>
        <n v="100101789" u="1"/>
        <n v="100100117" u="1"/>
        <n v="100111424" u="1"/>
        <n v="100100437" u="1"/>
        <n v="100003219" u="1"/>
        <n v="100003283" u="1"/>
        <n v="100113672" u="1"/>
        <n v="100003347" u="1"/>
        <n v="100106541" u="1"/>
        <n v="100003987" u="1"/>
        <n v="100108912" u="1"/>
        <n v="60075" u="1"/>
        <n v="100112832" u="1"/>
        <n v="100103517" u="1"/>
        <n v="10114" u="1"/>
        <n v="100103965" u="1"/>
        <n v="100003019" u="1"/>
        <n v="100003211" u="1"/>
        <n v="100003339" u="1"/>
        <n v="100104413" u="1"/>
        <n v="100003467" u="1"/>
        <n v="10492077" u="1"/>
        <n v="100108909" u="1"/>
        <n v="100002371" u="1"/>
        <n v="100004235" u="1"/>
        <n v="100103381" u="1"/>
        <n v="60076" u="1"/>
        <n v="60013" u="1"/>
        <n v="100101773" u="1"/>
        <n v="100105821" u="1"/>
        <n v="100003011" u="1"/>
        <n v="10067" u="1"/>
        <n v="100003203" u="1"/>
        <n v="400129" u="1"/>
        <n v="100003331" u="1"/>
        <n v="100106205" u="1"/>
        <n v="10004" u="1"/>
        <n v="100003459" u="1"/>
        <n v="400130" u="1"/>
        <n v="400131" u="1"/>
        <n v="100108709" u="1"/>
        <n v="400132" u="1"/>
        <n v="400133" u="1"/>
        <n v="100113008" u="1"/>
        <n v="400134" u="1"/>
        <n v="100105557" u="1"/>
        <n v="60014" u="1"/>
        <n v="100101893" u="1"/>
        <n v="100109477" u="1"/>
        <n v="400135" u="1"/>
        <n v="100003067" u="1"/>
        <n v="400136" u="1"/>
        <n v="100111661" u="1"/>
        <n v="10083" u="1"/>
        <n v="100003323" u="1"/>
        <n v="100100605" u="1"/>
        <n v="100106197" u="1"/>
        <n v="100109989" u="1"/>
        <n v="400137" u="1"/>
        <n v="10476413" u="1"/>
        <n v="400138" u="1"/>
        <n v="10476212" u="1"/>
        <n v="400139" u="1"/>
        <n v="400140" u="1"/>
        <n v="60078" u="1"/>
        <n v="60015" u="1"/>
        <n v="100003059" u="1"/>
        <n v="100104133" u="1"/>
        <n v="100003315" u="1"/>
        <n v="100003379" u="1"/>
        <n v="10099" u="1"/>
        <n v="100109981" u="1"/>
        <n v="100113773" u="1"/>
        <n v="10476412" u="1"/>
        <n v="150119" u="1"/>
        <n v="10476211" u="1"/>
        <n v="100101365" u="1"/>
        <n v="100004211" u="1"/>
        <n v="100004339" u="1"/>
        <n v="100109141" u="1"/>
        <n v="100112869" u="1"/>
        <n v="100109205" u="1"/>
        <n v="10491511" u="1"/>
        <n v="100111325" u="1"/>
        <n v="100105797" u="1"/>
        <n v="60016" u="1"/>
        <n v="100111709" u="1"/>
        <n v="100109909" u="1"/>
        <n v="10115" u="1"/>
        <n v="10476411" u="1"/>
        <n v="100002216" u="1"/>
        <n v="100108877" u="1"/>
        <n v="10493109" u="1"/>
        <n v="100002472" u="1"/>
        <n v="100111253" u="1"/>
        <n v="100113437" u="1"/>
        <n v="60080" u="1"/>
        <n v="60017" u="1"/>
        <n v="460164" u="1"/>
        <n v="10492040" u="1"/>
        <n v="100003304" u="1"/>
        <n v="100003368" u="1"/>
        <n v="100111957" u="1"/>
        <n v="460165" u="1"/>
        <n v="100106557" u="1"/>
        <n v="460166" u="1"/>
        <n v="100108677" u="1"/>
        <n v="100002080" u="1"/>
        <n v="460167" u="1"/>
        <n v="460168" u="1"/>
        <n v="100004328" u="1"/>
        <n v="460169" u="1"/>
        <n v="100101802" u="1"/>
        <n v="100100066" u="1"/>
        <n v="460170" u="1"/>
        <n v="100003040" u="1"/>
        <n v="460171" u="1"/>
        <n v="150129" u="1"/>
        <n v="100003296" u="1"/>
        <n v="100108157" u="1"/>
        <n v="60081" u="1"/>
        <n v="100003360" u="1"/>
        <n v="100113749" u="1"/>
        <n v="460172" u="1"/>
        <n v="100110085" u="1"/>
        <n v="100106549" u="1"/>
        <n v="100112269" u="1"/>
        <n v="460174" u="1"/>
        <n v="100112461" u="1"/>
        <n v="100101346" u="1"/>
        <n v="100002392" u="1"/>
        <n v="100103530" u="1"/>
        <n v="100101794" u="1"/>
        <n v="100111237" u="1"/>
        <n v="100103850" u="1"/>
        <n v="100109565" u="1"/>
        <n v="150132" u="1"/>
        <n v="100111429" u="1"/>
        <n v="100003032" u="1"/>
        <n v="100100314" u="1"/>
        <n v="460178" u="1"/>
        <n v="100003224" u="1"/>
        <n v="100003288" u="1"/>
        <n v="460179" u="1"/>
        <n v="100003416" u="1"/>
        <n v="60082" u="1"/>
        <n v="10100" u="1"/>
        <n v="10493307" u="1"/>
        <n v="460182" u="1"/>
        <n v="100002384" u="1"/>
        <n v="100112837" u="1"/>
        <n v="460183" u="1"/>
        <n v="100004376" u="1"/>
        <n v="100111101" u="1"/>
        <n v="100111165" u="1"/>
        <n v="10493130" u="1"/>
        <n v="100100114" u="1"/>
        <n v="100002896" u="1"/>
        <n v="460185" u="1"/>
        <n v="100109877" u="1"/>
        <n v="100003216" u="1"/>
        <n v="460186" u="1"/>
        <n v="10493909" u="1"/>
        <n v="100003280" u="1"/>
        <n v="100003344" u="1"/>
        <n v="100110197" u="1"/>
        <n v="460187" u="1"/>
        <n v="100106538" u="1"/>
        <n v="60083" u="1"/>
        <n v="100112317" u="1"/>
        <n v="60020" u="1"/>
        <n v="460188" u="1"/>
        <n v="460189" u="1"/>
        <n v="10493306" u="1"/>
        <n v="100002376" u="1"/>
        <n v="100112829" u="1"/>
        <n v="460190" u="1"/>
        <n v="100002440" u="1"/>
        <n v="10493129" u="1"/>
        <n v="100101778" u="1"/>
        <n v="460191" u="1"/>
        <n v="460192" u="1"/>
        <n v="100100234" u="1"/>
        <n v="100111541" u="1"/>
        <n v="10493892" u="1"/>
        <n v="460193" u="1"/>
        <n v="100003208" u="1"/>
        <n v="100003272" u="1"/>
        <n v="100003336" u="1"/>
        <n v="100111989" u="1"/>
        <n v="460194" u="1"/>
        <n v="100003464" u="1"/>
        <n v="460195" u="1"/>
        <n v="10493040" u="1"/>
        <n v="60084" u="1"/>
        <n v="60021" u="1"/>
        <n v="100002368" u="1"/>
        <n v="10132" u="1"/>
        <n v="100141" u="1"/>
        <n v="100109162" u="1"/>
        <n v="10493128" u="1"/>
        <n v="12023" u="1"/>
        <n v="100003008" u="1"/>
        <n v="100003328" u="1"/>
        <n v="100106202" u="1"/>
        <n v="10493039" u="1"/>
        <n v="1056730" u="1"/>
        <n v="60022" u="1"/>
        <n v="1056731" u="1"/>
        <n v="10493127" u="1"/>
        <n v="100002680" u="1"/>
        <n v="100103626" u="1"/>
        <n v="100100090" u="1"/>
        <n v="100003000" u="1"/>
        <n v="612953" u="1"/>
        <n v="100111466" u="1"/>
        <n v="100001264" u="1"/>
        <n v="612954" u="1"/>
        <n v="100111658" u="1"/>
        <n v="612955" u="1"/>
        <n v="100003320" u="1"/>
        <n v="612956" u="1"/>
        <n v="100109986" u="1"/>
        <n v="100003512" u="1"/>
        <n v="612957" u="1"/>
        <n v="150148" u="1"/>
        <n v="612958" u="1"/>
        <n v="60086" u="1"/>
        <n v="60023" u="1"/>
        <n v="10493126" u="1"/>
        <n v="100109146" u="1"/>
        <n v="100113002" u="1"/>
        <n v="100100082" u="1"/>
        <n v="150150" u="1"/>
        <n v="10101" u="1"/>
        <n v="100003056" u="1"/>
        <n v="100003312" u="1"/>
        <n v="100003376" u="1"/>
        <n v="100109978" u="1"/>
        <n v="100003504" u="1"/>
        <n v="100111970" u="1"/>
        <n v="100001773" u="1"/>
        <n v="100101362" u="1"/>
        <n v="100004208" u="1"/>
        <n v="100004336" u="1"/>
        <n v="150153" u="1"/>
        <n v="100112866" u="1"/>
        <n v="100111322" u="1"/>
        <n v="150154" u="1"/>
        <n v="100100207" u="1"/>
        <n v="10117" u="1"/>
        <n v="100003053" u="1"/>
        <n v="100109906" u="1"/>
        <n v="100111962" u="1"/>
        <n v="100001765" u="1"/>
        <n v="100102898" u="1"/>
        <n v="10445624" u="1"/>
        <n v="100004333" u="1"/>
        <n v="100112858" u="1"/>
        <n v="60088" u="1"/>
        <n v="100111250" u="1"/>
        <n v="60025" u="1"/>
        <n v="10133" u="1"/>
        <n v="100003301" u="1"/>
        <n v="100003365" u="1"/>
        <n v="100106362" u="1"/>
        <n v="100110026" u="1"/>
        <n v="100001693" u="1"/>
        <n v="100106554" u="1"/>
        <n v="150159" u="1"/>
        <n v="100108674" u="1"/>
        <n v="100004325" u="1"/>
        <n v="100112850" u="1"/>
        <n v="100101799" u="1"/>
        <n v="100002717" u="1"/>
        <n v="100100063" u="1"/>
        <n v="60089" u="1"/>
        <n v="100003165" u="1"/>
        <n v="150162" u="1"/>
        <n v="100151" u="1"/>
        <n v="100003357" u="1"/>
        <n v="100003421" u="1"/>
        <n v="10086" u="1"/>
        <n v="100106546" u="1"/>
        <n v="150163" u="1"/>
        <n v="100112458" u="1"/>
        <n v="100101343" u="1"/>
        <n v="150164" u="1"/>
        <n v="100100119" u="1"/>
        <n v="100103847" u="1"/>
        <n v="60090" u="1"/>
        <n v="60027" u="1"/>
        <n v="100100439" u="1"/>
        <n v="100113674" u="1"/>
        <n v="100003349" u="1"/>
        <n v="150166" u="1"/>
        <n v="10102" u="1"/>
        <n v="10039" u="1"/>
        <n v="150167" u="1"/>
        <n v="100108914" u="1"/>
        <n v="100103519" u="1"/>
        <n v="100111162" u="1"/>
        <n v="150168" u="1"/>
        <n v="100101783" u="1"/>
        <n v="100003021" u="1"/>
        <n v="100100431" u="1"/>
        <n v="100003213" u="1"/>
        <n v="60091" u="1"/>
        <n v="60028" u="1"/>
        <n v="100003341" u="1"/>
        <n v="100003469" u="1"/>
        <n v="100110194" u="1"/>
        <n v="100106535" u="1"/>
        <n v="100108719" u="1"/>
        <n v="150171" u="1"/>
        <n v="100108911" u="1"/>
        <n v="12009" u="1"/>
        <n v="612042" u="1"/>
        <n v="10446110" u="1"/>
        <n v="612043" u="1"/>
        <n v="100111090" u="1"/>
        <n v="612044" u="1"/>
        <n v="100101775" u="1"/>
        <n v="612045" u="1"/>
        <n v="150172" u="1"/>
        <n v="100100103" u="1"/>
        <n v="100156" u="1"/>
        <n v="612046" u="1"/>
        <n v="100105823" u="1"/>
        <n v="612047" u="1"/>
        <n v="100003013" u="1"/>
        <n v="100113530" u="1"/>
        <n v="100003205" u="1"/>
        <n v="100001469" u="1"/>
        <n v="150173" u="1"/>
        <n v="100003333" u="1"/>
        <n v="100003397" u="1"/>
        <n v="100111986" u="1"/>
        <n v="60092" u="1"/>
        <n v="100003461" u="1"/>
        <n v="60029" u="1"/>
        <n v="10134" u="1"/>
        <n v="150174" u="1"/>
        <n v="150175" u="1"/>
        <n v="100004357" u="1"/>
        <n v="100113010" u="1"/>
        <n v="100100095" u="1"/>
        <n v="100101895" u="1"/>
        <n v="150176" u="1"/>
        <n v="100003069" u="1"/>
        <n v="100158" u="1"/>
        <n v="100111663" u="1"/>
        <n v="100003325" u="1"/>
        <n v="100106199" u="1"/>
        <n v="100109991" u="1"/>
        <n v="150177" u="1"/>
        <n v="60093" u="1"/>
        <n v="60030" u="1"/>
        <n v="100112367" u="1"/>
        <n v="150178" u="1"/>
        <n v="100103303" u="1"/>
        <n v="100113007" u="1"/>
        <n v="100003061" u="1"/>
        <n v="100111463" u="1"/>
        <n v="150180" u="1"/>
        <n v="100003253" u="1"/>
        <n v="100003317" u="1"/>
        <n v="100109983" u="1"/>
        <n v="10496741" u="1"/>
        <n v="150181" u="1"/>
        <n v="60094" u="1"/>
        <n v="60031" u="1"/>
        <n v="100101367" u="1"/>
        <n v="100161" u="1"/>
        <n v="100004341" u="1"/>
        <n v="612087" u="1"/>
        <n v="100109143" u="1"/>
        <n v="100109207" u="1"/>
        <n v="100111327" u="1"/>
        <n v="100105799" u="1"/>
        <n v="612091" u="1"/>
        <n v="100001194" u="1"/>
        <n v="150184" u="1"/>
        <n v="100162" u="1"/>
        <n v="100106375" u="1"/>
        <n v="100111967" u="1"/>
        <n v="612095" u="1"/>
        <n v="612096" u="1"/>
        <n v="100001770" u="1"/>
        <n v="100112287" u="1"/>
        <n v="612098" u="1"/>
        <n v="60095" u="1"/>
        <n v="10415658" u="1"/>
        <n v="100002218" u="1"/>
        <n v="612100" u="1"/>
        <n v="150186" u="1"/>
        <n v="100112863" u="1"/>
        <n v="100163" u="1"/>
        <n v="600001" u="1"/>
        <n v="100111255" u="1"/>
        <n v="150187" u="1"/>
        <n v="100003050" u="1"/>
        <n v="100001250" u="1"/>
        <n v="100003306" u="1"/>
        <n v="100003370" u="1"/>
        <n v="100111959" u="1"/>
        <n v="150188" u="1"/>
        <n v="100001762" u="1"/>
        <n v="100112343" u="1"/>
        <n v="100108679" u="1"/>
        <n v="10415657" u="1"/>
        <n v="100101228" u="1"/>
        <n v="150189" u="1"/>
        <n v="60096" u="1"/>
        <n v="100004202" u="1"/>
        <n v="10135" u="1"/>
        <n v="150190" u="1"/>
        <n v="100165" u="1"/>
        <n v="100100068" u="1"/>
        <n v="100100260" u="1"/>
        <n v="150191" u="1"/>
        <n v="10496706" u="1"/>
        <n v="100003234" u="1"/>
        <n v="100003298" u="1"/>
        <n v="100003362" u="1"/>
        <n v="100106359" u="1"/>
        <n v="100113751" u="1"/>
        <n v="100106551" u="1"/>
        <n v="150192" u="1"/>
        <n v="100166" u="1"/>
        <n v="100112463" u="1"/>
        <n v="612128" u="1"/>
        <n v="100101348" u="1"/>
        <n v="100108927" u="1"/>
        <n v="10497059" u="1"/>
        <n v="150193" u="1"/>
        <n v="100004194" u="1"/>
        <n v="612130" u="1"/>
        <n v="60097" u="1"/>
        <n v="100103532" u="1"/>
        <n v="100101796" u="1"/>
        <n v="150194" u="1"/>
        <n v="612134" u="1"/>
        <n v="100100316" u="1"/>
        <n v="10496705" u="1"/>
        <n v="100003162" u="1"/>
        <n v="100003226" u="1"/>
        <n v="612137" u="1"/>
        <n v="100108151" u="1"/>
        <n v="100003354" u="1"/>
        <n v="100003418" u="1"/>
        <n v="190031" u="1"/>
        <n v="612141" u="1"/>
        <n v="150196" u="1"/>
        <n v="100168" u="1"/>
        <n v="100112455" u="1"/>
        <n v="100101340" u="1"/>
        <n v="10367046" u="1"/>
        <n v="100111103" u="1"/>
        <n v="100111167" u="1"/>
        <n v="60098" u="1"/>
        <n v="60035" u="1"/>
        <n v="190034" u="1"/>
        <n v="100100436" u="1"/>
        <n v="10496712" u="1"/>
        <n v="100003282" u="1"/>
        <n v="100113671" u="1"/>
        <n v="100003346" u="1"/>
        <n v="10480600" u="1"/>
        <n v="190035" u="1"/>
        <n v="100106540" u="1"/>
        <n v="100112319" u="1"/>
        <n v="10415646" u="1"/>
        <n v="190036" u="1"/>
        <n v="100112831" u="1"/>
        <n v="100002442" u="1"/>
        <n v="100004370" u="1"/>
        <n v="100103516" u="1"/>
        <n v="100101780" u="1"/>
        <n v="60099" u="1"/>
        <n v="100100236" u="1"/>
        <n v="100003018" u="1"/>
        <n v="10481258" u="1"/>
        <n v="150202" u="1"/>
        <n v="100003210" u="1"/>
        <n v="10120" u="1"/>
        <n v="10480599" u="1"/>
        <n v="100003466" u="1"/>
        <n v="190039" u="1"/>
        <n v="150960" u="1"/>
        <n v="100108908" u="1"/>
        <n v="150204" u="1"/>
        <n v="100002370" u="1"/>
        <n v="100004234" u="1"/>
        <n v="100103380" u="1"/>
        <n v="100172" u="1"/>
        <n v="190040" u="1"/>
        <n v="100101772" u="1"/>
        <n v="150961" u="1"/>
        <n v="100100100" u="1"/>
        <n v="100105820" u="1"/>
        <n v="60100" u="1"/>
        <n v="190041" u="1"/>
        <n v="60037" u="1"/>
        <n v="10481257" u="1"/>
        <n v="100109676" u="1"/>
        <n v="100003202" u="1"/>
        <n v="10480598" u="1"/>
        <n v="100003330" u="1"/>
        <n v="100106204" u="1"/>
        <n v="150206" u="1"/>
        <n v="100173" u="1"/>
        <n v="100003458" u="1"/>
        <n v="190043" u="1"/>
        <n v="100174" u="1"/>
        <n v="100103628" u="1"/>
        <n v="100105556" u="1"/>
        <n v="100111148" u="1"/>
        <n v="100101892" u="1"/>
        <n v="100109476" u="1"/>
        <n v="100003066" u="1"/>
        <n v="100111468" u="1"/>
        <n v="150209" u="1"/>
        <n v="60101" u="1"/>
        <n v="60038" u="1"/>
        <n v="100003322" u="1"/>
        <n v="100100604" u="1"/>
        <n v="100109988" u="1"/>
        <n v="100100796" u="1"/>
        <n v="150210" u="1"/>
        <n v="10089" u="1"/>
        <n v="150211" u="1"/>
        <n v="190047" u="1"/>
        <n v="100113004" u="1"/>
        <n v="100101948" u="1"/>
        <n v="100176" u="1"/>
        <n v="100003058" u="1"/>
        <n v="100104132" u="1"/>
        <n v="100003314" u="1"/>
        <n v="100003378" u="1"/>
        <n v="60102" u="1"/>
        <n v="100109980" u="1"/>
        <n v="60039" u="1"/>
        <n v="100113772" u="1"/>
        <n v="100111972" u="1"/>
        <n v="190050" u="1"/>
        <n v="100101364" u="1"/>
        <n v="150971" u="1"/>
        <n v="10042" u="1"/>
        <n v="100004210" u="1"/>
        <n v="100004338" u="1"/>
        <n v="190051" u="1"/>
        <n v="100112868" u="1"/>
        <n v="100109204" u="1"/>
        <n v="100111324" u="1"/>
        <n v="100105796" u="1"/>
        <n v="100003055" u="1"/>
        <n v="100109908" u="1"/>
        <n v="100003311" u="1"/>
        <n v="150217" u="1"/>
        <n v="100003375" u="1"/>
        <n v="60103" u="1"/>
        <n v="100003503" u="1"/>
        <n v="60040" u="1"/>
        <n v="150218" u="1"/>
        <n v="100179" u="1"/>
        <n v="100002215" u="1"/>
        <n v="100108876" u="1"/>
        <n v="150975" u="1"/>
        <n v="100002471" u="1"/>
        <n v="100004335" u="1"/>
        <n v="150219" u="1"/>
        <n v="12012" u="1"/>
        <n v="100111252" u="1"/>
        <n v="150976" u="1"/>
        <n v="100109580" u="1"/>
        <n v="100180" u="1"/>
        <n v="110013" u="1"/>
        <n v="100003303" u="1"/>
        <n v="100003367" u="1"/>
        <n v="100106364" u="1"/>
        <n v="100111956" u="1"/>
        <n v="150221" u="1"/>
        <n v="100100841" u="1"/>
        <n v="100106556" u="1"/>
        <n v="60104" u="1"/>
        <n v="190057" u="1"/>
        <n v="150978" u="1"/>
        <n v="100108676" u="1"/>
        <n v="100101225" u="1"/>
        <n v="100181" u="1"/>
        <n v="110014" u="1"/>
        <n v="10074" u="1"/>
        <n v="100004327" u="1"/>
        <n v="100112852" u="1"/>
        <n v="100101801" u="1"/>
        <n v="100100129" u="1"/>
        <n v="100111500" u="1"/>
        <n v="100003039" u="1"/>
        <n v="100003231" u="1"/>
        <n v="100108156" u="1"/>
        <n v="100003359" u="1"/>
        <n v="100100833" u="1"/>
        <n v="100106548" u="1"/>
        <n v="100112268" u="1"/>
        <n v="60105" u="1"/>
        <n v="60042" u="1"/>
        <n v="100112460" u="1"/>
        <n v="100101345" u="1"/>
        <n v="150226" u="1"/>
        <n v="10090" u="1"/>
        <n v="110016" u="1"/>
        <n v="100101793" u="1"/>
        <n v="100111236" u="1"/>
        <n v="100103849" u="1"/>
        <n v="100109564" u="1"/>
        <n v="100100313" u="1"/>
        <n v="100113420" u="1"/>
        <n v="100001295" u="1"/>
        <n v="100100441" u="1"/>
        <n v="100003223" u="1"/>
        <n v="100003287" u="1"/>
        <n v="100003351" u="1"/>
        <n v="110017" u="1"/>
        <n v="60106" u="1"/>
        <n v="100108916" u="1"/>
        <n v="60043" u="1"/>
        <n v="100103521" u="1"/>
        <n v="100111100" u="1"/>
        <n v="150230" u="1"/>
        <n v="100111164" u="1"/>
        <n v="100101785" u="1"/>
        <n v="10106" u="1"/>
        <n v="10483781" u="1"/>
        <n v="110018" u="1"/>
        <n v="100002895" u="1"/>
        <n v="100100241" u="1"/>
        <n v="150231" u="1"/>
        <n v="100003215" u="1"/>
        <n v="100003279" u="1"/>
        <n v="100003343" u="1"/>
        <n v="100110196" u="1"/>
        <n v="150232" u="1"/>
        <n v="100186" u="1"/>
        <n v="100106537" u="1"/>
        <n v="150233" u="1"/>
        <n v="60107" u="1"/>
        <n v="100103513" u="1"/>
        <n v="10483780" u="1"/>
        <n v="150234" u="1"/>
        <n v="100187" u="1"/>
        <n v="100003015" u="1"/>
        <n v="100003207" u="1"/>
        <n v="150235" u="1"/>
        <n v="100001471" u="1"/>
        <n v="12013" u="1"/>
        <n v="100111988" u="1"/>
        <n v="100188" u="1"/>
        <n v="100002367" u="1"/>
        <n v="100101449" u="1"/>
        <n v="60108" u="1"/>
        <n v="100003007" u="1"/>
        <n v="100189" u="1"/>
        <n v="10386537" u="1"/>
        <n v="10075" u="1"/>
        <n v="100003263" u="1"/>
        <n v="100003327" u="1"/>
        <n v="100106201" u="1"/>
        <n v="100003455" u="1"/>
        <n v="100109993" u="1"/>
        <n v="150239" u="1"/>
        <n v="10483417" u="1"/>
        <n v="150240" u="1"/>
        <n v="150241" u="1"/>
        <n v="10499440" u="1"/>
        <n v="100103625" u="1"/>
        <n v="60109" u="1"/>
        <n v="100100089" u="1"/>
        <n v="60046" u="1"/>
        <n v="100002999" u="1"/>
        <n v="10499263" u="1"/>
        <n v="100003063" u="1"/>
        <n v="100111465" u="1"/>
        <n v="100191" u="1"/>
        <n v="100003255" u="1"/>
        <n v="100003319" u="1"/>
        <n v="100109985" u="1"/>
        <n v="100100793" u="1"/>
        <n v="100101369" u="1"/>
        <n v="100192" u="1"/>
        <n v="100110881" u="1"/>
        <n v="100109145" u="1"/>
        <n v="100109209" u="1"/>
        <n v="100100081" u="1"/>
        <n v="60110" u="1"/>
        <n v="100100273" u="1"/>
        <n v="60047" u="1"/>
        <n v="10499262" u="1"/>
        <n v="100100337" u="1"/>
        <n v="100193" u="1"/>
        <n v="10107" u="1"/>
        <n v="100111969" u="1"/>
        <n v="100001772" u="1"/>
        <n v="100101361" u="1"/>
        <n v="100194" u="1"/>
        <n v="100112865" u="1"/>
        <n v="60111" u="1"/>
        <n v="100003052" u="1"/>
        <n v="100113441" u="1"/>
        <n v="60048" u="1"/>
        <n v="460917" u="1"/>
        <n v="100003308" u="1"/>
        <n v="100003372" u="1"/>
        <n v="100111961" u="1"/>
        <n v="10123" u="1"/>
        <n v="100195" u="1"/>
        <n v="460918" u="1"/>
        <n v="100001764" u="1"/>
        <n v="100102897" u="1"/>
        <n v="100101230" u="1"/>
        <n v="100004204" u="1"/>
        <n v="460921" u="1"/>
        <n v="100004332" u="1"/>
        <n v="10483783" u="1"/>
        <n v="100111249" u="1"/>
        <n v="60112" u="1"/>
        <n v="60049" u="1"/>
        <n v="100003300" u="1"/>
        <n v="100109961" u="1"/>
        <n v="100003364" u="1"/>
        <n v="100106361" u="1"/>
        <n v="100110025" u="1"/>
        <n v="100106553" u="1"/>
        <n v="100112465" u="1"/>
        <n v="100101350" u="1"/>
        <n v="100004324" u="1"/>
        <n v="100112849" u="1"/>
        <n v="10483782" u="1"/>
        <n v="100100062" u="1"/>
        <n v="100003164" u="1"/>
        <n v="100003228" u="1"/>
        <n v="100108153" u="1"/>
        <n v="60113" u="1"/>
        <n v="60050" u="1"/>
        <n v="10484360" u="1"/>
        <n v="100112457" u="1"/>
        <n v="10092" u="1"/>
        <n v="100101342" u="1"/>
        <n v="10029" u="1"/>
        <n v="100101790" u="1"/>
        <n v="100111169" u="1"/>
        <n v="100100118" u="1"/>
        <n v="100109625" u="1"/>
        <n v="100003284" u="1"/>
        <n v="100113673" u="1"/>
        <n v="100003348" u="1"/>
        <n v="60114" u="1"/>
        <n v="60051" u="1"/>
        <n v="100106542" u="1"/>
        <n v="100108721" u="1"/>
        <n v="100201" u="1"/>
        <n v="10108" u="1"/>
        <n v="100103518" u="1"/>
        <n v="100111161" u="1"/>
        <n v="100101782" u="1"/>
        <n v="100003020" u="1"/>
        <n v="100202" u="1"/>
      </sharedItems>
    </cacheField>
    <cacheField name="Klp Brg Pcpl" numFmtId="0">
      <sharedItems containsBlank="1"/>
    </cacheField>
    <cacheField name="Nama Barang Principle" numFmtId="0">
      <sharedItems containsBlank="1"/>
    </cacheField>
    <cacheField name="ISI/CTN" numFmtId="0">
      <sharedItems containsBlank="1" containsMixedTypes="1" containsNumber="1" containsInteger="1" minValue="1" maxValue="1000" count="39">
        <n v="6"/>
        <n v="24"/>
        <n v="72"/>
        <n v="48"/>
        <s v="48 RCG"/>
        <n v="12"/>
        <n v="96"/>
        <m/>
        <n v="120"/>
        <n v="144"/>
        <n v="18"/>
        <n v="100" u="1"/>
        <n v="36" u="1"/>
        <n v="330" u="1"/>
        <n v="1000" u="1"/>
        <n v="288" u="1"/>
        <n v="180" u="1"/>
        <n v="40" u="1"/>
        <n v="420" u="1"/>
        <n v="15" u="1"/>
        <n v="2" u="1"/>
        <n v="300" u="1"/>
        <n v="20" u="1"/>
        <n v="160" u="1"/>
        <n v="21" u="1"/>
        <n v="264" u="1"/>
        <n v="60" u="1"/>
        <n v="1" u="1"/>
        <n v="8" u="1"/>
        <n v="270" u="1"/>
        <n v="25" u="1"/>
        <n v="9" u="1"/>
        <n v="576" u="1"/>
        <n v="360" u="1"/>
        <n v="10" u="1"/>
        <n v="216" u="1"/>
        <n v="30" u="1"/>
        <n v="240" u="1"/>
        <n v="4" u="1"/>
      </sharedItems>
    </cacheField>
    <cacheField name="Ket. Tambahan / Pembantu" numFmtId="1">
      <sharedItems containsBlank="1" containsMixedTypes="1" containsNumber="1" containsInteger="1" minValue="899246535434" maxValue="8998946532105"/>
    </cacheField>
    <cacheField name="SATUAN Fix Win" numFmtId="0">
      <sharedItems containsMixedTypes="1" containsNumber="1" containsInteger="1" minValue="0" maxValue="0" count="14">
        <s v="BOX"/>
        <s v="PCH"/>
        <s v="PUMP"/>
        <s v="PCS"/>
        <s v="BTL"/>
        <s v="PACK"/>
        <s v="SCH"/>
        <s v="PCSX10"/>
        <s v="BTL "/>
        <s v="TUBE"/>
        <s v="PCH "/>
        <s v="JAR"/>
        <s v="TOPLES"/>
        <n v="0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1842">
        <s v="F4011100007010"/>
        <s v="F4012101040010"/>
        <s v="F4012102040010"/>
        <s v="F4012001048020"/>
        <s v="F4012002048020"/>
        <s v="F4013001007010"/>
        <s v="F4013002007010"/>
        <s v="F4021001010010"/>
        <s v="F4031101040010"/>
        <s v="F4031101040020"/>
        <s v="F4031102040020"/>
        <s v="F4031103040020"/>
        <s v="F4031001048030"/>
        <s v="F4031002048030"/>
        <s v="F4031003048010"/>
        <s v="F4032001007510"/>
        <s v="F4032001007520"/>
        <s v="F4032002007510"/>
        <s v="F4032002007520"/>
        <s v="F4032003007510"/>
        <s v="F4032003007520"/>
        <s v="F4041001020010"/>
        <s v="F4041002020010"/>
        <s v="F4041002000920"/>
        <s v="F4041002000930"/>
        <s v="F4041003020010"/>
        <s v="F4041003000920"/>
        <s v="F4041003000930"/>
        <s v="F4051001036011"/>
        <s v="F4052001018010"/>
        <s v="F4052001007010"/>
        <s v="F4052002018010"/>
        <s v="F4052002007010"/>
        <s v="F4052003018010"/>
        <s v="F4052003007010"/>
        <s v="F4052004018010"/>
        <s v="F4052004007010"/>
        <s v="F4053004003020"/>
        <s v="F4053001003020"/>
        <s v="F4053002003020"/>
        <s v="F4053003003020"/>
        <s v="F4061101038010"/>
        <s v="F4061102038010"/>
        <s v="F4061103038010"/>
        <s v="F4061103072510"/>
        <s v="F4061103008510"/>
        <s v="F4061104038010"/>
        <s v="F4061104072510"/>
        <s v="F4061104040011"/>
        <s v="F4061109008510"/>
        <s v="F4061110038010"/>
        <s v="F4061111038010"/>
        <s v="F4061111072510"/>
        <s v="F4061204042010"/>
        <s v="F4061301042010"/>
        <s v="F4061403042010"/>
        <s v="F4061510042010"/>
        <s v="F4061611042010"/>
        <s v="F4061702042010"/>
        <s v="F4061111150010"/>
        <s v="F4061111040011"/>
        <s v="F4062001010010"/>
        <s v="F4062001021010"/>
        <s v="F4062002010010"/>
        <s v="F4062002021010"/>
        <s v="F4062003010010"/>
        <s v="F4062003021010"/>
        <s v="F4062004010010"/>
        <s v="F4062004021010"/>
        <s v="F4062005021010"/>
        <s v="F4062005010010"/>
        <s v="F4063001011010"/>
        <s v="F4063001020010"/>
        <s v="F4063002011010"/>
        <s v="F4063002020010"/>
        <s v="F4063003011010"/>
        <s v="F4063003020010"/>
        <s v="F4063004011010"/>
        <s v="F4063004020010"/>
        <s v="F4063005011010"/>
        <s v="F4063005020010"/>
        <s v="F4063006011010"/>
        <s v="F4063006020010"/>
        <s v="F40630050200111"/>
        <s v="F40630030200111"/>
        <s v="F40630060200111"/>
        <s v="F40630040200111"/>
        <s v="F40690010030121"/>
        <s v="F4061001005010"/>
        <s v="F40610001030010"/>
        <s v="F40610001015010"/>
        <s v="F4064001013010"/>
        <s v="F4064001026010"/>
        <s v="F4064002013010"/>
        <s v="F4064003013010"/>
        <s v="F4065001008011"/>
        <s v="F4065001008012"/>
        <s v="F4065002008011"/>
        <s v="F4065002008012"/>
        <s v="F4065003002010"/>
        <s v="F4065003002013"/>
        <s v="F4065001002020"/>
        <s v="F4065004008020"/>
        <s v="F4066001008010"/>
        <s v="F4066002008010"/>
        <s v="F4066003008010"/>
        <s v="F4066004008010"/>
        <s v="F4066005008010"/>
        <s v="F4066006008010"/>
        <s v="F4066004006020"/>
        <s v="F4066003006020"/>
        <s v="F4066003006013"/>
        <s v="F4066006006020"/>
        <s v="F4066004006010"/>
        <s v="F4066003006010"/>
        <s v="F4067101018010"/>
        <s v="F4067102018010"/>
        <s v="F4067103018010"/>
        <s v="F4067104018010"/>
        <s v="F4067005018010"/>
        <s v="F4067005022530"/>
        <s v="F4067005048020"/>
        <s v="F4067006022530"/>
        <s v="F4067006048020"/>
        <s v="F4067007022530"/>
        <s v="F4067007048030"/>
        <s v="F4067008022530"/>
        <s v="F4067008048030"/>
        <s v="F4067009022530"/>
        <s v="F4067009048020"/>
        <s v="F4067010018010"/>
        <s v="F4067011022530"/>
        <s v="F4067011048020"/>
        <s v="F4068001002010"/>
        <s v="F4068002003020"/>
        <s v="F4068002001520"/>
        <s v="F4069001003010"/>
        <s v="F40611001001010"/>
        <s v="F40611002001010"/>
        <s v="F4071101040010"/>
        <s v="F4071102040010"/>
        <s v="F4071103080010"/>
        <s v="F4071103008510"/>
        <s v="F4071103040011"/>
        <s v="F4071104008510"/>
        <s v="F4071104040011"/>
        <s v="F4071105040010"/>
        <s v="F4071105008510"/>
        <s v="F4071001048030"/>
        <s v="F4071002048030"/>
        <s v="F4071003048030"/>
        <s v="F40711020085101"/>
        <s v="F4071105040011"/>
        <s v="F4071106040011"/>
        <s v="F4071103038010"/>
        <s v="F4071104038010"/>
        <s v="F4072101040010"/>
        <s v="F4072102040010"/>
        <s v="F4072103040010"/>
        <s v="F4072001048020"/>
        <s v="F4072002048020"/>
        <s v="F4072003048020"/>
        <s v="F4073101007010"/>
        <s v="F4073101008010"/>
        <s v="F4073002006010"/>
        <s v="F4073003007020"/>
        <s v="F4073004007020"/>
        <s v="F4073005007020"/>
        <s v="F4073005008010"/>
        <s v="F4073006007020"/>
        <s v="F4073007007020"/>
        <s v="F4073008007020"/>
        <s v="F4073208007020"/>
        <s v="F4073208006020"/>
        <s v="F4073101007010N"/>
        <s v=""/>
        <s v="K1090002010010" u="1"/>
        <s v="K1155013020010" u="1"/>
        <s v="K1161003028010" u="1"/>
        <s v="K1048002005010" u="1"/>
        <s v="K1161001000110" u="1"/>
        <s v="K1242004010010" u="1"/>
        <s v="K1045003015010" u="1"/>
        <s v="C1150005010010" u="1"/>
        <s v="C1390002010020" u="1"/>
        <s v="K1330005010010" u="1"/>
        <s v="K1256002005010" u="1"/>
        <s v="P2021005100120" u="1"/>
        <s v="C1270004010010" u="1"/>
        <s v="C1290003010010" u="1"/>
        <s v="K1190002005011" u="1"/>
        <s v="C1350005010010" u="1"/>
        <s v="C1390003010010" u="1"/>
        <s v="C1380003004010" u="1"/>
        <s v="K1241004015010" u="1"/>
        <s v="K1490001025020" u="1"/>
        <s v="C1020006005010" u="1"/>
        <s v="C1370003025020" u="1"/>
        <s v="M6120402000010" u="1"/>
        <s v="K1400006005010" u="1"/>
        <s v="C1240004006020" u="1"/>
        <s v="K1280002006010" u="1"/>
        <s v="P3011005030020" u="1"/>
        <s v="P3022001100120" u="1"/>
        <s v="K1048008004510" u="1"/>
        <s v="K1155002010020" u="1"/>
        <s v="K1155004050010" u="1"/>
        <s v="K1155003010010" u="1"/>
        <s v="K1155012010020" u="1"/>
        <s v="K1051004010010" u="1"/>
        <s v="M6130201006010" u="1"/>
        <s v="C1270004040020" u="1"/>
        <s v="K1030005000010" u="1"/>
        <s v="K1111006010010" u="1"/>
        <s v="K1437003018010" u="1"/>
        <s v="C1150006040010" u="1"/>
        <s v="C1350005040020" u="1"/>
        <s v="M6100011050040" u="1"/>
        <s v="C1330005028020" u="1"/>
        <s v="K1030015000010" u="1"/>
        <s v="K1380003020010" u="1"/>
        <s v="K1154003015010" u="1"/>
        <s v="P2011009030020" u="1"/>
        <s v="K1081002001810" u="1"/>
        <s v="K1153003005010" u="1"/>
        <s v="C1400008020010" u="1"/>
        <s v="M6010403065020" u="1"/>
        <s v="K1045003006010" u="1"/>
        <s v="K1157002006010" u="1"/>
        <s v="A1041005009010" u="1"/>
        <s v="K1082002002010" u="1"/>
        <s v="K1380002009010" u="1"/>
        <s v="M6100001025030" u="1"/>
        <s v="K1470003015010" u="1"/>
        <s v="M6100011025030" u="1"/>
        <s v="K1381002006010" u="1"/>
        <s v="P3011002100120" u="1"/>
        <s v="F4067005022510" u="1"/>
        <s v="M6030017001510" u="1"/>
        <s v="K1170003003010" u="1"/>
        <s v="K1155010001040" u="1"/>
        <s v="P2047103100520" u="1"/>
        <s v="K1156003025010" u="1"/>
        <s v="A1070002100110" u="1"/>
        <s v="C1080004010010" u="1"/>
        <s v="K1070002005020" u="1"/>
        <s v="K1340005010010" u="1"/>
        <s v="A1120009095010" u="1"/>
        <s v="P2011006100120" u="1"/>
        <s v="C1020100000000" u="1"/>
        <s v="C1360005010010" u="1"/>
        <s v="M6024105000210" u="1"/>
        <s v="K1190002005010" u="1"/>
        <s v="K1242004005010" u="1"/>
        <s v="K1251004015010" u="1"/>
        <s v="M6101011010030" u="1"/>
        <s v="K1490003025011" u="1"/>
        <s v="K1381002009010" u="1"/>
        <s v="M6100001015030" u="1"/>
        <s v="C1270004005010" u="1"/>
        <s v="M6100011015030" u="1"/>
        <s v="P3024001100120" u="1"/>
        <s v="K1046003020020" u="1"/>
        <s v="K1100002000140" u="1"/>
        <s v="K1330005006010" u="1"/>
        <s v="M6151000005010" u="1"/>
        <s v="C1417005050030" u="1"/>
        <s v="K1046004020010" u="1"/>
        <s v="K1070003020020" u="1"/>
        <s v="K1480002040030" u="1"/>
        <s v="M6153000012010" u="1"/>
        <s v="C1390002007020" u="1"/>
        <s v="K1070004020010" u="1"/>
        <s v="K1253004010010" u="1"/>
        <s v="P2044100050020" u="1"/>
        <s v="K1100005000110" u="1"/>
        <s v="M6123400000030" u="1"/>
        <s v="C1150006020010" u="1"/>
        <s v="K1330006020010" u="1"/>
        <s v="K1460001000120" u="1"/>
        <s v="A1092004045010" u="1"/>
        <s v="C1417005025020" u="1"/>
        <s v="K1255003005010" u="1"/>
        <s v="C1360007010710" u="1"/>
        <s v="K1460002000110" u="1"/>
        <s v="K1047003006010" u="1"/>
        <s v="K1111006005010" u="1"/>
        <s v="M6122201000020" u="1"/>
        <s v="K1081002012020" u="1"/>
        <s v="A1070005025010" u="1"/>
        <s v="C1417006025010" u="1"/>
        <s v="M6154000010010" u="1"/>
        <s v="M6050001010010" u="1"/>
        <s v="C1280004001010" u="1"/>
        <s v="M6033001001010" u="1"/>
        <s v="K1046003010020" u="1"/>
        <s v="K1155003020020" u="1"/>
        <s v="M6033011001010" u="1"/>
        <s v="K1180003003010" u="1"/>
        <s v="K1155013020020" u="1"/>
        <s v="M6062000012010" u="1"/>
        <s v="A1120008013011" u="1"/>
        <s v="K1048002005020" u="1"/>
        <s v="K1155009004510" u="1"/>
        <s v="K1155014020010" u="1"/>
        <s v="K1161004028010" u="1"/>
        <s v="P2045100050020" u="1"/>
        <s v="K1048003005010" u="1"/>
        <s v="K1242005010010" u="1"/>
        <s v="K1045004015010" u="1"/>
        <s v="C1001000000410" u="1"/>
        <s v="C1150006010010" u="1"/>
        <s v="K1330006010010" u="1"/>
        <s v="P2021006100120" u="1"/>
        <s v="K1190003005011" u="1"/>
        <s v="C1390004010010" u="1"/>
        <s v="C1380004004010" u="1"/>
        <s v="K1241005015010" u="1"/>
        <s v="M6063000010010" u="1"/>
        <s v="M6155000010010" u="1"/>
        <s v="A1011000092510" u="1"/>
        <s v="C1020007005010" u="1"/>
        <s v="C1080004005010" u="1"/>
        <s v="K1490003025010" u="1"/>
        <s v="M6120403000010" u="1"/>
        <s v="C1280004005010" u="1"/>
        <s v="K1155004050020" u="1"/>
        <s v="P3011006030020" u="1"/>
        <s v="K1380003006010" u="1"/>
        <s v="K1155003010020" u="1"/>
        <s v="K1155005050010" u="1"/>
        <s v="A1011000068512" u="1"/>
        <s v="M6030012001010" u="1"/>
        <s v="M6153000006010" u="1"/>
        <s v="C1040006020020" u="1"/>
        <s v="K1051005010010" u="1"/>
        <s v="C1011501020010" u="1"/>
        <s v="M6130202006010" u="1"/>
        <s v="K1030006000010" u="1"/>
        <s v="K1111007010010" u="1"/>
        <s v="K1155014010010" u="1"/>
        <s v="A1120008038010" u="1"/>
        <s v="K1030016000010" u="1"/>
        <s v="K1380004020010" u="1"/>
        <s v="K1154004015010" u="1"/>
        <s v="M6101002020030" u="1"/>
        <s v="K1081003001810" u="1"/>
        <s v="K1153004005010" u="1"/>
        <s v="M6160201040020" u="1"/>
        <s v="P2041100014020" u="1"/>
        <s v="K1158009012510" u="1"/>
        <s v="M6130002003010" u="1"/>
        <s v="C1400009020010" u="1"/>
        <s v="K1157003006010" u="1"/>
        <s v="A1011000082510" u="1"/>
        <s v="M6080200014010" u="1"/>
        <s v="K1082003002010" u="1"/>
        <s v="K1380003009010" u="1"/>
        <s v="C1281004005010" u="1"/>
        <s v="P3011003100120" u="1"/>
        <s v="F4067006022510" u="1"/>
        <s v="K1170004003010" u="1"/>
        <s v="M6062000006010" u="1"/>
        <s v="M6154000006010" u="1"/>
        <s v="A1120008027010" u="1"/>
        <s v="K1158011000910" u="1"/>
        <s v="A1120008013010" u="1"/>
        <s v="M6131202006010" u="1"/>
        <s v="K1156004025010" u="1"/>
        <s v="A1070003100110" u="1"/>
        <s v="C1080005010010" u="1"/>
        <s v="K1070003005020" u="1"/>
        <s v="K1340006010010" u="1"/>
        <s v="P2011007100120" u="1"/>
        <s v="M6131002003010" u="1"/>
        <s v="C1360006010010" u="1"/>
        <s v="K1190003005010" u="1"/>
        <s v="K1242005005010" u="1"/>
        <s v="K1251005015010" u="1"/>
        <s v="M6101012010030" u="1"/>
        <s v="K1490004025011" u="1"/>
        <s v="M6120002000020" u="1"/>
        <s v="P2011010100510" u="1"/>
        <s v="M6100002015030" u="1"/>
        <s v="P3024002100120" u="1"/>
        <s v="K1046004020020" u="1"/>
        <s v="K1330006006010" u="1"/>
        <s v="K1070004020020" u="1"/>
        <s v="M6152000002020" u="1"/>
        <s v="M6155000006010" u="1"/>
        <s v="K1480003040030" u="1"/>
        <s v="K1253005010010" u="1"/>
        <s v="C1011101020010" u="1"/>
        <s v="C1120007000020" u="1"/>
        <s v="K1100006000110" u="1"/>
        <s v="A1011100002741" u="1"/>
        <s v="A1120008000810" u="1"/>
        <s v="A1092005045010" u="1"/>
        <s v="K1255004005010" u="1"/>
        <s v="K1460003000110" u="1"/>
        <s v="K1047004006010" u="1"/>
        <s v="K1111007005010" u="1"/>
        <s v="K1081003012020" u="1"/>
        <s v="M6152000004020" u="1"/>
        <s v="A1070006025010" u="1"/>
        <s v="C1417007025010" u="1"/>
        <s v="M6130300001520" u="1"/>
        <s v="P3021003100120" u="1"/>
        <s v="K1155009004520" u="1"/>
        <s v="K1161001000130" u="1"/>
        <s v="K1180004003010" u="1"/>
        <s v="K1155005020010" u="1"/>
        <s v="K1155014020020" u="1"/>
        <s v="K1161004028020" u="1"/>
        <s v="M6062001012010" u="1"/>
        <s v="K1048003005020" u="1"/>
        <s v="K1048004005010" u="1"/>
        <s v="K1045005015010" u="1"/>
        <s v="C1020006005030" u="1"/>
        <s v="C1390004010020" u="1"/>
        <s v="C1380005004010" u="1"/>
        <s v="K1241006015010" u="1"/>
        <s v="K1490003025020" u="1"/>
        <s v="P2045100025020" u="1"/>
        <s v="K1490004025010" u="1"/>
        <s v="K1155005050020" u="1"/>
        <s v="M6042002001010" u="1"/>
        <s v="M6010102001510" u="1"/>
        <s v="P3011007030020" u="1"/>
        <s v="P3011204100120" u="1"/>
        <s v="M6030003001010" u="1"/>
        <s v="M6030013001010" u="1"/>
        <s v="K1155005010010" u="1"/>
        <s v="K1155014010020" u="1"/>
        <s v="A1011000068510" u="1"/>
        <s v="K1051006010010" u="1"/>
        <s v="C1011502020010" u="1"/>
        <s v="K1030007000010" u="1"/>
        <s v="K1102006000110" u="1"/>
        <s v="K1111008010010" u="1"/>
        <s v="K1046005001010" u="1"/>
        <s v="M6100004050030" u="1"/>
        <s v="K1030017000010" u="1"/>
        <s v="K1154005015010" u="1"/>
        <s v="K1153005001810" u="1"/>
        <s v="M6031002000020" u="1"/>
        <s v="P2046100025020" u="1"/>
        <s v="K1157004006010" u="1"/>
        <s v="K1270005001010" u="1"/>
        <s v="K1082004002010" u="1"/>
        <s v="K1380004009010" u="1"/>
        <s v="M6100003025030" u="1"/>
        <s v="C1281005005010" u="1"/>
        <s v="P3047101100520" u="1"/>
        <s v="A1130001022011B" u="1"/>
        <s v="C1400009022020" u="1"/>
        <s v="A1110000033510" u="1"/>
        <s v="M6062001006010" u="1"/>
        <s v="K1156005025010" u="1"/>
        <s v="C1011001000410" u="1"/>
        <s v="C1080006010010" u="1"/>
        <s v="K1070004005020" u="1"/>
        <s v="P2011008100120" u="1"/>
        <s v="K1251006015010" u="1"/>
        <s v="M6101013010030" u="1"/>
        <s v="P2011001100510" u="1"/>
        <s v="P2031000100510" u="1"/>
        <s v="K1270005005010" u="1"/>
        <s v="K1490005025011" u="1"/>
        <s v="M6120003000020" u="1"/>
        <s v="P2011011100510" u="1"/>
        <s v="A1100001042510" u="1"/>
        <s v="M6100013015030" u="1"/>
        <s v="P3024003100120" u="1"/>
        <s v="K1100004000140" u="1"/>
        <s v="K1253006010010" u="1"/>
        <s v="C1120008000020" u="1"/>
        <s v="K1100007000110" u="1"/>
        <s v="K1460003000120" u="1"/>
        <s v="A1092006045010" u="1"/>
        <s v="K1255005005010" u="1"/>
        <s v="K1460004000110" u="1"/>
        <s v="K1111008005010" u="1"/>
        <s v="P2045100101020" u="1"/>
        <s v="C1417008025010" u="1"/>
        <s v="M6090201001010" u="1"/>
        <s v="P3021004100120" u="1"/>
        <s v="K1155005020020" u="1"/>
        <s v="K1158005010010" u="1"/>
        <s v="K1180005003010" u="1"/>
        <s v="K1155006020010" u="1"/>
        <s v="M6024505000240" u="1"/>
        <s v="K1048004005020" u="1"/>
        <s v="A1110000027510" u="1"/>
        <s v="A1110000013510" u="1"/>
        <s v="K1048005005010" u="1"/>
        <s v="A1120007100110" u="1"/>
        <s v="M6090100000420" u="1"/>
        <s v="P2046100101020" u="1"/>
        <s v="C1380006004010" u="1"/>
        <s v="K1241007015010" u="1"/>
        <s v="K1490004025020" u="1"/>
        <s v="A1100001015511" u="1"/>
        <s v="C1080006005010" u="1"/>
        <s v="M6041001000910" u="1"/>
        <s v="K1490005025010" u="1"/>
        <s v="C1281006001010" u="1"/>
        <s v="C1280006005010" u="1"/>
        <s v="M6042003001010" u="1"/>
        <s v="P3011008030020" u="1"/>
        <s v="K1155005010020" u="1"/>
        <s v="M6030014001010" u="1"/>
        <s v="A1011000013510" u="1"/>
        <s v="K1102006000120" u="1"/>
        <s v="K1155006010010" u="1"/>
        <s v="K1046005001020" u="1"/>
        <s v="K1051007010010" u="1"/>
        <s v="K1030008000010" u="1"/>
        <s v="K1102007000110" u="1"/>
        <s v="K1111009010010" u="1"/>
        <s v="K1046006001010" u="1"/>
        <s v="K1153005005020" u="1"/>
        <s v="K1030018000010" u="1"/>
        <s v="K1082001001210" u="1"/>
        <s v="M6100015050030" u="1"/>
        <s v="K1157005006010" u="1"/>
        <s v="M6100004025030" u="1"/>
        <s v="P3047102100520" u="1"/>
        <s v="M6100014025030" u="1"/>
        <s v="P3011005100120" u="1"/>
        <s v="A1120010013510" u="1"/>
        <s v="K1156006025010" u="1"/>
        <s v="C1080007010010" u="1"/>
        <s v="A1110000100510" u="1"/>
        <s v="P2011009100120" u="1"/>
        <s v="K1270005005020" u="1"/>
        <s v="C1360008010010" u="1"/>
        <s v="K1158005006010" u="1"/>
        <s v="K1251007015010" u="1"/>
        <s v="P2011002100510" u="1"/>
        <s v="M6120004000020" u="1"/>
        <s v="A1100001015510" u="1"/>
        <s v="M6100004015030" u="1"/>
        <s v="A1100002042510" u="1"/>
        <s v="A1111001032510" u="1"/>
        <s v="M6140102001510" u="1"/>
        <s v="K1046007020010" u="1"/>
        <s v="C1120007000040" u="1"/>
        <s v="K1460002000140" u="1"/>
        <s v="K1253007010010" u="1"/>
        <s v="K1460003000130" u="1"/>
        <s v="C1120009000020" u="1"/>
        <s v="K1100008000110" u="1"/>
        <s v="K1460004000120" u="1"/>
        <s v="P2041100100120" u="1"/>
        <s v="C1417008025020" u="1"/>
        <s v="K1111009005010" u="1"/>
        <s v="C1280007001010" u="1"/>
        <s v="A1011000102510" u="1"/>
        <s v="M6143502001510" u="1"/>
        <s v="C1390002009510N" u="1"/>
        <s v="M6033004001010" u="1"/>
        <s v="M6062001012030" u="1"/>
        <s v="M6101010002150" u="1"/>
        <s v="P3021005100120" u="1"/>
        <s v="K1155006020020" u="1"/>
        <s v="M6061002002020" u="1"/>
        <s v="K1180006003010" u="1"/>
        <s v="K1155007020010" u="1"/>
        <s v="K1048005005020" u="1"/>
        <s v="A1120011033510" u="1"/>
        <s v="K1048006005010" u="1"/>
        <s v="A1120010007510" u="1"/>
        <s v="C1380007004010" u="1"/>
        <s v="F4067011004820" u="1"/>
        <s v="K1490005025020" u="1"/>
        <s v="C1080007005010" u="1"/>
        <s v="M6041002000910" u="1"/>
        <s v="C1280007005010" u="1"/>
        <s v="M6042004001010" u="1"/>
        <s v="A1111001012510" u="1"/>
        <s v="M6010104001510" u="1"/>
        <s v="P3011009030020" u="1"/>
        <s v="A1011000027520" u="1"/>
        <s v="M6030005001010" u="1"/>
        <s v="K1155006010020" u="1"/>
        <s v="M6030015001010" u="1"/>
        <s v="K1102007000120" u="1"/>
        <s v="K1051008010010" u="1"/>
        <s v="K1030009000010" u="1"/>
        <s v="K1102008000110" u="1"/>
        <s v="K1046007001010" u="1"/>
        <s v="M6100006050030" u="1"/>
        <s v="M6100015050040" u="1"/>
        <s v="K1030019000010" u="1"/>
        <s v="P2043100100120" u="1"/>
        <s v="K1157006006010" u="1"/>
        <s v="M6100005025030" u="1"/>
        <s v="P3047103100520" u="1"/>
        <s v="M6100015025030" u="1"/>
        <s v="P2022001102520" u="1"/>
        <s v="P2011104102020" u="1"/>
        <s v="P3011006100120" u="1"/>
        <s v="K1100009000831" u="1"/>
        <s v="F4067009022510" u="1"/>
        <s v="P2042001102510" u="1"/>
        <s v="A1120011013510" u="1"/>
        <s v="K1156007025010" u="1"/>
        <s v="P2024101100120" u="1"/>
        <s v="P2021302100120" u="1"/>
        <s v="C1360009010010" u="1"/>
        <s v="K1251008015010" u="1"/>
        <s v="P2051001100510" u="1"/>
        <s v="A1100002015510" u="1"/>
        <s v="F2020010170010" u="1"/>
        <s v="P3044100050020" u="1"/>
        <s v="F2020020170010" u="1"/>
        <s v="M6100015015030" u="1"/>
        <s v="K1046007020020" u="1"/>
        <s v="K1400001012510" u="1"/>
        <s v="K1046008020010" u="1"/>
        <s v="K1460003000140" u="1"/>
        <s v="K1210001100420" u="1"/>
        <s v="K1506000100420" u="1"/>
        <s v="K1253008010010" u="1"/>
        <s v="K1460004000130" u="1"/>
        <s v="C1390003007510N" u="1"/>
        <s v="P2021102100120" u="1"/>
        <s v="M6025109000210" u="1"/>
        <s v="M6062000012050" u="1"/>
        <s v="A1020001019510" u="1"/>
        <s v="K1300001001510" u="1"/>
        <s v="P3045100050020" u="1"/>
        <s v="P2048000102510" u="1"/>
        <s v="M6040005005010" u="1"/>
        <s v="P3021006100120" u="1"/>
        <s v="K1155007020020" u="1"/>
        <s v="K1158007010010" u="1"/>
        <s v="K1180007003010" u="1"/>
        <s v="F2020040160010" u="1"/>
        <s v="M6062004012010" u="1"/>
        <s v="K1048006005020" u="1"/>
        <s v="K1420010002510" u="1"/>
        <s v="A1120012033510" u="1"/>
        <s v="K1048007005010" u="1"/>
        <s v="P2022102100120" u="1"/>
        <s v="M6110101070010" u="1"/>
        <s v="C1320001004510" u="1"/>
        <s v="C1380008004010" u="1"/>
        <s v="M6063004010010" u="1"/>
        <s v="M6041003000910" u="1"/>
        <s v="K1301001001510" u="1"/>
        <s v="A1123001012510" u="1"/>
        <s v="M6042005001010" u="1"/>
        <s v="C1414001012510" u="1"/>
        <s v="P3041100014020" u="1"/>
        <s v="K1155009050010" u="1"/>
        <s v="M6030016001010" u="1"/>
        <s v="F2020010025011" u="1"/>
        <s v="K1102008000120" u="1"/>
        <s v="K1220001100420" u="1"/>
        <s v="K1300001007510" u="1"/>
        <s v="C1221001003510" u="1"/>
        <s v="M6100007050030" u="1"/>
        <s v="K1290001000310" u="1"/>
        <s v="K1157007006010" u="1"/>
        <s v="K1302001001510" u="1"/>
        <s v="M6062000006050" u="1"/>
        <s v="M6100006025030" u="1"/>
        <s v="F2010010240010" u="1"/>
        <s v="F2010020240010" u="1"/>
        <s v="P2022002102520" u="1"/>
        <s v="P3011007100120" u="1"/>
        <s v="F2010030020021" u="1"/>
        <s v="F2010030240010" u="1"/>
        <s v="P2042002102510" u="1"/>
        <s v="A1124001013510" u="1"/>
        <s v="A1020002013510" u="1"/>
        <s v="M6062004006010" u="1"/>
        <s v="P3011010100510" u="1"/>
        <s v="C1221001007510" u="1"/>
        <s v="A1120012013510" u="1"/>
        <s v="K1156008025010" u="1"/>
        <s v="M6063000005050" u="1"/>
        <s v="K1155008001010" u="1"/>
        <s v="M6064001001040" u="1"/>
        <s v="C1200101000210" u="1"/>
        <s v="K1158007006010" u="1"/>
        <s v="M6101016010030" u="1"/>
        <s v="P2051002100510" u="1"/>
        <s v="M6100006015030" u="1"/>
        <s v="F2030010150010" u="1"/>
        <s v="A1100004042510" u="1"/>
        <s v="K1046008020020" u="1"/>
        <s v="M6032006001010" u="1"/>
        <s v="K1100007000140" u="1"/>
        <s v="K1400002012510" u="1"/>
        <s v="K1046009020010" u="1"/>
        <s v="F2010020025021" u="1"/>
        <s v="F2020010025010" u="1"/>
        <s v="F2020020025010" u="1"/>
        <s v="A1011000100610" u="1"/>
        <s v="F2010010580010" u="1"/>
        <s v="F2010020580010" u="1"/>
        <s v="M6140100060010" u="1"/>
        <s v="M6062001012050" u="1"/>
        <s v="A1020002019510" u="1"/>
        <s v="F2010030580010" u="1"/>
        <s v="K1113001012510" u="1"/>
        <s v="K1300002001510" u="1"/>
        <s v="F2020010240010" u="1"/>
        <s v="K1121001012510" u="1"/>
        <s v="M6143504001510" u="1"/>
        <s v="F2020020240010" u="1"/>
        <s v="M6062003012030" u="1"/>
        <s v="C1161000012510" u="1"/>
        <s v="M6010306001510" u="1"/>
        <s v="F2040010175010" u="1"/>
        <s v="M6040006005010" u="1"/>
        <s v="F2020030240010" u="1"/>
        <s v="F2010030020020" u="1"/>
        <s v="K1158008010010" u="1"/>
        <s v="F2040020175010" u="1"/>
        <s v="P3045100025020" u="1"/>
        <s v="K1155009020010" u="1"/>
        <s v="K1048007005020" u="1"/>
        <s v="K1420011002510" u="1"/>
        <s v="K1114001010510" u="1"/>
        <s v="A1012000100610" u="1"/>
        <s v="M6141100060010" u="1"/>
        <s v="C1320002004510" u="1"/>
        <s v="C1400106020010" u="1"/>
        <s v="F2010040022020" u="1"/>
        <s v="K1301002001510" u="1"/>
        <s v="A1123002012510" u="1"/>
        <s v="K1155009050020" u="1"/>
        <s v="M6042006001010" u="1"/>
        <s v="M6010106001510" u="1"/>
        <s v="M6030007001010" u="1"/>
        <s v="C1414002012510" u="1"/>
        <s v="K1047009010010" u="1"/>
        <s v="P3046100025020" u="1"/>
        <s v="K1300001007520" u="1"/>
        <s v="M6030017001010" u="1"/>
        <s v="A1011003013510" u="1"/>
        <s v="K1155009010010" u="1"/>
        <s v="F2010020025020" u="1"/>
        <s v="C1221002003510" u="1"/>
        <s v="M6021401000240" u="1"/>
        <s v="C1240001007510" u="1"/>
        <s v="K1290001000320" u="1"/>
        <s v="M6100008050030" u="1"/>
        <s v="K1290002000310" u="1"/>
        <s v="K1302002001510" u="1"/>
        <s v="M6062001006050" u="1"/>
        <s v="M6100007025030" u="1"/>
        <s v="M6121300000010" u="1"/>
        <s v="F2041010150010" u="1"/>
        <s v="F2020040580010" u="1"/>
        <s v="P3011008100120" u="1"/>
        <s v="P2042003102510" u="1"/>
        <s v="P3011001100510" u="1"/>
        <s v="P3031000100510" u="1"/>
        <s v="K1450010002510" u="1"/>
        <s v="C1221002007510" u="1"/>
        <s v="M6025309000230" u="1"/>
        <s v="A1120013027510" u="1"/>
        <s v="K1155008001020" u="1"/>
        <s v="A1120013013510" u="1"/>
        <s v="K1156009025010" u="1"/>
        <s v="K1155009001010" u="1"/>
        <s v="M6140100070020" u="1"/>
        <s v="M6140300060020" u="1"/>
        <s v="M6101007010030" u="1"/>
        <s v="C1200102000210" u="1"/>
        <s v="P2031000050010" u="1"/>
        <s v="K1158008006010" u="1"/>
        <s v="P2011005100510" u="1"/>
        <s v="P2051003100510" u="1"/>
        <s v="A1100004015510" u="1"/>
        <s v="K1114001006510" u="1"/>
        <s v="M6100007015030" u="1"/>
        <s v="M6121100000010" u="1"/>
        <s v="M6130100010010" u="1"/>
        <s v="M6100017015030" u="1"/>
        <s v="K1046009020020" u="1"/>
        <s v="C1160001012510" u="1"/>
        <s v="K1100008000140" u="1"/>
        <s v="K1400003012510" u="1"/>
        <s v="M6032017001010" u="1"/>
        <s v="P3045100101020" u="1"/>
        <s v="C1211003003510" u="1"/>
        <s v="M6141300060020" u="1"/>
        <s v="F2062010180010" u="1"/>
        <s v="A1020003019510" u="1"/>
        <s v="K1113002012510" u="1"/>
        <s v="K1300003001510" u="1"/>
        <s v="M6101003002150" u="1"/>
        <s v="K1121002012510" u="1"/>
        <s v="K1155009020020" u="1"/>
        <s v="C1370001022510" u="1"/>
        <s v="K1420002002510" u="1"/>
        <s v="P3046100101020" u="1"/>
        <s v="K1420012002510" u="1"/>
        <s v="K1114002010510" u="1"/>
        <s v="C1320003004510" u="1"/>
        <s v="P2011010030020" u="1"/>
        <s v="A1100005015511" u="1"/>
        <s v="F2040010350010" u="1"/>
        <s v="F2040020350010" u="1"/>
        <s v="K1155009050030" u="1"/>
        <s v="A1123003012510" u="1"/>
        <s v="M6030008001010" u="1"/>
        <s v="C1414003012510" u="1"/>
        <s v="K1155009010020" u="1"/>
        <s v="A1011000030012" u="1"/>
        <s v="K1300003007510" u="1"/>
        <s v="C1221003003510" u="1"/>
        <s v="C1240002007510" u="1"/>
        <s v="K1290002000320" u="1"/>
        <s v="C1240002008510" u="1"/>
        <s v="K1047010012510" u="1"/>
        <s v="K1302003001510" u="1"/>
        <s v="M6100008025030" u="1"/>
        <s v="K1435001012510" u="1"/>
        <s v="P3011009100120" u="1"/>
        <s v="K1450001002510" u="1"/>
        <s v="P3011002100510" u="1"/>
        <s v="K1241001007510" u="1"/>
        <s v="K1450011002510" u="1"/>
        <s v="A1011000060010" u="1"/>
        <s v="C1221003007510" u="1"/>
        <s v="K1155009001020" u="1"/>
        <s v="K1436001010510" u="1"/>
        <s v="C1200103000210" u="1"/>
        <s v="C1000000000000" u="1"/>
        <s v="M6040007000020" u="1"/>
        <s v="P2011006100510" u="1"/>
        <s v="A1100005015510" u="1"/>
        <s v="K1114002006510" u="1"/>
        <s v="A1011000062010" u="1"/>
        <s v="M6100008015030" u="1"/>
        <s v="P2031000025010" u="1"/>
        <s v="K1434001006510" u="1"/>
        <s v="C1160002012510" u="1"/>
        <s v="P3041100100120" u="1"/>
        <s v="K1400004012510" u="1"/>
        <s v="C1131003003510" u="1"/>
        <s v="K1155010004510" u="1"/>
        <s v="A1030100000310" u="1"/>
        <s v="A1121000000710" u="1"/>
        <s v="M6124500000020" u="1"/>
        <s v="C1250001101520" u="1"/>
        <s v="A1020004019510" u="1"/>
        <s v="A1012000062010" u="1"/>
        <s v="K1113003012510" u="1"/>
        <s v="K1300004001510" u="1"/>
        <s v="K1121003012510" u="1"/>
        <s v="C1240002006020N" u="1"/>
        <s v="F2080010175010" u="1"/>
        <s v="C1370002022510" u="1"/>
        <s v="K1420003002510" u="1"/>
        <s v="C1270001037520" u="1"/>
        <s v="K1252001017510" u="1"/>
        <s v="C1400011072010" u="1"/>
        <s v="F2080020175010" u="1"/>
        <s v="K1420013002510" u="1"/>
        <s v="M6024402000240" u="1"/>
        <s v="K1114003010510" u="1"/>
        <s v="K1100003004520" u="1"/>
        <s v="C1400010040021" u="1"/>
        <s v="C1320004004510" u="1"/>
        <s v="P2011011030020" u="1"/>
        <s v="K1158010012510" u="1"/>
        <s v="C1400010020010" u="1"/>
        <s v="P3043100100120" u="1"/>
        <s v="A1120006102410" u="1"/>
        <s v="K1470001006511" u="1"/>
        <s v="M6030009001010" u="1"/>
        <s v="F2050010025020" u="1"/>
        <s v="A1011005027510" u="1"/>
        <s v="K1300003007520" u="1"/>
        <s v="K1502000090021" u="1"/>
        <s v="A1011005013510" u="1"/>
        <s v="F2051010115010" u="1"/>
        <s v="C1240002007520" u="1"/>
        <s v="F2050020025020" u="1"/>
        <s v="F2051020115010" u="1"/>
        <s v="C1240003007510" u="1"/>
        <s v="A1011000030010" u="1"/>
        <s v="K1480001100420" u="1"/>
        <s v="F2051030115010" u="1"/>
        <s v="M6101009020030" u="1"/>
        <s v="P3022001102520" u="1"/>
        <s v="P3011104102020" u="1"/>
        <s v="C1281001004510" u="1"/>
        <s v="P2020001030020" u="1"/>
        <s v="K1047001012510" u="1"/>
        <s v="F2062010360010" u="1"/>
        <s v="P3042001102510" u="1"/>
        <s v="K1047011012510" u="1"/>
        <s v="K1302004001510" u="1"/>
        <s v="M6031018000020" u="1"/>
        <s v="M6060004012050" u="1"/>
        <s v="F2030010400010" u="1"/>
        <s v="F2050010320010" u="1"/>
        <s v="C1400010010010" u="1"/>
        <s v="K1435002012510" u="1"/>
        <s v="F2050020320010" u="1"/>
        <s v="P3024101100120" u="1"/>
        <s v="P3021302100120" u="1"/>
        <s v="K1155008001040" u="1"/>
        <s v="P3051001100510" u="1"/>
        <s v="A1011000060020" u="1"/>
        <s v="K1241002007510" u="1"/>
        <s v="K1450012002510" u="1"/>
        <s v="M6100112002020" u="1"/>
        <s v="K1436002010510" u="1"/>
        <s v="F2020010850010" u="1"/>
        <s v="P2023001050020" u="1"/>
        <s v="C1000000000010" u="1"/>
        <s v="F2020020850010" u="1"/>
        <s v="C1400001040010" u="1"/>
        <s v="M6122301000020" u="1"/>
        <s v="F2020030850010" u="1"/>
        <s v="P2011007100510" u="1"/>
        <s v="F2050010685010" u="1"/>
        <s v="C1400011040010" u="1"/>
        <s v="K1114003006510" u="1"/>
        <s v="A1011001062010" u="1"/>
        <s v="F2050020685010" u="1"/>
        <s v="M6100009015030" u="1"/>
        <s v="K1434002006510" u="1"/>
        <s v="P3021102100120" u="1"/>
        <s v="K1400005012510" u="1"/>
        <s v="C1140000070022" u="1"/>
        <s v="K1254001007510" u="1"/>
        <s v="K1470001006510" u="1"/>
        <s v="K1502000090020" u="1"/>
        <s v="K1155010004520" u="1"/>
        <s v="A1121000058010" u="1"/>
        <s v="C1390001007510" u="1"/>
        <s v="P3048000102510" u="1"/>
        <s v="K1502000050010" u="1"/>
        <s v="C1140000045012" u="1"/>
        <s v="C1250002101520" u="1"/>
        <s v="K1157001012510" u="1"/>
        <s v="M6122101000020" u="1"/>
        <s v="M6160102060010" u="1"/>
        <s v="A1011000025010" u="1"/>
        <s v="F2020010600010" u="1"/>
        <s v="K1113004012510" u="1"/>
        <s v="F2020020600010" u="1"/>
        <s v="A1011001052010" u="1"/>
        <s v="K1121004012510" u="1"/>
        <s v="F2020030600010" u="1"/>
        <s v="F2060010200010" u="1"/>
        <s v="P3022102100120" u="1"/>
        <s v="C1400002072010" u="1"/>
        <s v="M6070100001010" u="1"/>
        <s v="F2060020200010" u="1"/>
        <s v="C1370003022510" u="1"/>
        <s v="K1420004002510" u="1"/>
        <s v="K1252002017510" u="1"/>
        <s v="F2060030200010" u="1"/>
        <s v="A1011000013010" u="1"/>
        <s v="A1120006033510" u="1"/>
        <s v="K1420014002510" u="1"/>
        <s v="K1114004010510" u="1"/>
        <s v="C1011201040010" u="1"/>
        <s v="C1284001004510" u="1"/>
        <s v="C1421001070010" u="1"/>
        <s v="A1110000000810" u="1"/>
        <s v="C1400011040021" u="1"/>
        <s v="K1158001012510" u="1"/>
        <s v="C1320005004510" u="1"/>
        <s v="C1400001020010" u="1"/>
        <s v="K1502000015012" u="1"/>
        <s v="M6080100010010" u="1"/>
        <s v="C1420001075010" u="1"/>
        <s v="M6040009008010" u="1"/>
        <s v="C1400011020010" u="1"/>
        <s v="F2061010200010" u="1"/>
        <s v="K1470002006511" u="1"/>
        <s v="C1400011022022" u="1"/>
        <s v="C1400010022020" u="1"/>
        <s v="C1240004007510" u="1"/>
        <s v="C1140000030011" u="1"/>
        <s v="K1480002100420" u="1"/>
        <s v="K1502000045022" u="1"/>
        <s v="P3022002102520" u="1"/>
        <s v="C1111000000010" u="1"/>
        <s v="C1281002004510" u="1"/>
        <s v="C1240004008510" u="1"/>
        <s v="K1047002012510" u="1"/>
        <s v="P3042002102510" u="1"/>
        <s v="K1047012012510" u="1"/>
        <s v="K1270002001510" u="1"/>
        <s v="M6062004006050" u="1"/>
        <s v="M6130600001520" u="1"/>
        <s v="K1435003012510" u="1"/>
        <s v="F2070010200010" u="1"/>
        <s v="F2070020200010" u="1"/>
        <s v="K1450003002510" u="1"/>
        <s v="K1155009001040" u="1"/>
        <s v="P3051002100510" u="1"/>
        <s v="K1241003007510" u="1"/>
        <s v="A1120006013510" u="1"/>
        <s v="K1436003010510" u="1"/>
        <s v="M6063004005050" u="1"/>
        <s v="C1390002007010N" u="1"/>
        <s v="A1011000008010" u="1"/>
        <s v="C1400002040010" u="1"/>
        <s v="C1400011040020" u="1"/>
        <s v="M6024006000210" u="1"/>
        <s v="P2011008100510" u="1"/>
        <s v="K1500000000010" u="1"/>
        <s v="K1114004006510" u="1"/>
        <s v="M6020007000210" u="1"/>
        <s v="A1120006001510" u="1"/>
        <s v="M6130400001520" u="1"/>
        <s v="K1400006012510" u="1"/>
        <s v="K1254002007510" u="1"/>
        <s v="K1470002006510" u="1"/>
        <s v="A1011006007510" u="1"/>
        <s v="C1140000070020" u="1"/>
        <s v="C1131005003510" u="1"/>
        <s v="K1210001050010" u="1"/>
        <s v="K1506000050010" u="1"/>
        <s v="C1390002007510" u="1"/>
        <s v="C1420001070020" u="1"/>
        <s v="C1140000030010" u="1"/>
        <s v="K1502000045021" u="1"/>
        <s v="C1210001010010" u="1"/>
        <s v="C1011601005010" u="1"/>
        <s v="C1300001018010" u="1"/>
        <s v="K1157002012510" u="1"/>
        <s v="M6160103060010" u="1"/>
        <s v="C1140000045010" u="1"/>
        <s v="M6040008000910" u="1"/>
        <s v="C1100001005010" u="1"/>
        <s v="F2060010400010" u="1"/>
        <s v="A1011002052010" u="1"/>
        <s v="C1200001001810" u="1"/>
        <s v="K1121005012510" u="1"/>
        <s v="C1390002009510" u="1"/>
        <s v="F2060020400010" u="1"/>
        <s v="M6010202001510" u="1"/>
        <s v="C1240004006020N" u="1"/>
        <s v="F2060030400010" u="1"/>
        <s v="K1420005002510" u="1"/>
        <s v="C1270003037520" u="1"/>
        <s v="C1400013072010" u="1"/>
        <s v="K1420015002510" u="1"/>
        <s v="A1120006007510" u="1"/>
        <s v="C1141001070010" u="1"/>
        <s v="K1501000003010" u="1"/>
        <s v="C1400002040021" u="1"/>
        <s v="C1284002004510" u="1"/>
        <s v="A1120006100510" u="1"/>
        <s v="C1211001010010" u="1"/>
        <s v="C1220001020010" u="1"/>
        <s v="C1400012040021" u="1"/>
        <s v="C1140001075010" u="1"/>
        <s v="C1300002020010" u="1"/>
        <s v="C1412001020010" u="1"/>
        <s v="K1158002012510" u="1"/>
        <s v="A1050000025011" u="1"/>
        <s v="C1011401005010" u="1"/>
        <s v="C1320006004510" u="1"/>
        <s v="C1310001000010" u="1"/>
        <s v="C1400002020010" u="1"/>
        <s v="C1411001010010" u="1"/>
        <s v="C1390002011520" u="1"/>
        <s v="C1101001005010" u="1"/>
        <s v="C1400012020010" u="1"/>
        <s v="K1502000015010" u="1"/>
        <s v="M6080300001020" u="1"/>
        <s v="C1300001009010" u="1"/>
        <s v="K1470003006511" u="1"/>
        <s v="A1011006013520" u="1"/>
        <s v="C1400001022020" u="1"/>
        <s v="K1049002004510" u="1"/>
        <s v="C1400011022020" u="1"/>
        <s v="C1240004007520" u="1"/>
        <s v="C1140000030021" u="1"/>
        <s v="K1480003100420" u="1"/>
        <s v="K1501000007010" u="1"/>
        <s v="A1050000020010" u="1"/>
        <s v="C1221001020010" u="1"/>
        <s v="C1281003004510" u="1"/>
        <s v="F2030010800010" u="1"/>
        <s v="C1220001010010" u="1"/>
        <s v="K1047003012510" u="1"/>
        <s v="K1502000045020" u="1"/>
        <s v="P3042003102510" u="1"/>
        <s v="C1300002010010" u="1"/>
        <s v="P2011010100120" u="1"/>
        <s v="K1047013012510" u="1"/>
        <s v="K1270003001510" u="1"/>
        <s v="C1221001035010" u="1"/>
        <s v="C1400012010010" u="1"/>
        <s v="C1210001005010" u="1"/>
        <s v="A1020002042010" u="1"/>
        <s v="F2070020400010" u="1"/>
        <s v="M6140201001510" u="1"/>
        <s v="K1450004002510" u="1"/>
        <s v="P3031000050010" u="1"/>
        <s v="P3011005100510" u="1"/>
        <s v="P3051003100510" u="1"/>
        <s v="K1241004007510" u="1"/>
        <s v="C1170001060012" u="1"/>
        <s v="C1390002007020N" u="1"/>
        <s v="K1436004010510" u="1"/>
        <s v="A1122001018011" u="1"/>
        <s v="A1100003030010" u="1"/>
        <s v="C1130001020010" u="1"/>
        <s v="C1400002040020" u="1"/>
        <s v="C1210002020010" u="1"/>
        <s v="C1221001010010" u="1"/>
        <s v="C1230001020010" u="1"/>
        <s v="K1504000000010" u="1"/>
        <s v="C1400012040020" u="1"/>
        <s v="C1413001010010" u="1"/>
        <s v="C1250001075010" u="1"/>
        <s v="P2011009100510" u="1"/>
        <s v="A1122001001811" u="1"/>
        <s v="A1050000025010" u="1"/>
        <s v="C1270003005520" u="1"/>
        <s v="C1400013040010" u="1"/>
        <s v="C1211001005010" u="1"/>
        <s v="K1506000090030" u="1"/>
        <s v="M6010305001010" u="1"/>
        <s v="K1254003007510" u="1"/>
        <s v="K1470003006510" u="1"/>
        <s v="C1140001070020" u="1"/>
        <s v="C1390002007520" u="1"/>
        <s v="C1022001010010" u="1"/>
        <s v="C1390003007510" u="1"/>
        <s v="K1210001010010" u="1"/>
        <s v="C1130001010010" u="1"/>
        <s v="C1231001020010" u="1"/>
        <s v="A1011003065010" u="1"/>
        <s v="C1210002010010" u="1"/>
        <s v="C1230001010010" u="1"/>
        <s v="K1503000008010" u="1"/>
        <s v="C1300002018010" u="1"/>
        <s v="K1157003012510" u="1"/>
        <s v="K1510001010010" u="1"/>
        <s v="C1020001005010" u="1"/>
        <s v="K1200001005010" u="1"/>
        <s v="C1100002005010" u="1"/>
        <s v="C1220001005010" u="1"/>
        <s v="C1330001025010" u="1"/>
        <s v="K1400001005010" u="1"/>
        <s v="C1390003009510" u="1"/>
        <s v="M6090101001010" u="1"/>
        <s v="K1420006002510" u="1"/>
        <s v="P3011010030020" u="1"/>
        <s v="A1120008033510" u="1"/>
        <s v="K1420016002510" u="1"/>
        <s v="M6024405000240" u="1"/>
        <s v="K1111001010010" u="1"/>
        <s v="K1506000120010" u="1"/>
        <s v="A1061000020010" u="1"/>
        <s v="C1415002050010" u="1"/>
        <s v="K1505001030010" u="1"/>
        <s v="C1284003004510" u="1"/>
        <s v="A1122001018010" u="1"/>
        <s v="C1131001010010" u="1"/>
        <s v="K1030010000010" u="1"/>
        <s v="C1220002020010" u="1"/>
        <s v="C1231001010010" u="1"/>
        <s v="C1400013040021" u="1"/>
        <s v="K1310001000010" u="1"/>
        <s v="K1010001015010" u="1"/>
        <s v="C1300003020010" u="1"/>
        <s v="C1412002020010" u="1"/>
        <s v="K1030020000010" u="1"/>
        <s v="K1158003012510" u="1"/>
        <s v="C1310002000010" u="1"/>
        <s v="C1400003020010" u="1"/>
        <s v="A1011100001510" u="1"/>
        <s v="C1021001005010" u="1"/>
        <s v="A1122001001810" u="1"/>
        <s v="C1220002035010" u="1"/>
        <s v="C1415001025010" u="1"/>
        <s v="C1400013020010" u="1"/>
        <s v="C1221001005010" u="1"/>
        <s v="C1300002009010" u="1"/>
        <s v="A1011100002510" u="1"/>
        <s v="M6142001001510" u="1"/>
        <s v="C1400002022020" u="1"/>
        <s v="A1012000013110" u="1"/>
        <s v="C1400012022020" u="1"/>
        <s v="A1122001007010" u="1"/>
        <s v="C1250001070020" u="1"/>
        <s v="K1112001010010" u="1"/>
        <s v="C1340001003011" u="1"/>
        <s v="K1410001003010" u="1"/>
        <s v="C1041001020010" u="1"/>
        <s v="C1140000010020" u="1"/>
        <s v="K1220001010010" u="1"/>
        <s v="M6020207000230" u="1"/>
        <s v="C1100003010010" u="1"/>
        <s v="C1221002020010" u="1"/>
        <s v="P2011001100120" u="1"/>
        <s v="C1220002010010" u="1"/>
        <s v="C1260000010010" u="1"/>
        <s v="K1047004012510" u="1"/>
        <s v="C1022001005010" u="1"/>
        <s v="C1040001025010" u="1"/>
        <s v="P2011011100120" u="1"/>
        <s v="K1047014012510" u="1"/>
        <s v="K1270004001510" u="1"/>
        <s v="C1030001005010" u="1"/>
        <s v="C1221002035010" u="1"/>
        <s v="C1416001025010" u="1"/>
        <s v="K1210001005010" u="1"/>
        <s v="C1360010010010" u="1"/>
        <s v="M6024110000210" u="1"/>
        <s v="C1130001005010" u="1"/>
        <s v="C1210002005010" u="1"/>
        <s v="K1010001006010" u="1"/>
        <s v="K1450005002510" u="1"/>
        <s v="P2043100102510" u="1"/>
        <s v="P3011006100510" u="1"/>
        <s v="K1241005007510" u="1"/>
        <s v="K1502000007020" u="1"/>
        <s v="A1120008013510" u="1"/>
        <s v="C1120001000020" u="1"/>
        <s v="P3031000025010" u="1"/>
        <s v="C1150001020010" u="1"/>
        <s v="C1400003040020" u="1"/>
        <s v="C1413003050010" u="1"/>
        <s v="K1330001020010" u="1"/>
        <s v="P2021201100120" u="1"/>
        <s v="C1221002010010" u="1"/>
        <s v="C1230002020010" u="1"/>
        <s v="A1050000025020" u="1"/>
        <s v="K1020001015010" u="1"/>
        <s v="P2020001100120" u="1"/>
        <s v="C1350001020010" u="1"/>
        <s v="C1400013040020" u="1"/>
        <s v="C1413002010010" u="1"/>
        <s v="K1111001005010" u="1"/>
        <s v="A1122002001811" u="1"/>
        <s v="C1161000025010" u="1"/>
        <s v="C1131001005010" u="1"/>
        <s v="A1120008001510" u="1"/>
        <s v="C1231001005010" u="1"/>
        <s v="M6100013000520" u="1"/>
        <s v="K1420001001010" u="1"/>
        <s v="M6100014000510" u="1"/>
        <s v="K1270003007520" u="1"/>
        <s v="K1320001003010" u="1"/>
        <s v="K1506000045031" u="1"/>
        <s v="K1122001010010" u="1"/>
        <s v="K1434001050010" u="1"/>
        <s v="C1390004007510" u="1"/>
        <s v="C1130002010010" u="1"/>
        <s v="C1150001010010" u="1"/>
        <s v="C1411002020020" u="1"/>
        <s v="K1330001010010" u="1"/>
        <s v="A1011004065010" u="1"/>
        <s v="K1021001015010" u="1"/>
        <s v="P2021001100120" u="1"/>
        <s v="C1210003010010" u="1"/>
        <s v="C1230002010010" u="1"/>
        <s v="C1042001025010" u="1"/>
        <s v="K1157004012510" u="1"/>
        <s v="K1220001001810" u="1"/>
        <s v="C1020002005010" u="1"/>
        <s v="K1200002005010" u="1"/>
        <s v="C1100003005010" u="1"/>
        <s v="C1261000015010" u="1"/>
        <s v="M6132500001220" u="1"/>
        <s v="C1220002005010" u="1"/>
        <s v="C1330002025010" u="1"/>
        <s v="K1020001006010" u="1"/>
        <s v="K1220001006010" u="1"/>
        <s v="K1100009003420" u="1"/>
        <s v="K1420007002510" u="1"/>
        <s v="C1240001006010" u="1"/>
        <s v="C1260000006010" u="1"/>
        <s v="K1101011003020" u="1"/>
        <s v="K1420017002510" u="1"/>
        <s v="K1155010050010" u="1"/>
        <s v="A1120008007510" u="1"/>
        <s v="C1040001020020" u="1"/>
        <s v="C1261000003010" u="1"/>
        <s v="A1122001018020" u="1"/>
        <s v="C1070001020011" u="1"/>
        <s v="K1030001000010" u="1"/>
        <s v="K1111002010010" u="1"/>
        <s v="A1061001020010" u="1"/>
        <s v="C1415003050010" u="1"/>
        <s v="C1284004004510" u="1"/>
        <s v="C1131002010010" u="1"/>
        <s v="C1330001028020" u="1"/>
        <s v="K1030011000010" u="1"/>
        <s v="K1230001000010" u="1"/>
        <s v="P2011005030020" u="1"/>
        <s v="P2022001100120" u="1"/>
        <s v="C1211003010010" u="1"/>
        <s v="C1231002010010" u="1"/>
        <s v="K1310002000010" u="1"/>
        <s v="K1431001010010" u="1"/>
        <s v="C1280005004510" u="1"/>
        <s v="K1010002015010" u="1"/>
        <s v="C1300004020010" u="1"/>
        <s v="C1412003020010" u="1"/>
        <s v="K1030021000010" u="1"/>
        <s v="K1131001011010" u="1"/>
        <s v="K1158004012510" u="1"/>
        <s v="C1415001025020" u="1"/>
        <s v="C1400004020010" u="1"/>
        <s v="A1080000025010" u="1"/>
        <s v="A1041001009010" u="1"/>
        <s v="A1122002001810" u="1"/>
        <s v="C1417001005010" u="1"/>
        <s v="C1221002005010" u="1"/>
        <s v="M6143202001510" u="1"/>
        <s v="P3020001030020" u="1"/>
        <s v="C1261000006010" u="1"/>
        <s v="K1113001007010" u="1"/>
        <s v="C1400013022020" u="1"/>
        <s v="F4067011022510" u="1"/>
        <s v="C1250002070020" u="1"/>
        <s v="C1020001104020" u="1"/>
        <s v="K1112002010010" u="1"/>
        <s v="C1340002003011" u="1"/>
        <s v="K1410002003010" u="1"/>
        <s v="K1506000045030" u="1"/>
        <s v="M6022608000230" u="1"/>
        <s v="C1041002020010" u="1"/>
        <s v="K1140001010010" u="1"/>
        <s v="A1100005040010" u="1"/>
        <s v="A1110001100110" u="1"/>
        <s v="C1221003020010" u="1"/>
        <s v="K1340001010010" u="1"/>
        <s v="P2011002100120" u="1"/>
        <s v="C1300004010010" u="1"/>
        <s v="C1360001010010" u="1"/>
        <s v="C1040002025010" u="1"/>
        <s v="A1042001009010" u="1"/>
        <s v="K1047015012510" u="1"/>
        <s v="C1050001005010" u="1"/>
        <s v="C1160001025010" u="1"/>
        <s v="C1221003035010" u="1"/>
        <s v="C1360011010010" u="1"/>
        <s v="C1261000009010" u="1"/>
        <s v="C1210003005010" u="1"/>
        <s v="K1010002006010" u="1"/>
        <s v="P3023001050020" u="1"/>
        <s v="M6142603001510" u="1"/>
        <s v="K1330001006010" u="1"/>
        <s v="K1450006002510" u="1"/>
        <s v="C1417001050030" u="1"/>
        <s v="C1011301007510" u="1"/>
        <s v="P3011007100510" u="1"/>
        <s v="C1120000000040" u="1"/>
        <s v="K1241006007510" u="1"/>
        <s v="C1270001060020" u="1"/>
        <s v="M6100116002020" u="1"/>
        <s v="C1071001010011" u="1"/>
        <s v="C1070001020010" u="1"/>
        <s v="K1100001000110" u="1"/>
        <s v="P2024001100120" u="1"/>
        <s v="C1060001000010" u="1"/>
        <s v="C1130003020010" u="1"/>
        <s v="C1150002020010" u="1"/>
        <s v="C1170001020010" u="1"/>
        <s v="K1330002020010" u="1"/>
        <s v="K1350001020010" u="1"/>
        <s v="K1361000010010" u="1"/>
        <s v="K1370000020010" u="1"/>
        <s v="K1041001025010" u="1"/>
        <s v="C1221003010010" u="1"/>
        <s v="C1230003020010" u="1"/>
        <s v="C1270001020010" u="1"/>
        <s v="K1020002015010" u="1"/>
        <s v="K1505001025020" u="1"/>
        <s v="C1350002020010" u="1"/>
        <s v="C1413003010010" u="1"/>
        <s v="K1141001011010" u="1"/>
        <s v="M6021101000220" u="1"/>
        <s v="K1111002005010" u="1"/>
        <s v="A1122003001811" u="1"/>
        <s v="A1070001025010" u="1"/>
        <s v="C1051001005010" u="1"/>
        <s v="C1417002025010" u="1"/>
        <s v="K1505002025010" u="1"/>
        <s v="C1131002005010" u="1"/>
        <s v="C1211003005010" u="1"/>
        <s v="C1231002005010" u="1"/>
        <s v="M6142403001510" u="1"/>
        <s v="K1505002012010" u="1"/>
        <s v="K1438001050010" u="1"/>
        <s v="C1390004007520" u="1"/>
        <s v="K1041001028010" u="1"/>
        <s v="K1042001010010" u="1"/>
        <s v="K1320002003010" u="1"/>
        <s v="K1122002010010" u="1"/>
        <s v="K1155010020010" u="1"/>
        <s v="K1434002050010" u="1"/>
        <s v="C1042001104010" u="1"/>
        <s v="K1440001003010" u="1"/>
        <s v="K1242001010010" u="1"/>
        <s v="C1070001010010" u="1"/>
        <s v="C1130003010010" u="1"/>
        <s v="C1170001010010" u="1"/>
        <s v="C1220004010011" u="1"/>
        <s v="C1411003020020" u="1"/>
        <s v="K1101011000110" u="1"/>
        <s v="K1330002010010" u="1"/>
        <s v="K1350001010010" u="1"/>
        <s v="C1230003010010" u="1"/>
        <s v="C1042002025010" u="1"/>
        <s v="K1157005012510" u="1"/>
        <s v="K1241001015010" u="1"/>
        <s v="C1020003005010" u="1"/>
        <s v="K1200003005010" u="1"/>
        <s v="K1433001015010" u="1"/>
        <s v="C1100004005010" u="1"/>
        <s v="C1330003025010" u="1"/>
        <s v="K1020002006010" u="1"/>
        <s v="K1400003005010" u="1"/>
        <s v="A1011000006211" u="1"/>
        <s v="C1160001006010" u="1"/>
        <s v="K1420008002510" u="1"/>
        <s v="C1240002006010" u="1"/>
        <s v="K1155010050020" u="1"/>
        <s v="K1101012003020" u="1"/>
        <s v="C1070001040020" u="1"/>
        <s v="K1043001010010" u="1"/>
        <s v="C1170001040020" u="1"/>
        <s v="K1051001010010" u="1"/>
        <s v="K1152001020010" u="1"/>
        <s v="C1070002020011" u="1"/>
        <s v="C1070002040010" u="1"/>
        <s v="K1030002000010" u="1"/>
        <s v="K1111003010010" u="1"/>
        <s v="K1155010010010" u="1"/>
        <s v="A1061002020010" u="1"/>
        <s v="C1071001010010" u="1"/>
        <s v="C1415004050010" u="1"/>
        <s v="C1131003010010" u="1"/>
        <s v="C1171001010010" u="1"/>
        <s v="C1272001020010" u="1"/>
        <s v="C1330002028020" u="1"/>
        <s v="K1030012000010" u="1"/>
        <s v="K1351001010010" u="1"/>
        <s v="P2011006030020" u="1"/>
        <s v="C1220004020010" u="1"/>
        <s v="C1231003010010" u="1"/>
        <s v="C1271001010010" u="1"/>
        <s v="K1431002010010" u="1"/>
        <s v="K1010003015010" u="1"/>
        <s v="C1412004020010" u="1"/>
        <s v="K1030022000010" u="1"/>
        <s v="K1131002011010" u="1"/>
        <s v="C1400005020010" u="1"/>
        <s v="C1411004010010" u="1"/>
        <s v="A1041002009010" u="1"/>
        <s v="A1122003001810" u="1"/>
        <s v="C1220004035010" u="1"/>
        <s v="C1221003005010" u="1"/>
        <s v="C1261000006020" u="1"/>
        <s v="M6143203001510" u="1"/>
        <s v="K1113002007010" u="1"/>
        <s v="C1250003070020" u="1"/>
        <s v="K1041002020010" u="1"/>
        <s v="C1041003020010" u="1"/>
        <s v="C1070002010011" u="1"/>
        <s v="C1070002030010" u="1"/>
        <s v="K1432001010020" u="1"/>
        <s v="K1044001025010" u="1"/>
        <s v="C1080001010010" u="1"/>
        <s v="K1260001010010" u="1"/>
        <s v="K1480001050010" u="1"/>
        <s v="C1180001010010" u="1"/>
        <s v="K1340002010010" u="1"/>
        <s v="K1360001010010" u="1"/>
        <s v="C1281006004510" u="1"/>
        <s v="K1156010025010" u="1"/>
        <s v="P2011003100120" u="1"/>
        <s v="C1220004010010" u="1"/>
        <s v="K1060001011010" u="1"/>
        <s v="C1360002010010" u="1"/>
        <s v="K1155010001010" u="1"/>
        <s v="C1040003025010" u="1"/>
        <s v="K1242001005010" u="1"/>
        <s v="K1251001015010" u="1"/>
        <s v="C1050002005010" u="1"/>
        <s v="C1160002025010" u="1"/>
        <s v="C1130003005010" u="1"/>
        <s v="K1370000005010" u="1"/>
        <s v="A1091001046010" u="1"/>
        <s v="K1010003006010" u="1"/>
        <s v="A1011000006210" u="1"/>
        <s v="K1330002006010" u="1"/>
        <s v="K1450007002510" u="1"/>
        <s v="K1046001020010" u="1"/>
        <s v="P3011008100510" u="1"/>
        <s v="C1270003060022" u="1"/>
        <s v="K1241007007510" u="1"/>
        <s v="M6100107002020" u="1"/>
        <s v="A1011100001541" u="1"/>
        <s v="C1120002000030" u="1"/>
        <s v="K1070001020010" u="1"/>
        <s v="K1253001010010" u="1"/>
        <s v="C1070002020010" u="1"/>
        <s v="C1120003000020" u="1"/>
        <s v="K1100002000110" u="1"/>
        <s v="P2024002100120" u="1"/>
        <s v="C1130004020010" u="1"/>
        <s v="C1150003020010" u="1"/>
        <s v="C1400005040020" u="1"/>
        <s v="K1330003020010" u="1"/>
        <s v="K1350002020010" u="1"/>
        <s v="K1370001020010" u="1"/>
        <s v="C1221004010010" u="1"/>
        <s v="C1230004020010" u="1"/>
        <s v="C1270002020010" u="1"/>
        <s v="A1092001045010" u="1"/>
        <s v="C1417002025020" u="1"/>
        <s v="C1350003020010" u="1"/>
        <s v="C1360004010710" u="1"/>
        <s v="C1413004010010" u="1"/>
        <s v="K1141002011010" u="1"/>
        <s v="K1111003005010" u="1"/>
        <s v="K1151001005010" u="1"/>
        <s v="A1122004001811" u="1"/>
        <s v="A1070002025010" u="1"/>
        <s v="C1330003035020" u="1"/>
        <s v="C1131003005010" u="1"/>
        <s v="K1470001015011" u="1"/>
        <s v="K1370000009010" u="1"/>
        <s v="K1046001010010" u="1"/>
        <s v="K1155001020010" u="1"/>
        <s v="K1155010020020" u="1"/>
        <s v="K1438002050010" u="1"/>
        <s v="K1155006004510" u="1"/>
        <s v="C1390005007520" u="1"/>
        <s v="K1041002028010" u="1"/>
        <s v="K1320003003010" u="1"/>
        <s v="K1155011020010" u="1"/>
        <s v="K1161001028010" u="1"/>
        <s v="K1162001010010" u="1"/>
        <s v="K1434003050010" u="1"/>
        <s v="K1440002003010" u="1"/>
        <s v="A1120006060010" u="1"/>
        <s v="K1242002010010" u="1"/>
        <s v="K1021002015020" u="1"/>
        <s v="K1045001015010" u="1"/>
        <s v="C1090001010010" u="1"/>
        <s v="C1270203040010" u="1"/>
        <s v="C1130004010010" u="1"/>
        <s v="C1150003010010" u="1"/>
        <s v="C1190001010010" u="1"/>
        <s v="C1411004020020" u="1"/>
        <s v="K1101012000110" u="1"/>
        <s v="K1330003010010" u="1"/>
        <s v="K1350002010010" u="1"/>
        <s v="P2021003100120" u="1"/>
        <s v="C1230004010010" u="1"/>
        <s v="C1290001010010" u="1"/>
        <s v="C1300005018010" u="1"/>
        <s v="K1157006012510" u="1"/>
        <s v="C1380001004010" u="1"/>
        <s v="K1241002015010" u="1"/>
        <s v="C1020004005010" u="1"/>
        <s v="C1370001025020" u="1"/>
        <s v="K1433002015010" u="1"/>
        <s v="C1180001005010" u="1"/>
        <s v="C1281001001010" u="1"/>
        <s v="C1220004005010" u="1"/>
        <s v="C1280001005010" u="1"/>
        <s v="C1330004025010" u="1"/>
        <s v="K1400004005010" u="1"/>
        <s v="C1240002006020" u="1"/>
        <s v="K1155010050030" u="1"/>
        <s v="M6010206001510" u="1"/>
        <s v="C1160002006010" u="1"/>
        <s v="K1420009002510" u="1"/>
        <s v="K1155002050010" u="1"/>
        <s v="C1415003050030" u="1"/>
        <s v="K1152001020020" u="1"/>
        <s v="C1070002040020" u="1"/>
        <s v="K1155010010020" u="1"/>
        <s v="C1040003020020" u="1"/>
        <s v="K1051002010010" u="1"/>
        <s v="K1152002020010" u="1"/>
        <s v="K1163001010010" u="1"/>
        <s v="M6021501000240" u="1"/>
        <s v="C1270002040020" u="1"/>
        <s v="K1030003000010" u="1"/>
        <s v="K1111004010010" u="1"/>
        <s v="C1131004010010" u="1"/>
        <s v="C1270003020011" u="1"/>
        <s v="C1270003040010" u="1"/>
        <s v="C1272002020010" u="1"/>
        <s v="K1030013000010" u="1"/>
        <s v="K1351002010010" u="1"/>
        <s v="K1380001020010" u="1"/>
        <s v="K1154001015010" u="1"/>
        <s v="P2011007030020" u="1"/>
        <s v="P2011204100120" u="1"/>
        <s v="C1231004010010" u="1"/>
        <s v="K1431003010010" u="1"/>
        <s v="A1011004015020" u="1"/>
        <s v="K1153001005010" u="1"/>
        <s v="M6080400000620" u="1"/>
        <s v="K1030023000010" u="1"/>
        <s v="K1131003011010" u="1"/>
        <s v="K1158006012510" u="1"/>
        <s v="K1506000002040" u="1"/>
        <s v="M6023209001230" u="1"/>
        <s v="M6010401065020" u="1"/>
        <s v="K1045001006010" u="1"/>
        <s v="A1041003009010" u="1"/>
        <s v="A1122004001810" u="1"/>
        <s v="K1270001001010" u="1"/>
        <s v="C1417003005010" u="1"/>
        <s v="K1470001015010" u="1"/>
        <s v="K1450002001010" u="1"/>
        <s v="C1300005009010" u="1"/>
        <s v="C1282001002010" u="1"/>
        <s v="K1113003007010" u="1"/>
        <s v="K1041002020020" u="1"/>
        <s v="K1170001003010" u="1"/>
        <s v="P3011010100120" u="1"/>
        <s v="K1161002020010" u="1"/>
        <s v="P2047101100520" u="1"/>
        <s v="K1410004003010" u="1"/>
        <s v="K1432002010020" u="1"/>
        <s v="K1044002025010" u="1"/>
        <s v="K1156001025010" u="1"/>
        <s v="C1080002010010" u="1"/>
        <s v="K1280001010010" u="1"/>
        <s v="K1381001020010" u="1"/>
        <s v="K1480002050010" u="1"/>
        <s v="C1100006010010" u="1"/>
        <s v="C1270003030010" u="1"/>
        <s v="K1155010001020" u="1"/>
        <s v="K1340003010010" u="1"/>
        <s v="A1120006069010" u="1"/>
        <s v="C1360003010010" u="1"/>
        <s v="M6024103000210" u="1"/>
        <s v="C1040004025010" u="1"/>
        <s v="K1242002005010" u="1"/>
        <s v="K1251002015010" u="1"/>
        <s v="M6110202050010" u="1"/>
        <s v="C1090001005010" u="1"/>
        <s v="K1490001025011" u="1"/>
        <s v="C1130004005010" u="1"/>
        <s v="K1370001005010" u="1"/>
        <s v="A1091002046010" u="1"/>
        <s v="M6130503001220" u="1"/>
        <s v="K1046001020020" u="1"/>
        <s v="K1330003006010" u="1"/>
        <s v="K1450008002510" u="1"/>
        <s v="K1046002020010" u="1"/>
        <s v="P3011009100510" u="1"/>
        <s v="K1070001020020" u="1"/>
        <s v="M6100108002020" u="1"/>
        <s v="C1270003040021" u="1"/>
        <s v="K1070002020010" u="1"/>
        <s v="C1413005050020" u="1"/>
        <s v="K1253002010010" u="1"/>
        <s v="C1120004000020" u="1"/>
        <s v="P2024003100120" u="1"/>
        <s v="C1271003010011" u="1"/>
        <s v="K1330004020010" u="1"/>
        <s v="K1390001020010" u="1"/>
        <s v="C1270003020010" u="1"/>
        <s v="A1092002045010" u="1"/>
        <s v="K1161002025010" u="1"/>
        <s v="K1255001005010" u="1"/>
        <s v="C1350004020010" u="1"/>
        <s v="C1413005010010" u="1"/>
        <s v="K1141003011010" u="1"/>
        <s v="K1047001006010" u="1"/>
        <s v="K1111004005010" u="1"/>
        <s v="A1122005001811" u="1"/>
        <s v="A1070003025010" u="1"/>
        <s v="C1417004025010" u="1"/>
        <s v="C1131004005010" u="1"/>
        <s v="C1283001005010" u="1"/>
        <s v="K1470002015011" u="1"/>
        <s v="K1370001009010" u="1"/>
        <s v="C1280002001010" u="1"/>
        <s v="K1046001010020" u="1"/>
        <s v="K1155001020020" u="1"/>
        <s v="K1155006004520" u="1"/>
        <s v="K1046002010010" u="1"/>
        <s v="K1180001003010" u="1"/>
        <s v="K1155011020020" u="1"/>
        <s v="K1162001010020" u="1"/>
        <s v="K1438003050010" u="1"/>
        <s v="A1120006013011" u="1"/>
        <s v="K1090001010010" u="1"/>
        <s v="K1155012020010" u="1"/>
        <s v="K1242003010010" u="1"/>
        <s v="K1045002015010" u="1"/>
        <s v="C1090002010010" u="1"/>
        <s v="C1150004010010" u="1"/>
        <s v="C1190002010010" u="1"/>
        <s v="K1330004010010" u="1"/>
        <s v="K1256001005010" u="1"/>
        <s v="P2021004100120" u="1"/>
        <s v="C1270003010010" u="1"/>
        <s v="C1290002010010" u="1"/>
        <s v="K1190001005011" u="1"/>
        <s v="C1350004010010" u="1"/>
        <s v="C1390002010010" u="1"/>
        <s v="K1157007012510" u="1"/>
        <s v="C1100005005020" u="1"/>
        <s v="C1380002004010" u="1"/>
        <s v="K1241003015010" u="1"/>
        <s v="C1080002005010" u="1"/>
        <s v="C1370002025020" u="1"/>
        <s v="C1100006005010" u="1"/>
        <s v="K1490001025010" u="1"/>
        <s v="C1280002005010" u="1"/>
        <s v="C1330005025010" u="1"/>
        <s v="K1155002050020" u="1"/>
        <s v="K1280001006010" u="1"/>
        <s v="K1380001006010" u="1"/>
        <s v="C1240004006010" u="1"/>
        <s v="K1152002020020" u="1"/>
        <s v="M6030010001010" u="1"/>
        <s v="K1155002010010" u="1"/>
        <s v="C1040004020020" u="1"/>
        <s v="K1051003010010" u="1"/>
        <s v="K1049001005010" u="1"/>
        <s v="M6130200006010" u="1"/>
        <s v="K1030004000010" u="1"/>
        <s v="K1111005010010" u="1"/>
        <s v="K1155012010010" u="1"/>
        <s v="K1437002018010" u="1"/>
        <s v="C1350004040020" u="1"/>
        <s v="M6100001050030" u="1"/>
        <s v="A1120006038010" u="1"/>
        <s v="K1030014000010" u="1"/>
        <s v="K1380002020010" u="1"/>
        <s v="K1154002015010" u="1"/>
        <s v="P2011008030020" u="1"/>
        <s v="K1081001001810" u="1"/>
        <s v="K1153002005010" u="1"/>
        <s v="M6100011050030" u="1"/>
        <s v="K1131004011010" u="1"/>
        <s v="M6130000003010" u="1"/>
        <s v="C1400007020010" u="1"/>
        <s v="K1045002006010" u="1"/>
        <s v="K1157001006010" u="1"/>
        <s v="A1041004009010" u="1"/>
        <s v="A1122005001810" u="1"/>
        <s v="M6123000000010" u="1"/>
        <s v="K1082001002010" u="1"/>
        <s v="K1380001009010" u="1"/>
        <s v="K1470002015010" u="1"/>
        <s v="M6100010025030" u="1"/>
        <s v="K1381001006010" u="1"/>
        <s v="C1282002002010" u="1"/>
        <s v="P3011001100120" u="1"/>
        <s v="K1113004007010" u="1"/>
        <s v="K1170002003010" u="1"/>
        <s v="K1161002020020" u="1"/>
        <s v="A1120006027010" u="1"/>
        <s v="A1120006013010" u="1"/>
        <s v="K1044002025020" u="1"/>
        <s v="M6131200006010" u="1"/>
        <s v="P2047102100520" u="1"/>
        <s v="K1410005003010" u="1"/>
        <s v="K1155010001030" u="1"/>
        <s v="K1156002025010" u="1"/>
        <s v="A1070001100110" u="1"/>
        <s v="C1080003010010" u="1"/>
        <s v="K1280002010010" u="1"/>
        <s v="K1381002020010" u="1"/>
        <s v="K1480003050010" u="1"/>
        <s v="K1070001005020" u="1"/>
        <s v="K1340004010010" u="1"/>
        <s v="P2011005100120" u="1"/>
        <s v="M6131000003010" u="1"/>
        <s v="P3043100102510" u="1"/>
        <s v="C1040005025010" u="1"/>
        <s v="K1190001005010" u="1"/>
        <s v="K1242003005010" u="1"/>
        <s v="K1251003015010" u="1"/>
        <s v="A1042004009010" u="1"/>
        <s v="C1090002005010" u="1"/>
        <s v="K1381001009010" u="1"/>
        <s v="K1390001005010" u="1"/>
        <s v="C1270003005010" u="1"/>
        <s v="K1046002020020" u="1"/>
        <s v="K1490002032010" u="1"/>
        <s v="P3021201100120" u="1"/>
        <s v="K1100001000140" u="1"/>
        <s v="K1330004006010" u="1"/>
        <s v="K1450009002510" u="1"/>
        <s v="P3020001100120" u="1"/>
        <s v="K1046003020010" u="1"/>
        <s v="K1070002020020" u="1"/>
        <s v="K1480001040030" u="1"/>
        <s v="M6100119002020" u="1"/>
        <s v="K1253003010010" u="1"/>
        <s v="C1120005000020" u="1"/>
        <s v="C1270003020020" u="1"/>
        <s v="C1390002007010" u="1"/>
        <s v="K1100004000110" u="1"/>
        <s v="K1161002025020" u="1"/>
        <s v="K1330005020010" u="1"/>
        <s v="M6140001070020" u="1"/>
        <s v="A1120006000810" u="1"/>
        <s v="C1120006000010" u="1"/>
        <s v="C1270004020010" u="1"/>
        <s v="A1092003045010" u="1"/>
        <s v="C1330004035030" u="1"/>
        <s v="K1255002005010" u="1"/>
        <s v="C1350005020010" u="1"/>
        <s v="K1460001000110" u="1"/>
        <s v="M6025104000210" u="1"/>
        <s v="K1047002006010" u="1"/>
        <s v="K1111005005010" u="1"/>
        <s v="K1081001012020" u="1"/>
        <s v="A1070004025010" u="1"/>
        <s v="C1417005025010" u="1"/>
        <s v="K1470003015011" u="1"/>
        <s v="K1390001009010" u="1"/>
        <s v="M6100017000520" u="1"/>
        <s v="C1280003001010" u="1"/>
        <s v="M6100018000510" u="1"/>
        <s v="K1046002010020" u="1"/>
        <s v="P3021001100120" u="1"/>
        <s v="K1155002020020" u="1"/>
        <s v="K1046003010010" u="1"/>
        <s v="K1180002003010" u="1"/>
        <s v="K1155003020010" u="1"/>
        <s v="K1155012020020" u="1"/>
      </sharedItems>
    </cacheField>
    <cacheField name="LEN 15" numFmtId="0">
      <sharedItems containsSemiMixedTypes="0" containsString="0" containsNumber="1" containsInteger="1" minValue="0" maxValue="15"/>
    </cacheField>
    <cacheField name="Nama Win" numFmtId="0">
      <sharedItems/>
    </cacheField>
    <cacheField name="LEN 50" numFmtId="0">
      <sharedItems containsSemiMixedTypes="0" containsString="0" containsNumber="1" containsInteger="1" minValue="1" maxValue="54"/>
    </cacheField>
    <cacheField name="Nama Pcpl                   " numFmtId="0">
      <sharedItems containsNonDate="0" containsString="0" containsBlank="1"/>
    </cacheField>
    <cacheField name="kode  2 Digit                (hrf+No)" numFmtId="0">
      <sharedItems containsBlank="1"/>
    </cacheField>
    <cacheField name="Nama            KLP" numFmtId="0">
      <sharedItems containsBlank="1"/>
    </cacheField>
    <cacheField name="kode  2 Digit                (Nomor)" numFmtId="49">
      <sharedItems containsBlank="1"/>
    </cacheField>
    <cacheField name="Nama            Sub KLP" numFmtId="0">
      <sharedItems containsBlank="1"/>
    </cacheField>
    <cacheField name="kode  1 Digit                (Nomor)" numFmtId="0">
      <sharedItems containsString="0" containsBlank="1" containsNumber="1" containsInteger="1" minValue="1" maxValue="11"/>
    </cacheField>
    <cacheField name="Nama            Sub KLP2" numFmtId="0">
      <sharedItems containsBlank="1"/>
    </cacheField>
    <cacheField name="kode  1 Digit                (Nomor)5" numFmtId="49">
      <sharedItems containsBlank="1"/>
    </cacheField>
    <cacheField name="Nama            Aroma/             Rasa" numFmtId="0">
      <sharedItems containsBlank="1"/>
    </cacheField>
    <cacheField name="kode  2 Digit                (Nomor)2" numFmtId="49">
      <sharedItems containsBlank="1"/>
    </cacheField>
    <cacheField name="Nama            Gramasi atau Jumlah Pack per CTN" numFmtId="0">
      <sharedItems containsBlank="1"/>
    </cacheField>
    <cacheField name="kode  4 Digit                (Nomor)" numFmtId="49">
      <sharedItems containsBlank="1"/>
    </cacheField>
    <cacheField name="Nama Jenis Kemasan" numFmtId="0">
      <sharedItems containsBlank="1"/>
    </cacheField>
    <cacheField name="kode  1 Digit                (Nomor)3" numFmtId="0">
      <sharedItems containsString="0" containsBlank="1" containsNumber="1" containsInteger="1" minValue="1" maxValue="3"/>
    </cacheField>
    <cacheField name="Nama            Promo" numFmtId="0">
      <sharedItems containsBlank="1"/>
    </cacheField>
    <cacheField name="kode  1 Digit                (Nomor)4" numFmtId="0">
      <sharedItems containsBlank="1" containsMixedTypes="1" containsNumber="1" containsInteger="1" minValue="0" maxValue="21"/>
    </cacheField>
    <cacheField name="Gunakan ini apabila item tersebut sachet" numFmtId="0">
      <sharedItems containsNonDate="0" containsString="0"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. GOLONGAN" numFmtId="0">
      <sharedItems containsBlank="1"/>
    </cacheField>
    <cacheField name="kode  1 Digit_x000a_(Nomor)" numFmtId="0">
      <sharedItems containsString="0" containsBlank="1" containsNumber="1" containsInteger="1" minValue="1" maxValue="2"/>
    </cacheField>
    <cacheField name="Tanda Kode Revisi" numFmtId="0">
      <sharedItems containsBlank="1"/>
    </cacheField>
    <cacheField name="Harga Beli Pcs_x000a_(-PPN)" numFmtId="43">
      <sharedItems containsString="0" containsBlank="1" containsNumber="1" minValue="2460.7252252252251" maxValue="58723.747747747744"/>
    </cacheField>
    <cacheField name="Harga Beli Krt_x000a_(- PPN)" numFmtId="43">
      <sharedItems containsMixedTypes="1" containsNumber="1" minValue="0" maxValue="1921868.1081081079"/>
    </cacheField>
    <cacheField name="Harga Beli Pcs_x000a_(+PPN)" numFmtId="43">
      <sharedItems containsSemiMixedTypes="0" containsString="0" containsNumber="1" minValue="0" maxValue="65183.360000000001"/>
    </cacheField>
    <cacheField name="Harga Beli Krt_x000a_(+PPN)" numFmtId="43">
      <sharedItems containsMixedTypes="1" containsNumber="1" minValue="0" maxValue="2133273.6000000001"/>
    </cacheField>
    <cacheField name="Harga Jual Pcs GT_x000a_(-PPN)" numFmtId="43">
      <sharedItems containsString="0" containsBlank="1" containsNumber="1" minValue="2657.6576576576572" maxValue="63423.423423423425"/>
    </cacheField>
    <cacheField name="Harga Jual Krt GT_x000a_(- PPN)" numFmtId="43">
      <sharedItems containsMixedTypes="1" containsNumber="1" minValue="0" maxValue="2075675.6756756755"/>
    </cacheField>
    <cacheField name="Harga Jual Pcs GT_x000a_(+PPN" numFmtId="43">
      <sharedItems containsSemiMixedTypes="0" containsString="0" containsNumber="1" minValue="0" maxValue="70400.000000000015"/>
    </cacheField>
    <cacheField name="Harga Jual Krt GT_x000a_(+PPN)" numFmtId="43">
      <sharedItems containsMixedTypes="1" containsNumber="1" minValue="0" maxValue="2304000"/>
    </cacheField>
    <cacheField name="Harga Jual Pcs MT_x000a_(-PPN)" numFmtId="43">
      <sharedItems containsNonDate="0" containsString="0" containsBlank="1"/>
    </cacheField>
    <cacheField name="Harga Jual Krt MT_x000a_(- PPN)" numFmtId="43">
      <sharedItems containsMixedTypes="1" containsNumber="1" containsInteger="1" minValue="0" maxValue="0"/>
    </cacheField>
    <cacheField name="Harga Jual Pcs MT_x000a_(+PPN)" numFmtId="43">
      <sharedItems containsSemiMixedTypes="0" containsString="0" containsNumber="1" containsInteger="1" minValue="0" maxValue="0"/>
    </cacheField>
    <cacheField name="Harga Jual Krt MT_x000a_(+PPN)" numFmtId="43">
      <sharedItems containsMixedTypes="1" containsNumber="1" containsInteger="1" minValue="0" maxValue="0"/>
    </cacheField>
    <cacheField name="MARGIN" numFmtId="10">
      <sharedItems containsSemiMixedTypes="0" containsString="0" containsNumber="1" minValue="0" maxValue="7.410000000000018E-2"/>
    </cacheField>
    <cacheField name="Efektif_x000a_Pembuatan" numFmtId="14">
      <sharedItems containsNonDate="0" containsDate="1" containsString="0" containsBlank="1" minDate="2025-07-10T00:00:00" maxDate="2026-01-23T00:00:00"/>
    </cacheField>
    <cacheField name="Efektif Naik Harga" numFmtId="0">
      <sharedItems containsNonDate="0" containsString="0" containsBlank="1"/>
    </cacheField>
    <cacheField name="Status_x000a_Pembuatan" numFmtId="0">
      <sharedItems/>
    </cacheField>
    <cacheField name="Status_x000a_Harga" numFmtId="0">
      <sharedItems/>
    </cacheField>
    <cacheField name="Status Barang" numFmtId="0">
      <sharedItems containsBlank="1"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Blank="1"/>
    </cacheField>
    <cacheField name="Kode Jenis Produk" numFmtId="0">
      <sharedItems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Blank="1"/>
    </cacheField>
    <cacheField name="Approval" numFmtId="0">
      <sharedItems containsSemiMixedTypes="0" containsString="0" containsNumber="1" containsInteger="1" minValue="1" maxValue="1"/>
    </cacheField>
    <cacheField name="Nama Princip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F40111000070101"/>
    <n v="1"/>
    <n v="1"/>
    <x v="0"/>
    <s v="DERMYTHOL"/>
    <s v="DERMYTHOL BAR 12x6x70Gr (Lunchbox) Mix Varian"/>
    <x v="0"/>
    <n v="8992946535182"/>
    <x v="0"/>
    <s v="DERMYTHOL BAR"/>
    <s v="F4011"/>
    <x v="0"/>
    <n v="14"/>
    <s v="DERMYTHOL BAR LUNCH 70G X 6 BOX"/>
    <n v="31"/>
    <m/>
    <s v="F4"/>
    <s v="DERMYTHOL"/>
    <s v="01"/>
    <s v="BAR"/>
    <n v="1"/>
    <s v="LUNCH"/>
    <s v="1"/>
    <m/>
    <s v="00"/>
    <s v="70G"/>
    <s v="0070"/>
    <s v="BOX"/>
    <n v="1"/>
    <m/>
    <n v="0"/>
    <m/>
    <m/>
    <m/>
    <s v="GRAM"/>
    <n v="1"/>
    <m/>
    <n v="30029.189189189186"/>
    <n v="180175.13513513512"/>
    <n v="33332.400000000001"/>
    <n v="199994.4"/>
    <n v="32432.43243243243"/>
    <n v="194594.59459459459"/>
    <n v="36000"/>
    <n v="216000"/>
    <m/>
    <n v="0"/>
    <n v="0"/>
    <n v="0"/>
    <n v="7.4100000000000013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121010400101"/>
    <n v="1"/>
    <n v="2"/>
    <x v="1"/>
    <s v="DERMYTHOL"/>
    <s v="DERMYTHOL Body Cleanser Hygienic Bio Sulfur Ref 24x400Ml"/>
    <x v="1"/>
    <n v="8992946534341"/>
    <x v="1"/>
    <s v="DERMYTHOL BCL"/>
    <s v="F4012"/>
    <x v="1"/>
    <n v="14"/>
    <s v="DERMYTHOL BCL REF HYGIENIC BIO SLFR 400ML X 24 PCH"/>
    <n v="50"/>
    <m/>
    <s v="F4"/>
    <s v="DERMYTHOL"/>
    <s v="01"/>
    <s v="BCL"/>
    <n v="2"/>
    <s v="REF"/>
    <s v="1"/>
    <s v="HYGIENIC BIO SLFR"/>
    <s v="01"/>
    <s v="400ML"/>
    <s v="0400"/>
    <s v="PCH"/>
    <n v="1"/>
    <m/>
    <n v="0"/>
    <m/>
    <m/>
    <m/>
    <s v="LITER"/>
    <n v="2"/>
    <m/>
    <n v="21937.990990990987"/>
    <n v="526511.78378378367"/>
    <n v="24351.17"/>
    <n v="584428.07999999996"/>
    <n v="23693.693693693695"/>
    <n v="568648.64864864864"/>
    <n v="26300.000000000004"/>
    <n v="631200"/>
    <m/>
    <n v="0"/>
    <n v="0"/>
    <n v="0"/>
    <n v="7.41000000000001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121020400101"/>
    <n v="1"/>
    <n v="3"/>
    <x v="2"/>
    <s v="DERMYTHOL"/>
    <s v="DERMYTHOL Body Cleanser Hygienic Protect Ref 24x400Ml"/>
    <x v="1"/>
    <n v="8992946534324"/>
    <x v="1"/>
    <s v="DERMYTHOL BCL"/>
    <s v="F4012"/>
    <x v="2"/>
    <n v="14"/>
    <s v="DERMYTHOL BCL REF HYGIENIC PROTECT 400ML X 24 PCH"/>
    <n v="49"/>
    <m/>
    <s v="F4"/>
    <s v="DERMYTHOL"/>
    <s v="01"/>
    <s v="BCL"/>
    <n v="2"/>
    <s v="REF"/>
    <s v="1"/>
    <s v="HYGIENIC PROTECT"/>
    <s v="02"/>
    <s v="400ML"/>
    <s v="0400"/>
    <s v="PCH"/>
    <n v="1"/>
    <m/>
    <n v="0"/>
    <m/>
    <m/>
    <m/>
    <s v="LITER"/>
    <n v="2"/>
    <m/>
    <n v="21937.990990990987"/>
    <n v="526511.78378378367"/>
    <n v="24351.17"/>
    <n v="584428.07999999996"/>
    <n v="23693.693693693695"/>
    <n v="568648.64864864864"/>
    <n v="26300.000000000004"/>
    <n v="631200"/>
    <m/>
    <n v="0"/>
    <n v="0"/>
    <n v="0"/>
    <n v="7.41000000000001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120010480201"/>
    <n v="1"/>
    <n v="4"/>
    <x v="3"/>
    <s v="DERMYTHOL"/>
    <s v="DERMYTHOL Body Cleanser Hygienic Bio Sulfur Btl 24x480Ml"/>
    <x v="1"/>
    <n v="8992946534287"/>
    <x v="2"/>
    <s v="DERMYTHOL BCL"/>
    <s v="F4012"/>
    <x v="3"/>
    <n v="14"/>
    <s v="DERMYTHOL BCL HYGIENIC BIO SULFUR 480ML X 24 PUMP"/>
    <n v="49"/>
    <m/>
    <s v="F4"/>
    <s v="DERMYTHOL"/>
    <s v="01"/>
    <s v="BCL"/>
    <n v="2"/>
    <m/>
    <s v="0"/>
    <s v="HYGIENIC BIO SULFUR"/>
    <s v="01"/>
    <s v="480ML"/>
    <s v="0480"/>
    <s v="PUMP"/>
    <n v="2"/>
    <m/>
    <n v="0"/>
    <m/>
    <m/>
    <m/>
    <s v="LITER"/>
    <n v="2"/>
    <m/>
    <n v="35034.054054054046"/>
    <n v="840817.29729729705"/>
    <n v="38887.799999999996"/>
    <n v="933307.19999999984"/>
    <n v="37837.837837837833"/>
    <n v="908108.10810810793"/>
    <n v="42000"/>
    <n v="1007999.9999999999"/>
    <m/>
    <n v="0"/>
    <n v="0"/>
    <n v="0"/>
    <n v="7.4100000000000096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120020480201"/>
    <n v="1"/>
    <n v="5"/>
    <x v="4"/>
    <s v="DERMYTHOL"/>
    <s v="DERMYTHOL Body Cleanser Hygienic Protect Btl 24x480Ml"/>
    <x v="1"/>
    <n v="8992946534280"/>
    <x v="2"/>
    <s v="DERMYTHOL BCL"/>
    <s v="F4012"/>
    <x v="4"/>
    <n v="14"/>
    <s v="DERMYTHOL BCL HYGIENIC PROTECT 480ML X 24 PUMP"/>
    <n v="46"/>
    <m/>
    <s v="F4"/>
    <s v="DERMYTHOL"/>
    <s v="01"/>
    <s v="BCL"/>
    <n v="2"/>
    <m/>
    <s v="0"/>
    <s v="HYGIENIC PROTECT"/>
    <s v="02"/>
    <s v="480ML"/>
    <s v="0480"/>
    <s v="PUMP"/>
    <n v="2"/>
    <m/>
    <n v="0"/>
    <m/>
    <m/>
    <m/>
    <s v="LITER"/>
    <n v="2"/>
    <m/>
    <n v="35034.054054054046"/>
    <n v="840817.29729729705"/>
    <n v="38887.799999999996"/>
    <n v="933307.19999999984"/>
    <n v="37837.837837837833"/>
    <n v="908108.10810810793"/>
    <n v="42000"/>
    <n v="1007999.9999999999"/>
    <m/>
    <n v="0"/>
    <n v="0"/>
    <n v="0"/>
    <n v="7.4100000000000096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130010070101"/>
    <n v="1"/>
    <n v="6"/>
    <x v="5"/>
    <s v="DERMYTHOL"/>
    <s v="DERMYTHOL Hygienic Bio Sulfur 72x70Gr"/>
    <x v="2"/>
    <s v="8992946533747"/>
    <x v="3"/>
    <s v="DERMYTHOL SABUN"/>
    <s v="F4013"/>
    <x v="5"/>
    <n v="14"/>
    <s v="DERMYTHOL SABUN HYGIENIC BIO SULFUR 70G X 72 PCS"/>
    <n v="48"/>
    <m/>
    <s v="F4"/>
    <s v="DERMYTHOL"/>
    <s v="01"/>
    <s v="SABUN"/>
    <n v="3"/>
    <m/>
    <s v="0"/>
    <s v="HYGIENIC BIO SULFUR"/>
    <s v="01"/>
    <s v="70G"/>
    <s v="0070"/>
    <s v="PCS"/>
    <n v="1"/>
    <m/>
    <n v="0"/>
    <m/>
    <m/>
    <m/>
    <s v="GRAM"/>
    <n v="1"/>
    <m/>
    <n v="2585.8468468468468"/>
    <n v="186180.97297297296"/>
    <n v="2870.2900000000004"/>
    <n v="206660.88"/>
    <n v="2792.7927927927926"/>
    <n v="201081.08108108107"/>
    <n v="3100"/>
    <n v="223200"/>
    <m/>
    <n v="0"/>
    <n v="0"/>
    <n v="0"/>
    <n v="7.4099999999999958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130020070101"/>
    <n v="1"/>
    <n v="7"/>
    <x v="6"/>
    <s v="DERMYTHOL"/>
    <s v="DERMYTHOL Hygienic Protect 72x70Gr"/>
    <x v="2"/>
    <s v="8992946533730"/>
    <x v="3"/>
    <s v="DERMYTHOL SABUN"/>
    <s v="F4013"/>
    <x v="6"/>
    <n v="14"/>
    <s v="DERMYTHOL SABUN HYGIENIC PROTECT 70G X 72 PCS"/>
    <n v="45"/>
    <m/>
    <s v="F4"/>
    <s v="DERMYTHOL"/>
    <s v="01"/>
    <s v="SABUN"/>
    <n v="3"/>
    <m/>
    <s v="0"/>
    <s v="HYGIENIC PROTECT"/>
    <s v="02"/>
    <s v="70G"/>
    <s v="0070"/>
    <s v="PCS"/>
    <n v="1"/>
    <m/>
    <n v="0"/>
    <m/>
    <m/>
    <m/>
    <s v="GRAM"/>
    <n v="1"/>
    <m/>
    <n v="2585.8468468468468"/>
    <n v="186180.97297297296"/>
    <n v="2870.2900000000004"/>
    <n v="206660.88"/>
    <n v="2792.7927927927926"/>
    <n v="201081.08108108107"/>
    <n v="3100"/>
    <n v="223200"/>
    <m/>
    <n v="0"/>
    <n v="0"/>
    <n v="0"/>
    <n v="7.4099999999999958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210010100101"/>
    <n v="1"/>
    <n v="8"/>
    <x v="7"/>
    <s v="DREAM"/>
    <s v="Sabun DREAM Papaya 72x100G"/>
    <x v="2"/>
    <s v="8992946522369"/>
    <x v="3"/>
    <s v="DREAM SABUN"/>
    <s v="F4021"/>
    <x v="7"/>
    <n v="14"/>
    <s v="DREAM SABUN PAPAYA 100G X 72 PCS"/>
    <n v="32"/>
    <m/>
    <s v="F4"/>
    <s v="DREAM"/>
    <s v="02"/>
    <s v="SABUN"/>
    <n v="1"/>
    <m/>
    <s v="0"/>
    <s v="PAPAYA"/>
    <s v="01"/>
    <s v="100G"/>
    <s v="0100"/>
    <s v="PCS"/>
    <n v="1"/>
    <m/>
    <n v="0"/>
    <m/>
    <m/>
    <m/>
    <s v="GRAM"/>
    <n v="1"/>
    <m/>
    <n v="7507.2972972972966"/>
    <n v="540525.40540540533"/>
    <n v="8333.1"/>
    <n v="599983.19999999995"/>
    <n v="8108.1081081081084"/>
    <n v="583783.78378378379"/>
    <n v="9000.0000000000018"/>
    <n v="648000.00000000012"/>
    <m/>
    <n v="0"/>
    <n v="0"/>
    <n v="0"/>
    <n v="7.410000000000011E-2"/>
    <d v="2025-07-10T00:00:00"/>
    <m/>
    <s v="Lama"/>
    <s v="Sama"/>
    <s v="Aktif"/>
    <s v="IDR"/>
    <s v="10100"/>
    <s v="100G"/>
    <s v="S-FRN"/>
    <s v="45MIX"/>
    <s v="KRT"/>
    <s v="GD01"/>
    <n v="11611"/>
    <n v="11612"/>
    <s v="0101"/>
    <n v="1"/>
    <s v="PT. FOKUS RITEL NUSAPRIMA"/>
  </r>
  <r>
    <s v="F40311010400101"/>
    <n v="1"/>
    <n v="9"/>
    <x v="8"/>
    <s v="GARDEN OF NAEEM"/>
    <s v="Garden of Na eem Body Cleanser Midnight Gardenia Ref 24 x 400Ml"/>
    <x v="1"/>
    <n v="8992946533884"/>
    <x v="2"/>
    <s v="GRDN OF NA EEM BCL"/>
    <s v="F4031"/>
    <x v="8"/>
    <n v="14"/>
    <s v="GRDN OF NA EEM BCL REF MDNGHT GRDN 400ML X 24 PUMP"/>
    <n v="50"/>
    <m/>
    <s v="F4"/>
    <s v="GRDN OF NA EEM"/>
    <s v="03"/>
    <s v="BCL"/>
    <n v="1"/>
    <s v="REF"/>
    <s v="1"/>
    <s v="MDNGHT GRDN"/>
    <s v="01"/>
    <s v="400ML"/>
    <s v="0400"/>
    <s v="PUMP"/>
    <n v="1"/>
    <m/>
    <n v="0"/>
    <m/>
    <m/>
    <m/>
    <s v="LITER"/>
    <n v="2"/>
    <m/>
    <n v="19685.801801801801"/>
    <n v="472459.2432432432"/>
    <n v="21851.24"/>
    <n v="524429.76"/>
    <n v="21261.261261261261"/>
    <n v="510270.2702702703"/>
    <n v="23600.000000000004"/>
    <n v="566400.00000000012"/>
    <m/>
    <n v="0"/>
    <n v="0"/>
    <n v="0"/>
    <n v="7.4100000000000027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311010400201"/>
    <n v="1"/>
    <m/>
    <x v="8"/>
    <s v="GARDEN OF NAEEM"/>
    <s v="Garden of Na eem Body Cleanser Midnight Gardenia Ref 24 x 400Ml"/>
    <x v="1"/>
    <n v="8992946533884"/>
    <x v="1"/>
    <s v="GRDN OF NA EEM BCL"/>
    <s v="F4031"/>
    <x v="9"/>
    <n v="14"/>
    <s v="GRDN OF NA EEM BCL REF MDNGHT GRDN 400ML X 24 PCH"/>
    <n v="49"/>
    <m/>
    <s v="F4"/>
    <s v="GRDN OF NA EEM"/>
    <s v="03"/>
    <s v="BCL"/>
    <n v="1"/>
    <s v="REF"/>
    <s v="1"/>
    <s v="MDNGHT GRDN"/>
    <s v="01"/>
    <s v="400ML"/>
    <s v="0400"/>
    <s v="PCH"/>
    <n v="2"/>
    <m/>
    <n v="0"/>
    <m/>
    <m/>
    <m/>
    <s v="LITER"/>
    <n v="2"/>
    <m/>
    <n v="19685.801801801801"/>
    <n v="472459.2432432432"/>
    <n v="21851.24"/>
    <n v="524429.76"/>
    <n v="21261.261261261261"/>
    <n v="510270.2702702703"/>
    <n v="23600.000000000004"/>
    <n v="566400.00000000012"/>
    <m/>
    <n v="0"/>
    <n v="0"/>
    <n v="0"/>
    <n v="7.4100000000000027E-2"/>
    <d v="2025-07-10T00:00:00"/>
    <m/>
    <s v="Lama"/>
    <s v="Sama"/>
    <m/>
    <s v="IDR"/>
    <s v="20400"/>
    <s v="400ML"/>
    <m/>
    <m/>
    <s v="KRT"/>
    <s v="GD01"/>
    <n v="11611"/>
    <n v="11612"/>
    <m/>
    <n v="1"/>
    <m/>
  </r>
  <r>
    <s v="F40311020400201"/>
    <n v="1"/>
    <n v="10"/>
    <x v="9"/>
    <s v="GARDEN OF NAEEM"/>
    <s v="Garden of Na eem Body Cleanser Royal Jasmine Ref 24 x 400Ml"/>
    <x v="1"/>
    <n v="8992946533870"/>
    <x v="1"/>
    <s v="GRDN OF NA EEM BCL"/>
    <s v="F4031"/>
    <x v="10"/>
    <n v="14"/>
    <s v="GRDN OF NA EEM BCL REF ROYAL JASMNE 400ML X 24 PCH"/>
    <n v="50"/>
    <m/>
    <s v="F4"/>
    <s v="GRDN OF NA EEM"/>
    <s v="03"/>
    <s v="BCL"/>
    <n v="1"/>
    <s v="REF"/>
    <s v="1"/>
    <s v="ROYAL JASMNE"/>
    <s v="02"/>
    <s v="400ML"/>
    <s v="0400"/>
    <s v="PCH"/>
    <n v="2"/>
    <m/>
    <n v="0"/>
    <m/>
    <m/>
    <m/>
    <s v="LITER"/>
    <n v="2"/>
    <m/>
    <n v="19685.801801801801"/>
    <n v="472459.2432432432"/>
    <n v="21851.24"/>
    <n v="524429.76"/>
    <n v="21261.261261261261"/>
    <n v="510270.2702702703"/>
    <n v="23600.000000000004"/>
    <n v="566400.00000000012"/>
    <m/>
    <n v="0"/>
    <n v="0"/>
    <n v="0"/>
    <n v="7.4100000000000027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311030400201"/>
    <n v="1"/>
    <n v="11"/>
    <x v="10"/>
    <s v="GARDEN OF NAEEM"/>
    <s v="Garden of Na eem Body Cleanser Taifi Rose Ref 24 x 400Ml"/>
    <x v="1"/>
    <n v="8992946533846"/>
    <x v="1"/>
    <s v="GRDN OF NA EEM BCL"/>
    <s v="F4031"/>
    <x v="11"/>
    <n v="14"/>
    <s v="GRDN OF NA EEM BCL REF TAIFI ROSE 400ML X 24 PCH"/>
    <n v="48"/>
    <m/>
    <s v="F4"/>
    <s v="GRDN OF NA EEM"/>
    <s v="03"/>
    <s v="BCL"/>
    <n v="1"/>
    <s v="REF"/>
    <s v="1"/>
    <s v="TAIFI ROSE"/>
    <s v="03"/>
    <s v="400ML"/>
    <s v="0400"/>
    <s v="PCH"/>
    <n v="2"/>
    <m/>
    <n v="0"/>
    <m/>
    <m/>
    <m/>
    <s v="LITER"/>
    <n v="2"/>
    <m/>
    <n v="19685.801801801801"/>
    <n v="472459.2432432432"/>
    <n v="21851.24"/>
    <n v="524429.76"/>
    <n v="21261.261261261261"/>
    <n v="510270.2702702703"/>
    <n v="23600.000000000004"/>
    <n v="566400.00000000012"/>
    <m/>
    <n v="0"/>
    <n v="0"/>
    <n v="0"/>
    <n v="7.4100000000000027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310010480301"/>
    <n v="1"/>
    <n v="12"/>
    <x v="11"/>
    <s v="GARDEN OF NAEEM"/>
    <s v="Garden of Na eem Body Cleanser Midnight Gardenia Botol 24 x 480Ml"/>
    <x v="1"/>
    <s v="8992946533457"/>
    <x v="4"/>
    <s v="GRDN OF NA EEM BCL"/>
    <s v="F4031"/>
    <x v="12"/>
    <n v="14"/>
    <s v="GRDN OF NA EEM BCL MDNGHT GRDN 480ML X 24 BTL"/>
    <n v="45"/>
    <m/>
    <s v="F4"/>
    <s v="GRDN OF NA EEM"/>
    <s v="03"/>
    <s v="BCL"/>
    <n v="1"/>
    <m/>
    <s v="0"/>
    <s v="MDNGHT GRDN"/>
    <s v="01"/>
    <s v="480ML"/>
    <s v="0480"/>
    <s v="BTL"/>
    <n v="3"/>
    <m/>
    <n v="0"/>
    <m/>
    <m/>
    <m/>
    <s v="LITER"/>
    <n v="2"/>
    <m/>
    <n v="28360.900900900899"/>
    <n v="680661.62162162154"/>
    <n v="31480.6"/>
    <n v="755534.4"/>
    <n v="30630.630630630625"/>
    <n v="735135.13513513503"/>
    <n v="34000"/>
    <n v="816000"/>
    <m/>
    <n v="0"/>
    <n v="0"/>
    <n v="0"/>
    <n v="7.4099999999999902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310020480301"/>
    <n v="1"/>
    <n v="13"/>
    <x v="12"/>
    <s v="GARDEN OF NAEEM"/>
    <s v="Garden of Na eem Body Cleanser Royal Jasmine Botol 24 x 480Ml"/>
    <x v="1"/>
    <s v="8992946533433"/>
    <x v="4"/>
    <s v="GRDN OF NA EEM BCL"/>
    <s v="F4031"/>
    <x v="13"/>
    <n v="14"/>
    <s v="GRDN OF NA EEM BCL ROYAL JASMINE 480ML X 24 BTL"/>
    <n v="47"/>
    <m/>
    <s v="F4"/>
    <s v="GRDN OF NA EEM"/>
    <s v="03"/>
    <s v="BCL"/>
    <n v="1"/>
    <m/>
    <s v="0"/>
    <s v="ROYAL JASMINE"/>
    <s v="02"/>
    <s v="480ML"/>
    <s v="0480"/>
    <s v="BTL"/>
    <n v="3"/>
    <m/>
    <n v="0"/>
    <m/>
    <m/>
    <m/>
    <s v="LITER"/>
    <n v="2"/>
    <m/>
    <n v="28360.900900900899"/>
    <n v="680661.62162162154"/>
    <n v="31480.6"/>
    <n v="755534.4"/>
    <n v="30630.630630630625"/>
    <n v="735135.13513513503"/>
    <n v="34000"/>
    <n v="816000"/>
    <m/>
    <n v="0"/>
    <n v="0"/>
    <n v="0"/>
    <n v="7.4099999999999902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310030480101"/>
    <n v="1"/>
    <n v="14"/>
    <x v="13"/>
    <s v="GARDEN OF NAEEM"/>
    <s v="Garden of Na eem Body Cleanser Taifi Rose Botol 24 x 480Ml"/>
    <x v="1"/>
    <s v="8992946533419"/>
    <x v="2"/>
    <s v="GRDN OF NA EEM BCL"/>
    <s v="F4031"/>
    <x v="14"/>
    <n v="14"/>
    <s v="GRDN OF NA EEM BCL TAIFI ROSE 480ML X 24 PUMP"/>
    <n v="45"/>
    <m/>
    <s v="F4"/>
    <s v="GRDN OF NA EEM"/>
    <s v="03"/>
    <s v="BCL"/>
    <n v="1"/>
    <m/>
    <s v="0"/>
    <s v="TAIFI ROSE"/>
    <s v="03"/>
    <s v="480ML"/>
    <s v="0480"/>
    <s v="PUMP"/>
    <n v="1"/>
    <m/>
    <n v="0"/>
    <m/>
    <m/>
    <m/>
    <s v="LITER"/>
    <n v="2"/>
    <m/>
    <n v="28360.900900900899"/>
    <n v="680661.62162162154"/>
    <n v="31480.6"/>
    <n v="755534.4"/>
    <n v="30630.630630630625"/>
    <n v="735135.13513513503"/>
    <n v="34000"/>
    <n v="816000"/>
    <m/>
    <n v="0"/>
    <n v="0"/>
    <n v="0"/>
    <n v="7.4099999999999902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320010075101"/>
    <n v="1"/>
    <n v="15"/>
    <x v="14"/>
    <s v="GARDEN OF NAEEM"/>
    <s v="Garden of NaEem Midnight Gardenia 24x3x75Gr (P3)"/>
    <x v="1"/>
    <n v="8992946534423"/>
    <x v="5"/>
    <s v="GRDN OF NA EEM SABUN"/>
    <s v="F4032"/>
    <x v="15"/>
    <n v="14"/>
    <s v="GRDN OF NA EEM SABUN MIDNIGHT GRDN 75G X 24 PACK"/>
    <n v="48"/>
    <m/>
    <s v="F4"/>
    <s v="GRDN OF NA EEM"/>
    <s v="03"/>
    <s v="SABUN"/>
    <n v="2"/>
    <m/>
    <s v="0"/>
    <s v="MIDNIGHT GRDN"/>
    <s v="01"/>
    <s v="75G"/>
    <s v="0075"/>
    <s v="PACK"/>
    <n v="1"/>
    <m/>
    <n v="0"/>
    <m/>
    <m/>
    <m/>
    <s v="GRAM"/>
    <n v="1"/>
    <m/>
    <n v="7090.2252252252247"/>
    <n v="170165.40540540538"/>
    <n v="7870.15"/>
    <n v="188883.6"/>
    <n v="7657.6576576576563"/>
    <n v="183783.78378378376"/>
    <n v="8500"/>
    <n v="204000"/>
    <m/>
    <n v="0"/>
    <n v="0"/>
    <n v="0"/>
    <n v="7.4099999999999902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320010075201"/>
    <n v="1"/>
    <n v="16"/>
    <x v="15"/>
    <s v="GARDEN OF NAEEM"/>
    <s v="Garden of Na'Eem Midnight Gardenia 72x75Gr"/>
    <x v="2"/>
    <n v="8992946533907"/>
    <x v="3"/>
    <s v="GRDN OF NA EEM SABUN"/>
    <s v="F4032"/>
    <x v="16"/>
    <n v="14"/>
    <s v="GRDN OF NA EEM SABUN MIDNIGHT GRDN 75G X 72 PCS"/>
    <n v="47"/>
    <m/>
    <s v="F4"/>
    <s v="GRDN OF NA EEM"/>
    <s v="03"/>
    <s v="SABUN"/>
    <n v="2"/>
    <m/>
    <s v="0"/>
    <s v="MIDNIGHT GRDN"/>
    <s v="01"/>
    <s v="75G"/>
    <s v="0075"/>
    <s v="PCS"/>
    <n v="2"/>
    <m/>
    <n v="0"/>
    <m/>
    <m/>
    <m/>
    <s v="GRAM"/>
    <n v="1"/>
    <m/>
    <n v="2460.7252252252251"/>
    <n v="177172.21621621621"/>
    <n v="2731.4050000000002"/>
    <n v="196661.16"/>
    <n v="2657.6576576576572"/>
    <n v="191351.3513513513"/>
    <n v="2949.9999999999995"/>
    <n v="212399.99999999997"/>
    <m/>
    <n v="0"/>
    <n v="0"/>
    <n v="0"/>
    <n v="7.4099999999999874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320020075101"/>
    <n v="1"/>
    <n v="17"/>
    <x v="16"/>
    <s v="GARDEN OF NAEEM"/>
    <s v="Garden of NaEem Royal Jasmine 24x3x75Gr (P3)"/>
    <x v="1"/>
    <n v="8992946534416"/>
    <x v="5"/>
    <s v="GRDN OF NA EEM SABUN"/>
    <s v="F4032"/>
    <x v="17"/>
    <n v="14"/>
    <s v="GRDN OF NA EEM SABUN ROYAL JASMINE 75G X 24 PACK"/>
    <n v="48"/>
    <m/>
    <s v="F4"/>
    <s v="GRDN OF NA EEM"/>
    <s v="03"/>
    <s v="SABUN"/>
    <n v="2"/>
    <m/>
    <s v="0"/>
    <s v="ROYAL JASMINE"/>
    <s v="02"/>
    <s v="75G"/>
    <s v="0075"/>
    <s v="PACK"/>
    <n v="1"/>
    <m/>
    <n v="0"/>
    <m/>
    <m/>
    <m/>
    <s v="GRAM"/>
    <n v="1"/>
    <m/>
    <n v="7090.2252252252247"/>
    <n v="170165.40540540538"/>
    <n v="7870.15"/>
    <n v="188883.6"/>
    <n v="7657.6576576576563"/>
    <n v="183783.78378378376"/>
    <n v="8500"/>
    <n v="204000"/>
    <m/>
    <n v="0"/>
    <n v="0"/>
    <n v="0"/>
    <n v="7.4099999999999902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320020075201"/>
    <n v="1"/>
    <n v="18"/>
    <x v="17"/>
    <s v="GARDEN OF NAEEM"/>
    <s v="Garden of Na'Eem Royal Jasmine 72x75Gr"/>
    <x v="2"/>
    <s v="8992946533518"/>
    <x v="3"/>
    <s v="GRDN OF NA EEM SABUN"/>
    <s v="F4032"/>
    <x v="18"/>
    <n v="14"/>
    <s v="GRDN OF NA EEM SABUN ROYAL JASMINE 75G X 72 PCS"/>
    <n v="47"/>
    <m/>
    <s v="F4"/>
    <s v="GRDN OF NA EEM"/>
    <s v="03"/>
    <s v="SABUN"/>
    <n v="2"/>
    <m/>
    <s v="0"/>
    <s v="ROYAL JASMINE"/>
    <s v="02"/>
    <s v="75G"/>
    <s v="0075"/>
    <s v="PCS"/>
    <n v="2"/>
    <m/>
    <n v="0"/>
    <m/>
    <m/>
    <m/>
    <s v="GRAM"/>
    <n v="1"/>
    <m/>
    <n v="2460.7252252252251"/>
    <n v="177172.21621621621"/>
    <n v="2731.4050000000002"/>
    <n v="196661.16"/>
    <n v="2657.6576576576572"/>
    <n v="191351.3513513513"/>
    <n v="2949.9999999999995"/>
    <n v="212399.99999999997"/>
    <m/>
    <n v="0"/>
    <n v="0"/>
    <n v="0"/>
    <n v="7.4099999999999874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320030075101"/>
    <n v="1"/>
    <n v="19"/>
    <x v="18"/>
    <s v="GARDEN OF NAEEM"/>
    <s v="Garden of Na'Eem Taifi Rose 24x3x75Gr (P3)"/>
    <x v="1"/>
    <n v="8992946534409"/>
    <x v="5"/>
    <s v="GRDN OF NA EEM SABUN"/>
    <s v="F4032"/>
    <x v="19"/>
    <n v="14"/>
    <s v="GRDN OF NA EEM SABUN TAIFI ROSE 75G X 24 PACK"/>
    <n v="45"/>
    <m/>
    <s v="F4"/>
    <s v="GRDN OF NA EEM"/>
    <s v="03"/>
    <s v="SABUN"/>
    <n v="2"/>
    <m/>
    <s v="0"/>
    <s v="TAIFI ROSE"/>
    <s v="03"/>
    <s v="75G"/>
    <s v="0075"/>
    <s v="PACK"/>
    <n v="1"/>
    <m/>
    <n v="0"/>
    <m/>
    <m/>
    <m/>
    <s v="GRAM"/>
    <n v="1"/>
    <m/>
    <n v="7090.2252252252247"/>
    <n v="170165.40540540538"/>
    <n v="7870.15"/>
    <n v="188883.6"/>
    <n v="7657.6576576576563"/>
    <n v="183783.78378378376"/>
    <n v="8500"/>
    <n v="204000"/>
    <m/>
    <n v="0"/>
    <n v="0"/>
    <n v="0"/>
    <n v="7.4099999999999902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320030075201"/>
    <n v="1"/>
    <n v="20"/>
    <x v="19"/>
    <s v="GARDEN OF NAEEM"/>
    <s v="Garden of Na'Eem Taifi Rose 72x75Gr"/>
    <x v="2"/>
    <n v="8992946533901"/>
    <x v="3"/>
    <s v="GRDN OF NA EEM SABUN"/>
    <s v="F4032"/>
    <x v="20"/>
    <n v="14"/>
    <s v="GRDN OF NA EEM SABUN TAIFI ROSE 75G X 72 PCS"/>
    <n v="44"/>
    <m/>
    <s v="F4"/>
    <s v="GRDN OF NA EEM"/>
    <s v="03"/>
    <s v="SABUN"/>
    <n v="2"/>
    <m/>
    <s v="0"/>
    <s v="TAIFI ROSE"/>
    <s v="03"/>
    <s v="75G"/>
    <s v="0075"/>
    <s v="PCS"/>
    <n v="2"/>
    <m/>
    <n v="0"/>
    <m/>
    <m/>
    <m/>
    <s v="GRAM"/>
    <n v="1"/>
    <m/>
    <n v="2460.7252252252251"/>
    <n v="177172.21621621621"/>
    <n v="2731.4050000000002"/>
    <n v="196661.16"/>
    <n v="2657.6576576576572"/>
    <n v="191351.3513513513"/>
    <n v="2949.9999999999995"/>
    <n v="212399.99999999997"/>
    <m/>
    <n v="0"/>
    <n v="0"/>
    <n v="0"/>
    <n v="7.4099999999999874E-2"/>
    <d v="2025-07-10T00:00:00"/>
    <m/>
    <s v="Lama"/>
    <s v="Sama"/>
    <s v="Aktif"/>
    <s v="IDR"/>
    <s v="10075"/>
    <s v="75G"/>
    <s v="S-FRN"/>
    <s v="45MIX"/>
    <s v="KRT"/>
    <s v="GD01"/>
    <n v="11611"/>
    <n v="11612"/>
    <s v="0101"/>
    <n v="1"/>
    <s v="PT. FOKUS RITEL NUSAPRIMA"/>
  </r>
  <r>
    <s v="F40410010200101"/>
    <n v="1"/>
    <n v="21"/>
    <x v="20"/>
    <s v="GARDENIA GLOW"/>
    <s v="GG BLT Midnight Gardenia 48X200Ml"/>
    <x v="3"/>
    <n v="8992946534584"/>
    <x v="4"/>
    <s v="GRDN GLOW BODY LTN"/>
    <s v="F4041"/>
    <x v="21"/>
    <n v="14"/>
    <s v="GRDN GLOW BODY LTN MIDNIGHT GRDN 200ML X 48 BTL"/>
    <n v="47"/>
    <m/>
    <s v="F4"/>
    <s v="GRDN GLOW"/>
    <s v="04"/>
    <s v="BODY LTN"/>
    <n v="1"/>
    <m/>
    <s v="0"/>
    <s v="MIDNIGHT GRDN"/>
    <s v="01"/>
    <s v="200ML"/>
    <s v="0200"/>
    <s v="BTL"/>
    <n v="1"/>
    <m/>
    <n v="0"/>
    <m/>
    <m/>
    <m/>
    <s v="LITER"/>
    <n v="2"/>
    <m/>
    <n v="12887.527027027025"/>
    <n v="618601.29729729716"/>
    <n v="14305.154999999999"/>
    <n v="686647.44"/>
    <n v="13918.918918918918"/>
    <n v="668108.10810810805"/>
    <n v="15450"/>
    <n v="741600"/>
    <m/>
    <n v="0"/>
    <n v="0"/>
    <n v="0"/>
    <n v="7.410000000000011E-2"/>
    <d v="2025-07-10T00:00:00"/>
    <m/>
    <s v="Lama"/>
    <s v="Sama"/>
    <s v="Aktif"/>
    <s v="IDR"/>
    <s v="20200"/>
    <s v="200ML"/>
    <s v="S-FRN"/>
    <s v="45MIX"/>
    <s v="KRT"/>
    <s v="GD01"/>
    <n v="11611"/>
    <n v="11612"/>
    <s v="0101"/>
    <n v="1"/>
    <s v="PT. FOKUS RITEL NUSAPRIMA"/>
  </r>
  <r>
    <s v="F40410020200101"/>
    <n v="1"/>
    <n v="22"/>
    <x v="21"/>
    <s v="GARDENIA GLOW"/>
    <s v="GG BLT Royal Jasmine 48X200Ml"/>
    <x v="3"/>
    <n v="8992946534591"/>
    <x v="4"/>
    <s v="GRDN GLOW BODY LTN"/>
    <s v="F4041"/>
    <x v="22"/>
    <n v="14"/>
    <s v="GRDN GLOW BODY LTN RYL JASMINE 200ML X 48 BTL"/>
    <n v="45"/>
    <m/>
    <s v="F4"/>
    <s v="GRDN GLOW"/>
    <s v="04"/>
    <s v="BODY LTN"/>
    <n v="1"/>
    <m/>
    <s v="0"/>
    <s v="RYL JASMINE"/>
    <s v="02"/>
    <s v="200ML"/>
    <s v="0200"/>
    <s v="BTL"/>
    <n v="1"/>
    <m/>
    <n v="0"/>
    <m/>
    <m/>
    <m/>
    <s v="LITER"/>
    <n v="2"/>
    <m/>
    <n v="12887.527027027025"/>
    <n v="618601.29729729716"/>
    <n v="14305.154999999999"/>
    <n v="686647.44"/>
    <n v="13918.918918918918"/>
    <n v="668108.10810810805"/>
    <n v="15450"/>
    <n v="741600"/>
    <m/>
    <n v="0"/>
    <n v="0"/>
    <n v="0"/>
    <n v="7.410000000000011E-2"/>
    <d v="2025-07-10T00:00:00"/>
    <m/>
    <s v="Lama"/>
    <s v="Sama"/>
    <s v="Aktif"/>
    <s v="IDR"/>
    <s v="20200"/>
    <s v="200ML"/>
    <s v="S-FRN"/>
    <s v="45MIX"/>
    <s v="KRT"/>
    <s v="GD01"/>
    <n v="11611"/>
    <n v="11612"/>
    <s v="0101"/>
    <n v="1"/>
    <s v="PT. FOKUS RITEL NUSAPRIMA"/>
  </r>
  <r>
    <s v="F40410020009201"/>
    <n v="1"/>
    <n v="23"/>
    <x v="22"/>
    <s v="GARDENIA GLOW"/>
    <s v="Gardenia Glow BLT Royal Jasmine Sachet 10x48x9Ml"/>
    <x v="3"/>
    <n v="8992946534706"/>
    <x v="6"/>
    <s v="GRDN GLOW BODY LTN"/>
    <s v="F4041"/>
    <x v="23"/>
    <n v="14"/>
    <s v="GRDN GLOW BODY LTN RYL JASMINE 9ML X 48 SCH"/>
    <n v="43"/>
    <m/>
    <s v="F4"/>
    <s v="GRDN GLOW"/>
    <s v="04"/>
    <s v="BODY LTN"/>
    <n v="1"/>
    <m/>
    <s v="0"/>
    <s v="RYL JASMINE"/>
    <s v="02"/>
    <s v="9ML"/>
    <s v="0009"/>
    <s v="SCH"/>
    <n v="2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09"/>
    <s v="9ML"/>
    <m/>
    <m/>
    <s v="KRT"/>
    <s v="GD01"/>
    <n v="11611"/>
    <n v="11612"/>
    <m/>
    <n v="1"/>
    <m/>
  </r>
  <r>
    <s v="F40410020009202"/>
    <n v="2"/>
    <n v="24"/>
    <x v="23"/>
    <s v="GARDENIA GLOW"/>
    <s v="Gardenia Glow BLT Royal Jasmine Sachet 10x48x9Ml"/>
    <x v="3"/>
    <n v="8992946534706"/>
    <x v="6"/>
    <s v="GRDN GLOW BODY LTN"/>
    <s v="F4041"/>
    <x v="23"/>
    <n v="14"/>
    <s v="GRDN GLOW BODY LTN RYL JASMINE 9ML X 48 SCH"/>
    <n v="43"/>
    <m/>
    <s v="F4"/>
    <s v="GRDN GLOW"/>
    <s v="04"/>
    <s v="BODY LTN"/>
    <n v="1"/>
    <m/>
    <s v="0"/>
    <s v="RYL JASMINE"/>
    <s v="02"/>
    <s v="9ML"/>
    <s v="0009"/>
    <s v="SCH"/>
    <n v="2"/>
    <m/>
    <n v="0"/>
    <m/>
    <m/>
    <m/>
    <s v="LITER"/>
    <n v="2"/>
    <m/>
    <n v="5839.0090090090089"/>
    <n v="280272.43243243243"/>
    <n v="6481.3"/>
    <n v="311102.40000000002"/>
    <n v="6306.3063063063055"/>
    <n v="302702.70270270266"/>
    <n v="7000"/>
    <n v="336000"/>
    <m/>
    <n v="0"/>
    <n v="0"/>
    <n v="0"/>
    <n v="7.4099999999999902E-2"/>
    <d v="2025-07-10T00:00:00"/>
    <m/>
    <s v="Lama"/>
    <s v="Sama"/>
    <s v="Aktif"/>
    <s v="IDR"/>
    <s v="20009"/>
    <s v="9ML"/>
    <s v="S-FRN"/>
    <s v="45MIX"/>
    <s v="KRT"/>
    <s v="GD01"/>
    <n v="11611"/>
    <n v="11612"/>
    <s v="0101"/>
    <n v="1"/>
    <s v="PT. FOKUS RITEL NUSAPRIMA"/>
  </r>
  <r>
    <s v="F40410020009303"/>
    <n v="3"/>
    <m/>
    <x v="23"/>
    <s v="GARDENIA GLOW"/>
    <s v="Gardenia Glow BLT Royal Jasmine Sachet 10x48x9Ml"/>
    <x v="4"/>
    <n v="8992946535229"/>
    <x v="7"/>
    <s v="GARDENIA GLOW BODY LTN"/>
    <s v="F4041"/>
    <x v="24"/>
    <n v="14"/>
    <s v="GARDENIA GLOW BODY LTN RYL JASMINE 9ML X 48 RCG PCSX10"/>
    <n v="54"/>
    <m/>
    <s v="F4"/>
    <s v="GARDENIA GLOW"/>
    <s v="04"/>
    <s v="BODY LTN"/>
    <n v="1"/>
    <m/>
    <s v="0"/>
    <s v="RYL JASMINE"/>
    <s v="02"/>
    <s v="9ML"/>
    <s v="0009"/>
    <s v="PCSX10"/>
    <n v="3"/>
    <m/>
    <n v="0"/>
    <m/>
    <m/>
    <m/>
    <m/>
    <m/>
    <m/>
    <m/>
    <e v="#VALUE!"/>
    <n v="0"/>
    <e v="#VALUE!"/>
    <m/>
    <e v="#VALUE!"/>
    <n v="0"/>
    <e v="#VALUE!"/>
    <m/>
    <e v="#VALUE!"/>
    <n v="0"/>
    <e v="#VALUE!"/>
    <n v="0"/>
    <m/>
    <m/>
    <s v="Lama"/>
    <s v="Sama"/>
    <m/>
    <s v="IDR"/>
    <s v="0009"/>
    <s v="9ML"/>
    <m/>
    <m/>
    <s v="KRT"/>
    <s v="GD01"/>
    <n v="11611"/>
    <n v="11612"/>
    <m/>
    <n v="1"/>
    <m/>
  </r>
  <r>
    <s v="F40410030200101"/>
    <n v="1"/>
    <n v="25"/>
    <x v="24"/>
    <s v="GARDENIA GLOW"/>
    <s v="GG BLT Taifi Rose 48x200Ml"/>
    <x v="3"/>
    <n v="8992946534577"/>
    <x v="8"/>
    <s v="GRDN GLOW BODY LTN"/>
    <s v="F4041"/>
    <x v="25"/>
    <n v="14"/>
    <s v="GRDN GLOW BODY LTN TAIFI ROSE 200ML X 48 BTL"/>
    <n v="44"/>
    <m/>
    <s v="F4"/>
    <s v="GRDN GLOW"/>
    <s v="04"/>
    <s v="BODY LTN"/>
    <n v="1"/>
    <m/>
    <s v="0"/>
    <s v="TAIFI ROSE"/>
    <s v="03"/>
    <s v="200ML"/>
    <s v="0200"/>
    <s v="BTL "/>
    <n v="1"/>
    <m/>
    <n v="0"/>
    <m/>
    <m/>
    <m/>
    <s v="LITER"/>
    <n v="2"/>
    <m/>
    <n v="12887.527027027025"/>
    <n v="618601.29729729716"/>
    <n v="14305.154999999999"/>
    <n v="686647.44"/>
    <n v="13918.918918918918"/>
    <n v="668108.10810810805"/>
    <n v="15450"/>
    <n v="741600"/>
    <m/>
    <n v="0"/>
    <n v="0"/>
    <n v="0"/>
    <n v="7.410000000000011E-2"/>
    <d v="2025-07-10T00:00:00"/>
    <m/>
    <s v="Lama"/>
    <s v="Sama"/>
    <s v="Aktif"/>
    <s v="IDR"/>
    <s v="20200"/>
    <s v="200ML"/>
    <s v="S-FRN"/>
    <s v="45MIX"/>
    <s v="KRT"/>
    <s v="GD01"/>
    <n v="11611"/>
    <n v="11612"/>
    <s v="0101"/>
    <n v="1"/>
    <s v="PT. FOKUS RITEL NUSAPRIMA"/>
  </r>
  <r>
    <s v="F40410030009201"/>
    <n v="1"/>
    <n v="26"/>
    <x v="25"/>
    <s v="GARDENIA GLOW"/>
    <s v="Gardenia Glow BLT Taifi Rose Sachet 10x48x9Ml"/>
    <x v="3"/>
    <n v="8992946534713"/>
    <x v="6"/>
    <s v="GRDN GLOW BODY LTN"/>
    <s v="F4041"/>
    <x v="26"/>
    <n v="14"/>
    <s v="GRDN GLOW BODY LTN TAIFI ROSE 9ML X 48 SCH"/>
    <n v="42"/>
    <m/>
    <s v="F4"/>
    <s v="GRDN GLOW"/>
    <s v="04"/>
    <s v="BODY LTN"/>
    <n v="1"/>
    <m/>
    <s v="0"/>
    <s v="TAIFI ROSE"/>
    <s v="03"/>
    <s v="9ML"/>
    <s v="0009"/>
    <s v="SCH"/>
    <n v="2"/>
    <m/>
    <n v="0"/>
    <m/>
    <m/>
    <m/>
    <s v="LITER"/>
    <n v="2"/>
    <m/>
    <n v="5839.0090090090089"/>
    <n v="280272.43243243243"/>
    <n v="6481.3"/>
    <n v="311102.40000000002"/>
    <n v="6306.3063063063055"/>
    <n v="302702.70270270266"/>
    <n v="7000"/>
    <n v="336000"/>
    <m/>
    <n v="0"/>
    <n v="0"/>
    <n v="0"/>
    <n v="7.4099999999999902E-2"/>
    <d v="2025-07-10T00:00:00"/>
    <m/>
    <s v="Lama"/>
    <s v="Sama"/>
    <s v="Aktif"/>
    <s v="IDR"/>
    <s v="20009"/>
    <s v="9ML"/>
    <s v="S-FRN"/>
    <s v="45MIX"/>
    <s v="KRT"/>
    <s v="GD01"/>
    <n v="11611"/>
    <n v="11612"/>
    <s v="0101"/>
    <n v="1"/>
    <s v="PT. FOKUS RITEL NUSAPRIMA"/>
  </r>
  <r>
    <s v="F40410030009302"/>
    <n v="2"/>
    <m/>
    <x v="25"/>
    <s v="GARDENIA GLOW"/>
    <s v="Gardenia Glow BLT Taifi Rose Sachet 10x48x9Ml"/>
    <x v="4"/>
    <n v="8992946535236"/>
    <x v="7"/>
    <s v="GARDENIA GLOW BODY LTN"/>
    <s v="F4041"/>
    <x v="27"/>
    <n v="14"/>
    <s v="GRDN GLOW BODY LTN TAIFI ROSE 9ML X 48 RCG PCSX10"/>
    <n v="49"/>
    <m/>
    <s v="F4"/>
    <s v="GRDN GLOW"/>
    <s v="04"/>
    <s v="BODY LTN"/>
    <n v="1"/>
    <m/>
    <s v="0"/>
    <s v="TAIFI ROSE"/>
    <s v="03"/>
    <s v="9ML"/>
    <s v="0009"/>
    <s v="PCSX10"/>
    <n v="3"/>
    <m/>
    <n v="0"/>
    <m/>
    <m/>
    <m/>
    <m/>
    <m/>
    <m/>
    <m/>
    <e v="#VALUE!"/>
    <n v="0"/>
    <e v="#VALUE!"/>
    <m/>
    <e v="#VALUE!"/>
    <n v="0"/>
    <e v="#VALUE!"/>
    <m/>
    <e v="#VALUE!"/>
    <n v="0"/>
    <e v="#VALUE!"/>
    <n v="0"/>
    <m/>
    <m/>
    <s v="Lama"/>
    <s v="Sama"/>
    <m/>
    <s v="IDR"/>
    <s v="0009"/>
    <s v="9ML"/>
    <m/>
    <m/>
    <s v="KRT"/>
    <s v="GD01"/>
    <n v="11611"/>
    <n v="11612"/>
    <m/>
    <n v="1"/>
    <m/>
  </r>
  <r>
    <s v="F40510010360111"/>
    <n v="1"/>
    <n v="27"/>
    <x v="26"/>
    <s v="PINK SKIN"/>
    <s v="PINK SKIN Perfume BCL Shining Star Botol 24x360Ml Upsize 30%"/>
    <x v="1"/>
    <n v="8992946534881"/>
    <x v="9"/>
    <s v="PINK SKIN BCL"/>
    <s v="F4051"/>
    <x v="28"/>
    <n v="14"/>
    <s v="PINK SKIN BCL SHINING STAR 360ML X 24 TUBE 30%"/>
    <n v="46"/>
    <m/>
    <s v="F4"/>
    <s v="PINK SKIN "/>
    <s v="05"/>
    <s v="BCL"/>
    <n v="1"/>
    <m/>
    <s v="0"/>
    <s v="SHINING STAR"/>
    <s v="01"/>
    <s v="360ML"/>
    <s v="0360"/>
    <s v="TUBE"/>
    <n v="1"/>
    <s v="30%"/>
    <n v="1"/>
    <m/>
    <m/>
    <m/>
    <s v="LITER"/>
    <n v="2"/>
    <m/>
    <n v="40038.918918918913"/>
    <n v="960934.05405405397"/>
    <n v="44443.199999999997"/>
    <n v="1066636.8"/>
    <n v="43243.24324324324"/>
    <n v="1037837.8378378378"/>
    <n v="48000"/>
    <n v="1152000"/>
    <m/>
    <n v="0"/>
    <n v="0"/>
    <n v="0"/>
    <n v="7.4100000000000069E-2"/>
    <d v="2025-07-10T00:00:00"/>
    <m/>
    <s v="Lama"/>
    <s v="Sama"/>
    <s v="Aktif"/>
    <s v="IDR"/>
    <s v="20360"/>
    <s v="360ML"/>
    <s v="S-FRN"/>
    <s v="45MIX"/>
    <s v="KRT"/>
    <s v="GD01"/>
    <n v="11611"/>
    <n v="11612"/>
    <s v="0101"/>
    <n v="1"/>
    <s v="PT. FOKUS RITEL NUSAPRIMA"/>
  </r>
  <r>
    <s v="F40520010180101"/>
    <n v="1"/>
    <n v="28"/>
    <x v="27"/>
    <s v="PINK SKIN"/>
    <s v="PINK SKIN PERFUME LTN First Love 48x180Ml"/>
    <x v="3"/>
    <s v="8992946534546"/>
    <x v="9"/>
    <s v="PINK SKIN PARFUME LTN"/>
    <s v="F4052"/>
    <x v="29"/>
    <n v="14"/>
    <s v="PINK SKIN PARFUME LTN FIRST LOVE 180ML X 48 TUBE"/>
    <n v="48"/>
    <m/>
    <s v="F4"/>
    <s v="PINK SKIN "/>
    <s v="05"/>
    <s v="PARFUME LTN"/>
    <n v="2"/>
    <m/>
    <s v="0"/>
    <s v="FIRST LOVE"/>
    <s v="01"/>
    <s v="180ML"/>
    <s v="0180"/>
    <s v="TUBE"/>
    <n v="1"/>
    <m/>
    <n v="0"/>
    <m/>
    <m/>
    <m/>
    <s v="LITER"/>
    <n v="2"/>
    <m/>
    <n v="40038.918918918913"/>
    <n v="1921868.1081081079"/>
    <n v="44443.199999999997"/>
    <n v="2133273.6000000001"/>
    <n v="43243.24324324324"/>
    <n v="2075675.6756756755"/>
    <n v="48000"/>
    <n v="2304000"/>
    <m/>
    <n v="0"/>
    <n v="0"/>
    <n v="0"/>
    <n v="7.4100000000000069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520010070101"/>
    <n v="1"/>
    <n v="29"/>
    <x v="28"/>
    <s v="PINK SKIN"/>
    <s v="PINK SKIN Parfume Lotion First Love Star 48x70 ml"/>
    <x v="3"/>
    <n v="8992946534805"/>
    <x v="9"/>
    <s v="PINK SKIN PARFUME LTN"/>
    <s v="F4052"/>
    <x v="30"/>
    <n v="14"/>
    <s v="PINK SKIN PARFUME LTN FIRST LOVE 70ML X 48 TUBE"/>
    <n v="47"/>
    <m/>
    <s v="F4"/>
    <s v="PINK SKIN "/>
    <s v="05"/>
    <s v="PARFUME LTN"/>
    <n v="2"/>
    <m/>
    <s v="0"/>
    <s v="FIRST LOVE"/>
    <s v="01"/>
    <s v="70ML"/>
    <s v="0070"/>
    <s v="TUBE"/>
    <n v="1"/>
    <m/>
    <n v="0"/>
    <m/>
    <m/>
    <m/>
    <s v="LITER"/>
    <n v="2"/>
    <m/>
    <n v="20019.459459459456"/>
    <n v="960934.05405405397"/>
    <n v="22221.599999999999"/>
    <n v="1066636.8"/>
    <n v="21621.62162162162"/>
    <n v="1037837.8378378378"/>
    <n v="24000"/>
    <n v="1152000"/>
    <m/>
    <n v="0"/>
    <n v="0"/>
    <n v="0"/>
    <n v="7.4100000000000069E-2"/>
    <d v="2025-07-10T00:00:00"/>
    <m/>
    <s v="Lama"/>
    <s v="Sama"/>
    <s v="Aktif"/>
    <s v="IDR"/>
    <s v="20070"/>
    <s v="70ML"/>
    <s v="S-FRN"/>
    <s v="45MIX"/>
    <s v="KRT"/>
    <s v="GD01"/>
    <n v="11611"/>
    <n v="11612"/>
    <s v="0101"/>
    <n v="1"/>
    <s v="PT. FOKUS RITEL NUSAPRIMA"/>
  </r>
  <r>
    <s v="F40520020180101"/>
    <n v="1"/>
    <n v="30"/>
    <x v="29"/>
    <s v="PINK SKIN"/>
    <s v="PINK SKIN PERFUME LTN Forget Me Not 48x180Ml"/>
    <x v="3"/>
    <s v="8992946534553"/>
    <x v="9"/>
    <s v="PINK SKIN PARFUME LTN"/>
    <s v="F4052"/>
    <x v="31"/>
    <n v="14"/>
    <s v="PINK SKIN PARFUME LTN FORGET ME NT 180ML X 48 TUBE"/>
    <n v="50"/>
    <m/>
    <s v="F4"/>
    <s v="PINK SKIN "/>
    <s v="05"/>
    <s v="PARFUME LTN"/>
    <n v="2"/>
    <m/>
    <s v="0"/>
    <s v="FORGET ME NT"/>
    <s v="02"/>
    <s v="180ML"/>
    <s v="0180"/>
    <s v="TUBE"/>
    <n v="1"/>
    <m/>
    <n v="0"/>
    <m/>
    <m/>
    <m/>
    <s v="LITER"/>
    <n v="2"/>
    <m/>
    <n v="40038.918918918913"/>
    <n v="1921868.1081081079"/>
    <n v="44443.199999999997"/>
    <n v="2133273.6000000001"/>
    <n v="43243.24324324324"/>
    <n v="2075675.6756756755"/>
    <n v="48000"/>
    <n v="2304000"/>
    <m/>
    <n v="0"/>
    <n v="0"/>
    <n v="0"/>
    <n v="7.4100000000000069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520020070101"/>
    <n v="1"/>
    <n v="31"/>
    <x v="30"/>
    <s v="PINK SKIN"/>
    <s v="PINK SKIN Parfume Lotion Forget Me Not 48x70 ml"/>
    <x v="3"/>
    <n v="8992946534829"/>
    <x v="9"/>
    <s v="PINK SKIN PARFUME LTN"/>
    <s v="F4052"/>
    <x v="32"/>
    <n v="14"/>
    <s v="PINK SKIN PARFUME LTN FORGET ME NT 70ML X 48 TUBE"/>
    <n v="49"/>
    <m/>
    <s v="F4"/>
    <s v="PINK SKIN "/>
    <s v="05"/>
    <s v="PARFUME LTN"/>
    <n v="2"/>
    <m/>
    <s v="0"/>
    <s v="FORGET ME NT"/>
    <s v="02"/>
    <s v="70ML"/>
    <s v="0070"/>
    <s v="TUBE"/>
    <n v="1"/>
    <m/>
    <n v="0"/>
    <m/>
    <m/>
    <m/>
    <s v="LITER"/>
    <n v="2"/>
    <m/>
    <n v="20019.459459459456"/>
    <n v="960934.05405405397"/>
    <n v="22221.599999999999"/>
    <n v="1066636.8"/>
    <n v="21621.62162162162"/>
    <n v="1037837.8378378378"/>
    <n v="24000"/>
    <n v="1152000"/>
    <m/>
    <n v="0"/>
    <n v="0"/>
    <n v="0"/>
    <n v="7.4100000000000069E-2"/>
    <d v="2025-07-10T00:00:00"/>
    <m/>
    <s v="Lama"/>
    <s v="Sama"/>
    <s v="Aktif"/>
    <s v="IDR"/>
    <s v="20070"/>
    <s v="70ML"/>
    <s v="S-FRN"/>
    <s v="45MIX"/>
    <s v="KRT"/>
    <s v="GD01"/>
    <n v="11611"/>
    <n v="11612"/>
    <s v="0101"/>
    <n v="1"/>
    <s v="PT. FOKUS RITEL NUSAPRIMA"/>
  </r>
  <r>
    <s v="F40520030180101"/>
    <n v="1"/>
    <n v="32"/>
    <x v="31"/>
    <s v="PINK SKIN"/>
    <s v="PINK SKIN PERFUME LTN Shining Star 48x180Ml"/>
    <x v="3"/>
    <s v="8992946534522"/>
    <x v="9"/>
    <s v="PINK SKIN PARFUME LTN"/>
    <s v="F4052"/>
    <x v="33"/>
    <n v="14"/>
    <s v="PINK SKIN PARFUME LTN SHINING STAR 180ML X 48 TUBE"/>
    <n v="50"/>
    <m/>
    <s v="F4"/>
    <s v="PINK SKIN "/>
    <s v="05"/>
    <s v="PARFUME LTN"/>
    <n v="2"/>
    <m/>
    <s v="0"/>
    <s v="SHINING STAR"/>
    <s v="03"/>
    <s v="180ML"/>
    <s v="0180"/>
    <s v="TUBE"/>
    <n v="1"/>
    <m/>
    <n v="0"/>
    <m/>
    <m/>
    <m/>
    <s v="LITER"/>
    <n v="2"/>
    <m/>
    <n v="40038.918918918913"/>
    <n v="1921868.1081081079"/>
    <n v="44443.199999999997"/>
    <n v="2133273.6000000001"/>
    <n v="43243.24324324324"/>
    <n v="2075675.6756756755"/>
    <n v="48000"/>
    <n v="2304000"/>
    <m/>
    <n v="0"/>
    <n v="0"/>
    <n v="0"/>
    <n v="7.4100000000000069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520030070101"/>
    <n v="1"/>
    <n v="33"/>
    <x v="32"/>
    <s v="PINK SKIN"/>
    <s v="PINK SKIN Parfume Lotion Shining Star 48x70 ml"/>
    <x v="3"/>
    <n v="8992946534799"/>
    <x v="9"/>
    <s v="PINK SKIN PARFUME LTN"/>
    <s v="F4052"/>
    <x v="34"/>
    <n v="14"/>
    <s v="PINK SKIN PARFUME LTN SHINING STAR 70ML X 48 TUBE"/>
    <n v="49"/>
    <m/>
    <s v="F4"/>
    <s v="PINK SKIN "/>
    <s v="05"/>
    <s v="PARFUME LTN"/>
    <n v="2"/>
    <m/>
    <s v="0"/>
    <s v="SHINING STAR"/>
    <s v="03"/>
    <s v="70ML"/>
    <s v="0070"/>
    <s v="TUBE"/>
    <n v="1"/>
    <m/>
    <n v="0"/>
    <m/>
    <m/>
    <m/>
    <s v="LITER"/>
    <n v="2"/>
    <m/>
    <n v="20019.459459459456"/>
    <n v="960934.05405405397"/>
    <n v="22221.599999999999"/>
    <n v="1066636.8"/>
    <n v="21621.62162162162"/>
    <n v="1037837.8378378378"/>
    <n v="24000"/>
    <n v="1152000"/>
    <m/>
    <n v="0"/>
    <n v="0"/>
    <n v="0"/>
    <n v="7.4100000000000069E-2"/>
    <d v="2025-07-10T00:00:00"/>
    <m/>
    <s v="Lama"/>
    <s v="Sama"/>
    <s v="Aktif"/>
    <s v="IDR"/>
    <s v="20070"/>
    <s v="70ML"/>
    <s v="S-FRN"/>
    <s v="45MIX"/>
    <s v="KRT"/>
    <s v="GD01"/>
    <n v="11611"/>
    <n v="11612"/>
    <s v="0101"/>
    <n v="1"/>
    <s v="PT. FOKUS RITEL NUSAPRIMA"/>
  </r>
  <r>
    <s v="F40520040180101"/>
    <n v="1"/>
    <n v="34"/>
    <x v="33"/>
    <s v="PINK SKIN"/>
    <s v="PINK SKIN PERFUME LTN Sweet Rose 48x180Ml"/>
    <x v="3"/>
    <s v="8992946534539"/>
    <x v="9"/>
    <s v="PINK SKIN PARFUME LTN"/>
    <s v="F4052"/>
    <x v="35"/>
    <n v="14"/>
    <s v="PINK SKIN PARFUME LTN SWEET ROSE 180ML X 48 TUBE"/>
    <n v="48"/>
    <m/>
    <s v="F4"/>
    <s v="PINK SKIN "/>
    <s v="05"/>
    <s v="PARFUME LTN"/>
    <n v="2"/>
    <m/>
    <s v="0"/>
    <s v="SWEET ROSE"/>
    <s v="04"/>
    <s v="180ML"/>
    <s v="0180"/>
    <s v="TUBE"/>
    <n v="1"/>
    <m/>
    <n v="0"/>
    <m/>
    <m/>
    <m/>
    <s v="LITER"/>
    <n v="2"/>
    <m/>
    <n v="40038.918918918913"/>
    <n v="1921868.1081081079"/>
    <n v="44443.199999999997"/>
    <n v="2133273.6000000001"/>
    <n v="43243.24324324324"/>
    <n v="2075675.6756756755"/>
    <n v="48000"/>
    <n v="2304000"/>
    <m/>
    <n v="0"/>
    <n v="0"/>
    <n v="0"/>
    <n v="7.4100000000000069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520040070101"/>
    <n v="1"/>
    <n v="35"/>
    <x v="34"/>
    <s v="PINK SKIN"/>
    <s v="PINK SKIN Parfume Lotion Sweet Rose 48x70 ml"/>
    <x v="3"/>
    <n v="8992946534812"/>
    <x v="9"/>
    <s v="PINK SKIN PARFUME LTN"/>
    <s v="F4052"/>
    <x v="36"/>
    <n v="14"/>
    <s v="PINK SKIN PARFUME LTN SWEET ROSE 70ML X 48 TUBE"/>
    <n v="47"/>
    <m/>
    <s v="F4"/>
    <s v="PINK SKIN "/>
    <s v="05"/>
    <s v="PARFUME LTN"/>
    <n v="2"/>
    <m/>
    <s v="0"/>
    <s v="SWEET ROSE"/>
    <s v="04"/>
    <s v="70ML"/>
    <s v="0070"/>
    <s v="TUBE"/>
    <n v="1"/>
    <m/>
    <n v="0"/>
    <m/>
    <m/>
    <m/>
    <s v="LITER"/>
    <n v="2"/>
    <m/>
    <n v="20019.459459459456"/>
    <n v="960934.05405405397"/>
    <n v="22221.599999999999"/>
    <n v="1066636.8"/>
    <n v="21621.62162162162"/>
    <n v="1037837.8378378378"/>
    <n v="24000"/>
    <n v="1152000"/>
    <m/>
    <n v="0"/>
    <n v="0"/>
    <n v="0"/>
    <n v="7.4100000000000069E-2"/>
    <d v="2025-07-10T00:00:00"/>
    <m/>
    <s v="Lama"/>
    <s v="Sama"/>
    <s v="Aktif"/>
    <s v="IDR"/>
    <s v="20070"/>
    <s v="70ML"/>
    <s v="S-FRN"/>
    <s v="45MIX"/>
    <s v="KRT"/>
    <s v="GD01"/>
    <n v="11611"/>
    <n v="11612"/>
    <s v="0101"/>
    <n v="1"/>
    <s v="PT. FOKUS RITEL NUSAPRIMA"/>
  </r>
  <r>
    <s v="F40530040030201"/>
    <n v="1"/>
    <n v="36"/>
    <x v="35"/>
    <s v="PINK SKIN"/>
    <s v="PINK SKIN EDP SWEET ROSE 48X30ML"/>
    <x v="3"/>
    <n v="8992946535458"/>
    <x v="4"/>
    <s v="PINK SKIN EDP"/>
    <s v="F4053"/>
    <x v="37"/>
    <n v="14"/>
    <s v="PINK SKIN EDP SWEET ROSE 30ML X 48 BTL"/>
    <n v="38"/>
    <m/>
    <s v="F4"/>
    <s v="PINK SKIN "/>
    <s v="05"/>
    <s v="EDP"/>
    <n v="3"/>
    <m/>
    <s v="0"/>
    <s v="SWEET ROSE"/>
    <s v="04"/>
    <s v="30ML"/>
    <s v="0030"/>
    <s v="BTL"/>
    <n v="2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30"/>
    <s v="30ML"/>
    <m/>
    <m/>
    <s v="KRT"/>
    <s v="GD01"/>
    <n v="11611"/>
    <n v="11612"/>
    <m/>
    <n v="1"/>
    <m/>
  </r>
  <r>
    <s v="F40530010030201"/>
    <n v="1"/>
    <n v="37"/>
    <x v="36"/>
    <s v="PINK SKIN"/>
    <s v="PINK SKIN EDP FIRST LOVE 48X30ML"/>
    <x v="3"/>
    <n v="8992946535441"/>
    <x v="4"/>
    <s v="PINK SKIN EDP"/>
    <s v="F4053"/>
    <x v="38"/>
    <n v="14"/>
    <s v="PINK SKIN EDP FIRST LOVE 30ML X 48 BTL"/>
    <n v="38"/>
    <m/>
    <s v="F4"/>
    <s v="PINK SKIN "/>
    <s v="05"/>
    <s v="EDP"/>
    <n v="3"/>
    <m/>
    <s v="0"/>
    <s v="FIRST LOVE"/>
    <s v="01"/>
    <s v="30ML"/>
    <s v="0030"/>
    <s v="BTL"/>
    <n v="2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30"/>
    <s v="30ML"/>
    <m/>
    <m/>
    <s v="KRT"/>
    <s v="GD01"/>
    <n v="11611"/>
    <n v="11612"/>
    <m/>
    <n v="1"/>
    <m/>
  </r>
  <r>
    <s v="F40530020030201"/>
    <n v="1"/>
    <n v="38"/>
    <x v="37"/>
    <s v="PINK SKIN"/>
    <s v="PINK SKIN EDP FORGET ME NOT 48X30ML"/>
    <x v="3"/>
    <n v="8992946535465"/>
    <x v="4"/>
    <s v="PINK SKIN EDP"/>
    <s v="F4053"/>
    <x v="39"/>
    <n v="14"/>
    <s v="PINK SKIN EDP FORGET ME NOT 30ML X 48 BTL"/>
    <n v="41"/>
    <m/>
    <s v="F4"/>
    <s v="PINK SKIN "/>
    <s v="05"/>
    <s v="EDP"/>
    <n v="3"/>
    <m/>
    <s v="0"/>
    <s v="FORGET ME NOT"/>
    <s v="02"/>
    <s v="30ML"/>
    <s v="0030"/>
    <s v="BTL"/>
    <n v="2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30"/>
    <s v="30ML"/>
    <m/>
    <m/>
    <s v="KRT"/>
    <s v="GD01"/>
    <n v="11611"/>
    <n v="11612"/>
    <m/>
    <n v="1"/>
    <m/>
  </r>
  <r>
    <s v="F40530030030201"/>
    <n v="1"/>
    <n v="39"/>
    <x v="38"/>
    <s v="PINK SKIN"/>
    <s v="PINK SKIN EDP SHINING STAR 48X330ML"/>
    <x v="3"/>
    <n v="899246535434"/>
    <x v="4"/>
    <s v="PINK SKIN EDP"/>
    <s v="F4053"/>
    <x v="40"/>
    <n v="14"/>
    <s v="PINK SKIN EDP SHINING STAR 30ML X 48 BTL"/>
    <n v="40"/>
    <m/>
    <s v="F4"/>
    <s v="PINK SKIN "/>
    <s v="05"/>
    <s v="EDP"/>
    <n v="3"/>
    <m/>
    <s v="0"/>
    <s v="SHINING STAR"/>
    <s v="03"/>
    <s v="30ML"/>
    <s v="0030"/>
    <s v="BTL"/>
    <n v="2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30"/>
    <s v="30ML"/>
    <m/>
    <m/>
    <s v="KRT"/>
    <s v="GD01"/>
    <n v="11611"/>
    <n v="11612"/>
    <m/>
    <n v="1"/>
    <m/>
  </r>
  <r>
    <s v="F40611010380101"/>
    <n v="1"/>
    <n v="40"/>
    <x v="39"/>
    <s v="SHINZUI1"/>
    <s v="SHZ BCL Hana Ref 24x380Ml"/>
    <x v="1"/>
    <n v="8992946523526"/>
    <x v="1"/>
    <s v="SHINZUI BODY CLEANSER"/>
    <s v="F4061"/>
    <x v="41"/>
    <n v="14"/>
    <s v="SHINZUI BODY CLEANSER REFILL HANA 380ML X 24 PCH"/>
    <n v="48"/>
    <m/>
    <s v="F4"/>
    <s v="SHINZUI"/>
    <s v="06"/>
    <s v="BODY CLEANSER"/>
    <n v="1"/>
    <s v="REFILL"/>
    <s v="1"/>
    <s v="HANA"/>
    <s v="01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020380101"/>
    <n v="1"/>
    <n v="41"/>
    <x v="40"/>
    <s v="SHINZUI1"/>
    <s v="SHZ BCL KS Ref 24x380Ml"/>
    <x v="1"/>
    <n v="8992946523564"/>
    <x v="1"/>
    <s v="SHINZUI BODY CLEANSER"/>
    <s v="F4061"/>
    <x v="42"/>
    <n v="14"/>
    <s v="SHINZUI BODY CLEANSER REFILL KENSHO 380ML X 24 PCH"/>
    <n v="50"/>
    <m/>
    <s v="F4"/>
    <s v="SHINZUI"/>
    <s v="06"/>
    <s v="BODY CLEANSER"/>
    <n v="1"/>
    <s v="REFILL"/>
    <s v="1"/>
    <s v="KENSHO"/>
    <s v="02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030380101"/>
    <n v="1"/>
    <n v="42"/>
    <x v="41"/>
    <s v="SHINZUI1"/>
    <s v="SHZ BCL Kirei Ref 24x380Ml"/>
    <x v="1"/>
    <n v="8992946523533"/>
    <x v="1"/>
    <s v="SHINZUI BODY CLEANSER"/>
    <s v="F4061"/>
    <x v="43"/>
    <n v="14"/>
    <s v="SHINZUI BODY CLEANSER REFILL KIREI 380ML X 24 PCH"/>
    <n v="49"/>
    <m/>
    <s v="F4"/>
    <s v="SHINZUI"/>
    <s v="06"/>
    <s v="BODY CLEANSER"/>
    <n v="1"/>
    <s v="REFILL"/>
    <s v="1"/>
    <s v="KIREI"/>
    <s v="03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030725101"/>
    <n v="1"/>
    <n v="43"/>
    <x v="42"/>
    <s v="SHINZUI1"/>
    <s v="SHZ BCL Kirei Ref 12x725Ml"/>
    <x v="5"/>
    <n v="8992946531675"/>
    <x v="1"/>
    <s v="SHINZUI BODY CLEANSER"/>
    <s v="F4061"/>
    <x v="44"/>
    <n v="14"/>
    <s v="SHINZUI BODY CLEANSER REFILL KIREI 725ML X 12 PCH"/>
    <n v="49"/>
    <m/>
    <s v="F4"/>
    <s v="SHINZUI"/>
    <s v="06"/>
    <s v="BODY CLEANSER"/>
    <n v="1"/>
    <s v="REFILL"/>
    <s v="1"/>
    <s v="KIREI"/>
    <s v="03"/>
    <s v="725ML"/>
    <s v="0725"/>
    <s v="PCH"/>
    <n v="1"/>
    <m/>
    <n v="0"/>
    <m/>
    <m/>
    <m/>
    <s v="LITER"/>
    <n v="2"/>
    <m/>
    <n v="39204.774774774771"/>
    <n v="470457.29729729728"/>
    <n v="43517.3"/>
    <n v="522207.60000000003"/>
    <n v="42342.342342342337"/>
    <n v="508108.10810810805"/>
    <n v="47000"/>
    <n v="564000"/>
    <m/>
    <n v="0"/>
    <n v="0"/>
    <n v="0"/>
    <n v="7.4099999999999985E-2"/>
    <d v="2025-07-10T00:00:00"/>
    <m/>
    <s v="Lama"/>
    <s v="Sama"/>
    <s v="Aktif"/>
    <s v="IDR"/>
    <s v="20725"/>
    <s v="725ML"/>
    <s v="S-FRN"/>
    <s v="45MIX"/>
    <s v="KRT"/>
    <s v="GD01"/>
    <n v="11611"/>
    <n v="11612"/>
    <s v="0101"/>
    <n v="1"/>
    <s v="PT. FOKUS RITEL NUSAPRIMA"/>
  </r>
  <r>
    <s v="F40611030085101"/>
    <n v="1"/>
    <n v="44"/>
    <x v="43"/>
    <s v="SHINZUI2"/>
    <s v="SHZ Body Cleanser Kirei Ref 48x85Ml"/>
    <x v="3"/>
    <s v="8992946534126"/>
    <x v="10"/>
    <s v="SHINZUI BODY CLEANSER"/>
    <s v="F4061"/>
    <x v="45"/>
    <n v="14"/>
    <s v="SHINZUI BODY CLEANSER REFILL KIREI 85ML X 48 PCH"/>
    <n v="48"/>
    <m/>
    <s v="F4"/>
    <s v="SHINZUI"/>
    <s v="06"/>
    <s v="BODY CLEANSER"/>
    <n v="1"/>
    <s v="REFILL"/>
    <s v="1"/>
    <s v="KIREI"/>
    <s v="03"/>
    <s v="85ML"/>
    <s v="0085"/>
    <s v="PCH "/>
    <n v="1"/>
    <m/>
    <n v="0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0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611040380101"/>
    <n v="1"/>
    <n v="45"/>
    <x v="44"/>
    <s v="SHINZUI1"/>
    <s v="SHZ BCL Matsu Ref 24x380Ml"/>
    <x v="1"/>
    <n v="8992946523519"/>
    <x v="1"/>
    <s v="SHINZUI BODY CLEANSER"/>
    <s v="F4061"/>
    <x v="46"/>
    <n v="14"/>
    <s v="SHINZUI BODY CLEANSER REFILL MATSU 380ML X 24 PCH"/>
    <n v="49"/>
    <m/>
    <s v="F4"/>
    <s v="SHINZUI"/>
    <s v="06"/>
    <s v="BODY CLEANSER"/>
    <n v="1"/>
    <s v="REFILL"/>
    <s v="1"/>
    <s v="MATSU"/>
    <s v="04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040725101"/>
    <n v="1"/>
    <n v="46"/>
    <x v="45"/>
    <s v="SHINZUI1"/>
    <s v="SHZ BCL Matsu Ref 12x725Ml"/>
    <x v="5"/>
    <n v="8992946531705"/>
    <x v="1"/>
    <s v="SHINZUI BODY CLEANSER"/>
    <s v="F4061"/>
    <x v="47"/>
    <n v="14"/>
    <s v="SHINZUI BODY CLEANSER REFILL MATSU 725ML X 12 PCH"/>
    <n v="49"/>
    <m/>
    <s v="F4"/>
    <s v="SHINZUI"/>
    <s v="06"/>
    <s v="BODY CLEANSER"/>
    <n v="1"/>
    <s v="REFILL"/>
    <s v="1"/>
    <s v="MATSU"/>
    <s v="04"/>
    <s v="725ML"/>
    <s v="0725"/>
    <s v="PCH"/>
    <n v="1"/>
    <m/>
    <n v="0"/>
    <m/>
    <m/>
    <m/>
    <s v="LITER"/>
    <n v="2"/>
    <m/>
    <n v="39204.774774774771"/>
    <n v="470457.29729729728"/>
    <n v="43517.3"/>
    <n v="522207.60000000003"/>
    <n v="42342.342342342337"/>
    <n v="508108.10810810805"/>
    <n v="47000"/>
    <n v="564000"/>
    <m/>
    <n v="0"/>
    <n v="0"/>
    <n v="0"/>
    <n v="7.4099999999999985E-2"/>
    <d v="2025-07-10T00:00:00"/>
    <m/>
    <s v="Lama"/>
    <s v="Sama"/>
    <s v="Aktif"/>
    <s v="IDR"/>
    <s v="20725"/>
    <s v="725ML"/>
    <s v="S-FRN"/>
    <s v="45MIX"/>
    <s v="KRT"/>
    <s v="GD01"/>
    <n v="11611"/>
    <n v="11612"/>
    <s v="0101"/>
    <n v="1"/>
    <s v="PT. FOKUS RITEL NUSAPRIMA"/>
  </r>
  <r>
    <s v="F40611040400111"/>
    <n v="1"/>
    <n v="47"/>
    <x v="46"/>
    <s v="SHINZUI1"/>
    <s v="SHZ BCL MATSU REF 400MLX3X12 (2PKT1 ZEN BCL TEATREE 400ML)"/>
    <x v="5"/>
    <n v="8992946523516"/>
    <x v="1"/>
    <s v="SHINZUI BODY CLEANSER"/>
    <s v="F4061"/>
    <x v="48"/>
    <n v="14"/>
    <s v="SHINZUI BODY CLEANSER REF MATSU 400ML X 12 PCH BND"/>
    <n v="50"/>
    <m/>
    <s v="F4"/>
    <s v="SHINZUI"/>
    <s v="06"/>
    <s v="BODY CLEANSER"/>
    <n v="1"/>
    <s v="REF"/>
    <s v="1"/>
    <s v="MATSU"/>
    <s v="04"/>
    <s v="400ML"/>
    <s v="0400"/>
    <s v="PCH"/>
    <n v="1"/>
    <s v="BND"/>
    <n v="1"/>
    <m/>
    <m/>
    <m/>
    <s v="LITER"/>
    <n v="2"/>
    <m/>
    <n v="43375.495495495488"/>
    <n v="520505.94594594586"/>
    <n v="48146.799999999996"/>
    <n v="577761.6"/>
    <n v="46846.846846846842"/>
    <n v="562162.16216216213"/>
    <n v="52000"/>
    <n v="624000"/>
    <m/>
    <n v="0"/>
    <n v="0"/>
    <n v="0"/>
    <n v="7.4100000000000055E-2"/>
    <d v="2025-07-26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61104040011"/>
    <m/>
    <n v="48"/>
    <x v="47"/>
    <s v="SHINZUI1"/>
    <s v="SHZ BCL MT Ref 400Ml &amp; ZEN BCL Shiso &amp; TT 400Ml 2Pkt1 x12"/>
    <x v="5"/>
    <n v="8992946523516"/>
    <x v="1"/>
    <s v="SHINZUI BODY CLEANSER"/>
    <s v="F4061"/>
    <x v="48"/>
    <n v="14"/>
    <s v="SHINZUI BODY CLEANSER REF MATSU 400ML X 12 PCH BND"/>
    <n v="50"/>
    <m/>
    <s v="F4"/>
    <s v="SHINZUI"/>
    <s v="06"/>
    <s v="BODY CLEANSER"/>
    <n v="1"/>
    <s v="REF"/>
    <s v="1"/>
    <s v="MATSU"/>
    <s v="04"/>
    <s v="400ML"/>
    <s v="0400"/>
    <s v="PCH"/>
    <n v="1"/>
    <s v="BND"/>
    <n v="1"/>
    <m/>
    <m/>
    <m/>
    <s v="LITER"/>
    <n v="2"/>
    <m/>
    <n v="43375.495495495488"/>
    <n v="520505.94594594586"/>
    <n v="48146.799999999996"/>
    <n v="577761.6"/>
    <n v="46846.846846846842"/>
    <n v="562162.16216216213"/>
    <n v="52000"/>
    <n v="624000"/>
    <m/>
    <n v="0"/>
    <n v="0"/>
    <n v="0"/>
    <n v="7.4100000000000055E-2"/>
    <d v="2025-08-15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611090085101"/>
    <n v="1"/>
    <n v="49"/>
    <x v="48"/>
    <s v="SHINZUI2"/>
    <s v="SHZ Body Cleanser Matsu Ref 48x85Ml"/>
    <x v="3"/>
    <s v="8992946534119"/>
    <x v="10"/>
    <s v="SHINZUI BODY CLEANSER"/>
    <s v="F4061"/>
    <x v="49"/>
    <n v="14"/>
    <s v="SHINZUI BODY CLEANSER REFILL MATSU 85ML X 48 PCH"/>
    <n v="48"/>
    <m/>
    <s v="F4"/>
    <s v="SHINZUI"/>
    <s v="06"/>
    <s v="BODY CLEANSER"/>
    <n v="1"/>
    <s v="REFILL"/>
    <s v="1"/>
    <s v="MATSU"/>
    <s v="09"/>
    <s v="85ML"/>
    <s v="0085"/>
    <s v="PCH "/>
    <n v="1"/>
    <m/>
    <n v="0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0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611100380101"/>
    <n v="1"/>
    <n v="50"/>
    <x v="49"/>
    <s v="SHINZUI1"/>
    <s v="SHZ BCL Myori Ref 24x380Ml"/>
    <x v="1"/>
    <n v="8992946523550"/>
    <x v="1"/>
    <s v="SHINZUI BODY CLEANSER"/>
    <s v="F4061"/>
    <x v="50"/>
    <n v="14"/>
    <s v="SHINZUI BODY CLEANSER REFILL MYORI 380ML X 24 PCH"/>
    <n v="49"/>
    <m/>
    <s v="F4"/>
    <s v="SHINZUI"/>
    <s v="06"/>
    <s v="BODY CLEANSER"/>
    <n v="1"/>
    <s v="REFILL"/>
    <s v="1"/>
    <s v="MYORI"/>
    <s v="10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110380101"/>
    <n v="1"/>
    <n v="51"/>
    <x v="50"/>
    <s v="SHINZUI1"/>
    <s v="SHZ BCL Sakura Ref 24x380Ml"/>
    <x v="1"/>
    <n v="8992946523557"/>
    <x v="1"/>
    <s v="SHINZUI BODY CLEANSER"/>
    <s v="F4061"/>
    <x v="51"/>
    <n v="14"/>
    <s v="SHINZUI BODY CLEANSER REFILL SAKURA 380ML X 24 PCH"/>
    <n v="50"/>
    <m/>
    <s v="F4"/>
    <s v="SHINZUI"/>
    <s v="06"/>
    <s v="BODY CLEANSER"/>
    <n v="1"/>
    <s v="REFILL"/>
    <s v="1"/>
    <s v="SAKURA"/>
    <s v="11"/>
    <s v="380ML"/>
    <s v="038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10T00:00:00"/>
    <m/>
    <s v="Lama"/>
    <s v="Sama"/>
    <s v="Aktif"/>
    <s v="IDR"/>
    <s v="20380"/>
    <s v="380ML"/>
    <s v="S-FRN"/>
    <s v="45MIX"/>
    <s v="KRT"/>
    <s v="GD01"/>
    <n v="11611"/>
    <n v="11612"/>
    <s v="0101"/>
    <n v="1"/>
    <s v="PT. FOKUS RITEL NUSAPRIMA"/>
  </r>
  <r>
    <s v="F40611110725101"/>
    <n v="1"/>
    <n v="52"/>
    <x v="51"/>
    <s v="SHINZUI1"/>
    <s v="SHZ BCL Sakura Ref 12x725Ml"/>
    <x v="5"/>
    <n v="8992946531729"/>
    <x v="1"/>
    <s v="SHINZUI BODY CLEANSER"/>
    <s v="F4061"/>
    <x v="52"/>
    <n v="14"/>
    <s v="SHINZUI BODY CLEANSER REFILL SAKURA 725ML X 12 PCH"/>
    <n v="50"/>
    <m/>
    <s v="F4"/>
    <s v="SHINZUI"/>
    <s v="06"/>
    <s v="BODY CLEANSER"/>
    <n v="1"/>
    <s v="REFILL"/>
    <s v="1"/>
    <s v="SAKURA"/>
    <s v="11"/>
    <s v="725ML"/>
    <s v="0725"/>
    <s v="PCH"/>
    <n v="1"/>
    <m/>
    <n v="0"/>
    <m/>
    <m/>
    <m/>
    <s v="LITER"/>
    <n v="2"/>
    <m/>
    <n v="39204.774774774771"/>
    <n v="470457.29729729728"/>
    <n v="43517.3"/>
    <n v="522207.60000000003"/>
    <n v="42342.342342342337"/>
    <n v="508108.10810810805"/>
    <n v="47000"/>
    <n v="564000"/>
    <m/>
    <n v="0"/>
    <n v="0"/>
    <n v="0"/>
    <n v="7.4099999999999985E-2"/>
    <d v="2025-07-10T00:00:00"/>
    <m/>
    <s v="Lama"/>
    <s v="Sama"/>
    <s v="Aktif"/>
    <s v="IDR"/>
    <s v="20725"/>
    <s v="725ML"/>
    <s v="S-FRN"/>
    <s v="45MIX"/>
    <s v="KRT"/>
    <s v="GD01"/>
    <n v="11611"/>
    <n v="11612"/>
    <s v="0101"/>
    <n v="1"/>
    <s v="PT. FOKUS RITEL NUSAPRIMA"/>
  </r>
  <r>
    <s v="F40612040420101"/>
    <n v="1"/>
    <n v="53"/>
    <x v="52"/>
    <s v="SHINZUI1"/>
    <s v="BCL Shinzui Matsu Ref 24x420ml"/>
    <x v="1"/>
    <m/>
    <x v="1"/>
    <s v="SHINZUI BODY CLEANSER"/>
    <s v="F4061"/>
    <x v="53"/>
    <n v="14"/>
    <s v="SHINZUI BODY CLEANSER REFILL MATSU 420ML X 24 PCH"/>
    <n v="49"/>
    <m/>
    <s v="F4"/>
    <s v="SHINZUI"/>
    <s v="06"/>
    <s v="BODY CLEANSER"/>
    <n v="1"/>
    <s v="REFILL"/>
    <s v="2"/>
    <s v="MATSU"/>
    <s v="04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3010420101"/>
    <n v="1"/>
    <n v="54"/>
    <x v="53"/>
    <s v="SHINZUI1"/>
    <s v="BCL Shinzui Hana Ref 24x420ml @24"/>
    <x v="1"/>
    <m/>
    <x v="1"/>
    <s v="SHINZUI BODY CLEANSER"/>
    <s v="F4061"/>
    <x v="54"/>
    <n v="14"/>
    <s v="SHINZUI BODY CLEANSER REFILL HANA 420ML X 24 PCH"/>
    <n v="48"/>
    <m/>
    <s v="F4"/>
    <s v="SHINZUI"/>
    <s v="06"/>
    <s v="BODY CLEANSER"/>
    <n v="1"/>
    <s v="REFILL"/>
    <s v="3"/>
    <s v="HANA"/>
    <s v="01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4030420101"/>
    <n v="1"/>
    <n v="55"/>
    <x v="54"/>
    <s v="SHINZUI1"/>
    <s v="BCL Shinzui Kirei Ref 24x420ml"/>
    <x v="1"/>
    <m/>
    <x v="1"/>
    <s v="SHINZUI BODY CLEANSER"/>
    <s v="F4061"/>
    <x v="55"/>
    <n v="14"/>
    <s v="SHINZUI BODY CLEANSER REFILL KIREI 420ML X 24 PCH"/>
    <n v="49"/>
    <m/>
    <s v="F4"/>
    <s v="SHINZUI"/>
    <s v="06"/>
    <s v="BODY CLEANSER"/>
    <n v="1"/>
    <s v="REFILL"/>
    <s v="4"/>
    <s v="KIREI"/>
    <s v="03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5100420101"/>
    <n v="1"/>
    <n v="56"/>
    <x v="55"/>
    <s v="SHINZUI1"/>
    <s v="BCL Shinzui Myori Ref 24x420ml @24"/>
    <x v="1"/>
    <m/>
    <x v="1"/>
    <s v="SHINZUI BODY CLEANSER"/>
    <s v="F4061"/>
    <x v="56"/>
    <n v="14"/>
    <s v="SHINZUI BODY CLEANSER REFILL MYORI 420ML X 24 PCH"/>
    <n v="49"/>
    <m/>
    <s v="F4"/>
    <s v="SHINZUI"/>
    <s v="06"/>
    <s v="BODY CLEANSER"/>
    <n v="1"/>
    <s v="REFILL"/>
    <s v="5"/>
    <s v="MYORI"/>
    <s v="10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6110420101"/>
    <n v="1"/>
    <n v="57"/>
    <x v="56"/>
    <s v="SHINZUI1"/>
    <s v="BCL Shinzui Sakura Ref 24x420ml @24"/>
    <x v="1"/>
    <m/>
    <x v="1"/>
    <s v="SHINZUI BODY CLEANSER"/>
    <s v="F4061"/>
    <x v="57"/>
    <n v="14"/>
    <s v="SHINZUI BODY CLEANSER REFILL SAKURA 420ML X 24 PCH"/>
    <n v="50"/>
    <m/>
    <s v="F4"/>
    <s v="SHINZUI"/>
    <s v="06"/>
    <s v="BODY CLEANSER"/>
    <n v="1"/>
    <s v="REFILL"/>
    <s v="6"/>
    <s v="SAKURA"/>
    <s v="11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7020420101"/>
    <n v="1"/>
    <n v="58"/>
    <x v="57"/>
    <s v="SHINZUI1"/>
    <s v="BCL Shinzui Kensho Ref 24x420ml"/>
    <x v="1"/>
    <m/>
    <x v="1"/>
    <s v="SHINZUI BODY CLEANSER"/>
    <s v="F4061"/>
    <x v="58"/>
    <n v="14"/>
    <s v="SHINZUI BODY CLEANSER REFILL KENSHO 420ML X 24 PCH"/>
    <n v="50"/>
    <m/>
    <s v="F4"/>
    <s v="SHINZUI"/>
    <s v="06"/>
    <s v="BODY CLEANSER"/>
    <n v="1"/>
    <s v="REFILL"/>
    <s v="7"/>
    <s v="KENSHO"/>
    <s v="02"/>
    <s v="420ML"/>
    <s v="0420"/>
    <s v="PCH"/>
    <n v="1"/>
    <m/>
    <n v="0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9-09T00:00:00"/>
    <m/>
    <s v="Lama"/>
    <s v="Sama"/>
    <m/>
    <s v="IDR"/>
    <s v="20420"/>
    <s v="420ML"/>
    <m/>
    <m/>
    <s v="KRT"/>
    <s v="GD01"/>
    <n v="11611"/>
    <n v="11612"/>
    <m/>
    <n v="1"/>
    <m/>
  </r>
  <r>
    <s v="F40611111500101"/>
    <n v="1"/>
    <n v="163"/>
    <x v="58"/>
    <s v="SHINZUI1"/>
    <s v="SHZ BCL S REF 6X1500ML"/>
    <x v="0"/>
    <n v="8992946535540"/>
    <x v="1"/>
    <s v="SHINZUI BODY CLEANSER"/>
    <s v="F4061"/>
    <x v="59"/>
    <n v="14"/>
    <s v="SHINZUI BODY CLEANSER REF SAKURA 1500ML X 6 PCH"/>
    <n v="47"/>
    <m/>
    <s v="F4"/>
    <s v="SHINZUI"/>
    <s v="06"/>
    <s v="BODY CLEANSER"/>
    <n v="1"/>
    <s v="REF"/>
    <s v="1"/>
    <s v="SAKURA"/>
    <s v="11"/>
    <s v="1500ML"/>
    <s v="1500"/>
    <s v="PCH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1500"/>
    <s v="1500ML"/>
    <m/>
    <m/>
    <s v="KRT"/>
    <s v="GD01"/>
    <n v="11611"/>
    <n v="11612"/>
    <m/>
    <n v="1"/>
    <m/>
  </r>
  <r>
    <s v="F40611110400111"/>
    <n v="1"/>
    <n v="59"/>
    <x v="59"/>
    <s v="SHINZUI1"/>
    <s v="SHZ BCL SAKURA REF 24X400ML (1PCH) &amp; SHZ Exfo Ichigo SCH 9ML (1PCS) 1 PKTX24"/>
    <x v="1"/>
    <n v="8992946523561"/>
    <x v="1"/>
    <s v="SHINZUI BODY CLEANSER"/>
    <s v="F4061"/>
    <x v="60"/>
    <n v="14"/>
    <s v="SHINZUI BODY CLEANSER REF SAKURA 400ML X 24 PCH BND"/>
    <n v="51"/>
    <m/>
    <s v="F4"/>
    <s v="SHINZUI"/>
    <s v="06"/>
    <s v="BODY CLEANSER"/>
    <n v="1"/>
    <s v="REF"/>
    <s v="1"/>
    <s v="SAKURA"/>
    <s v="11"/>
    <s v="400ML"/>
    <s v="0400"/>
    <s v="PCH"/>
    <n v="1"/>
    <s v="BND"/>
    <n v="1"/>
    <m/>
    <m/>
    <m/>
    <s v="LITER"/>
    <n v="2"/>
    <m/>
    <n v="21687.747747747744"/>
    <n v="520505.94594594586"/>
    <n v="24073.399999999998"/>
    <n v="577761.6"/>
    <n v="23423.423423423421"/>
    <n v="562162.16216216213"/>
    <n v="26000"/>
    <n v="624000"/>
    <m/>
    <n v="0"/>
    <n v="0"/>
    <n v="0"/>
    <n v="7.4100000000000055E-2"/>
    <d v="2025-07-26T00:00:00"/>
    <m/>
    <s v="Lama"/>
    <s v="Sama"/>
    <s v="Aktif"/>
    <s v="IDR"/>
    <s v="20400"/>
    <s v="400ML"/>
    <m/>
    <m/>
    <s v="KRT"/>
    <s v="GD01"/>
    <n v="11611"/>
    <n v="11612"/>
    <m/>
    <n v="1"/>
    <s v="PT. FOKUS RITEL NUSAPRIMA"/>
  </r>
  <r>
    <s v="F40620010100101"/>
    <n v="1"/>
    <n v="60"/>
    <x v="60"/>
    <s v="SHINZUI1"/>
    <s v="Body Lotion SHINZUI Hana 48x100ml New"/>
    <x v="3"/>
    <n v="8992946513292"/>
    <x v="4"/>
    <s v="SHINZUI BODY LATION"/>
    <s v="F4062"/>
    <x v="61"/>
    <n v="14"/>
    <s v="SHINZUI BODY LATION HANA 100ML X 48 BTL"/>
    <n v="39"/>
    <m/>
    <s v="F4"/>
    <s v="SHINZUI"/>
    <s v="06"/>
    <s v="BODY LATION"/>
    <n v="2"/>
    <m/>
    <s v="0"/>
    <s v="HANA"/>
    <s v="01"/>
    <s v="100ML"/>
    <s v="0100"/>
    <s v="BTL"/>
    <n v="1"/>
    <m/>
    <n v="0"/>
    <m/>
    <m/>
    <m/>
    <s v="LITER"/>
    <n v="2"/>
    <m/>
    <n v="9175.5855855855862"/>
    <n v="440428.10810810816"/>
    <n v="10184.900000000001"/>
    <n v="488875.20000000013"/>
    <n v="9909.9099099099094"/>
    <n v="475675.67567567562"/>
    <n v="11000"/>
    <n v="528000"/>
    <m/>
    <n v="0"/>
    <n v="0"/>
    <n v="0"/>
    <n v="7.4099999999999888E-2"/>
    <d v="2025-07-10T00:00:00"/>
    <m/>
    <s v="Lama"/>
    <s v="Sama"/>
    <s v="Aktif"/>
    <s v="IDR"/>
    <s v="20100"/>
    <s v="100ML"/>
    <s v="S-FRN"/>
    <s v="45MIX"/>
    <s v="KRT"/>
    <s v="GD01"/>
    <n v="11611"/>
    <n v="11612"/>
    <s v="0101"/>
    <n v="1"/>
    <s v="PT. FOKUS RITEL NUSAPRIMA"/>
  </r>
  <r>
    <s v="F40620010210101"/>
    <n v="1"/>
    <n v="61"/>
    <x v="61"/>
    <s v="SHINZUI1"/>
    <s v="Body Lotion SHINZUI Hana 48x210ml New"/>
    <x v="3"/>
    <n v="8992946518822"/>
    <x v="4"/>
    <s v="SHINZUI BODY LATION"/>
    <s v="F4062"/>
    <x v="62"/>
    <n v="14"/>
    <s v="SHINZUI BODY LATION HANA 210ML X 48 BTL"/>
    <n v="39"/>
    <m/>
    <s v="F4"/>
    <s v="SHINZUI"/>
    <s v="06"/>
    <s v="BODY LATION"/>
    <n v="2"/>
    <m/>
    <s v="0"/>
    <s v="HANA"/>
    <s v="01"/>
    <s v="210ML"/>
    <s v="0210"/>
    <s v="BTL"/>
    <n v="1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10"/>
    <s v="210ML"/>
    <s v="S-FRN"/>
    <s v="45MIX"/>
    <s v="KRT"/>
    <s v="GD01"/>
    <n v="11611"/>
    <n v="11612"/>
    <s v="0101"/>
    <n v="1"/>
    <s v="PT. FOKUS RITEL NUSAPRIMA"/>
  </r>
  <r>
    <s v="F40620020100101"/>
    <n v="1"/>
    <n v="62"/>
    <x v="62"/>
    <s v="SHINZUI1"/>
    <s v="Body Lotion SHINZUI Kirei 48x100ml New"/>
    <x v="3"/>
    <n v="8992946513299"/>
    <x v="4"/>
    <s v="SHINZUI BODY LATION"/>
    <s v="F4062"/>
    <x v="63"/>
    <n v="14"/>
    <s v="SHINZUI BODY LATION KIREI 100ML X 48 BTL"/>
    <n v="40"/>
    <m/>
    <s v="F4"/>
    <s v="SHINZUI"/>
    <s v="06"/>
    <s v="BODY LATION"/>
    <n v="2"/>
    <m/>
    <s v="0"/>
    <s v="KIREI"/>
    <s v="02"/>
    <s v="100ML"/>
    <s v="0100"/>
    <s v="BTL"/>
    <n v="1"/>
    <m/>
    <n v="0"/>
    <m/>
    <m/>
    <m/>
    <s v="LITER"/>
    <n v="2"/>
    <m/>
    <n v="9175.5855855855862"/>
    <n v="440428.10810810816"/>
    <n v="10184.900000000001"/>
    <n v="488875.20000000013"/>
    <n v="9909.9099099099094"/>
    <n v="475675.67567567562"/>
    <n v="11000"/>
    <n v="528000"/>
    <m/>
    <n v="0"/>
    <n v="0"/>
    <n v="0"/>
    <n v="7.4099999999999888E-2"/>
    <d v="2025-07-10T00:00:00"/>
    <m/>
    <s v="Lama"/>
    <s v="Sama"/>
    <s v="Aktif"/>
    <s v="IDR"/>
    <s v="20100"/>
    <s v="100ML"/>
    <s v="S-FRN"/>
    <s v="45MIX"/>
    <s v="KRT"/>
    <s v="GD01"/>
    <n v="11611"/>
    <n v="11612"/>
    <s v="0101"/>
    <n v="1"/>
    <s v="PT. FOKUS RITEL NUSAPRIMA"/>
  </r>
  <r>
    <s v="F40620020210101"/>
    <n v="1"/>
    <n v="63"/>
    <x v="63"/>
    <s v="SHINZUI1"/>
    <s v="Body Lotion SHINZUI Kirei 48x210ml New"/>
    <x v="3"/>
    <n v="8992946518829"/>
    <x v="4"/>
    <s v="SHINZUI BODY LATION"/>
    <s v="F4062"/>
    <x v="64"/>
    <n v="14"/>
    <s v="SHINZUI BODY LATION KIREI 210ML X 48 BTL"/>
    <n v="40"/>
    <m/>
    <s v="F4"/>
    <s v="SHINZUI"/>
    <s v="06"/>
    <s v="BODY LATION"/>
    <n v="2"/>
    <m/>
    <s v="0"/>
    <s v="KIREI"/>
    <s v="02"/>
    <s v="210ML"/>
    <s v="0210"/>
    <s v="BTL"/>
    <n v="1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10"/>
    <s v="210ML"/>
    <s v="S-FRN"/>
    <s v="45MIX"/>
    <s v="KRT"/>
    <s v="GD01"/>
    <n v="11611"/>
    <n v="11612"/>
    <s v="0101"/>
    <n v="1"/>
    <s v="PT. FOKUS RITEL NUSAPRIMA"/>
  </r>
  <r>
    <s v="F40620030100101"/>
    <n v="1"/>
    <n v="64"/>
    <x v="64"/>
    <s v="SHINZUI1"/>
    <s v="Body Lotion SHINZUI Matsu 48x100ml New"/>
    <x v="3"/>
    <n v="8992946513275"/>
    <x v="4"/>
    <s v="SHINZUI BODY LATION"/>
    <s v="F4062"/>
    <x v="65"/>
    <n v="14"/>
    <s v="SHINZUI BODY LATION MATSU 100ML X 48 BTL"/>
    <n v="40"/>
    <m/>
    <s v="F4"/>
    <s v="SHINZUI"/>
    <s v="06"/>
    <s v="BODY LATION"/>
    <n v="2"/>
    <m/>
    <s v="0"/>
    <s v="MATSU"/>
    <s v="03"/>
    <s v="100ML"/>
    <s v="0100"/>
    <s v="BTL"/>
    <n v="1"/>
    <m/>
    <n v="0"/>
    <m/>
    <m/>
    <m/>
    <s v="LITER"/>
    <n v="2"/>
    <m/>
    <n v="9175.5855855855862"/>
    <n v="440428.10810810816"/>
    <n v="10184.900000000001"/>
    <n v="488875.20000000013"/>
    <n v="9909.9099099099094"/>
    <n v="475675.67567567562"/>
    <n v="11000"/>
    <n v="528000"/>
    <m/>
    <n v="0"/>
    <n v="0"/>
    <n v="0"/>
    <n v="7.4099999999999888E-2"/>
    <d v="2025-07-10T00:00:00"/>
    <m/>
    <s v="Lama"/>
    <s v="Sama"/>
    <s v="Aktif"/>
    <s v="IDR"/>
    <s v="20100"/>
    <s v="100ML"/>
    <s v="S-FRN"/>
    <s v="45MIX"/>
    <s v="KRT"/>
    <s v="GD01"/>
    <n v="11611"/>
    <n v="11612"/>
    <s v="0101"/>
    <n v="1"/>
    <s v="PT. FOKUS RITEL NUSAPRIMA"/>
  </r>
  <r>
    <s v="F40620030210101"/>
    <n v="1"/>
    <n v="65"/>
    <x v="65"/>
    <s v="SHINZUI1"/>
    <s v="Body Lotion SHINZUI Matsu 48x210ml New"/>
    <x v="3"/>
    <n v="8992946518805"/>
    <x v="4"/>
    <s v="SHINZUI BODY LATION"/>
    <s v="F4062"/>
    <x v="66"/>
    <n v="14"/>
    <s v="SHINZUI BODY LATION MATSU 210ML X 48 BTL"/>
    <n v="40"/>
    <m/>
    <s v="F4"/>
    <s v="SHINZUI"/>
    <s v="06"/>
    <s v="BODY LATION"/>
    <n v="2"/>
    <m/>
    <s v="0"/>
    <s v="MATSU"/>
    <s v="03"/>
    <s v="210ML"/>
    <s v="0210"/>
    <s v="BTL"/>
    <n v="1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10"/>
    <s v="210ML"/>
    <s v="S-FRN"/>
    <s v="45MIX"/>
    <s v="KRT"/>
    <s v="GD01"/>
    <n v="11611"/>
    <n v="11612"/>
    <s v="0101"/>
    <n v="1"/>
    <s v="PT. FOKUS RITEL NUSAPRIMA"/>
  </r>
  <r>
    <s v="F40620040100101"/>
    <n v="1"/>
    <n v="66"/>
    <x v="66"/>
    <s v="SHINZUI1"/>
    <s v="Body Lotion SHINZUI Sakura 48x100ml New"/>
    <x v="3"/>
    <n v="8992946522301"/>
    <x v="4"/>
    <s v="SHINZUI BODY LATION"/>
    <s v="F4062"/>
    <x v="67"/>
    <n v="14"/>
    <s v="SHINZUI BODY LATION SAKURA 100ML X 48 BTL"/>
    <n v="41"/>
    <m/>
    <s v="F4"/>
    <s v="SHINZUI"/>
    <s v="06"/>
    <s v="BODY LATION"/>
    <n v="2"/>
    <m/>
    <s v="0"/>
    <s v="SAKURA"/>
    <s v="04"/>
    <s v="100ML"/>
    <s v="0100"/>
    <s v="BTL"/>
    <n v="1"/>
    <m/>
    <n v="0"/>
    <m/>
    <m/>
    <m/>
    <s v="LITER"/>
    <n v="2"/>
    <m/>
    <n v="9175.5855855855862"/>
    <n v="440428.10810810816"/>
    <n v="10184.900000000001"/>
    <n v="488875.20000000013"/>
    <n v="9909.9099099099094"/>
    <n v="475675.67567567562"/>
    <n v="11000"/>
    <n v="528000"/>
    <m/>
    <n v="0"/>
    <n v="0"/>
    <n v="0"/>
    <n v="7.4099999999999888E-2"/>
    <d v="2025-07-10T00:00:00"/>
    <m/>
    <s v="Lama"/>
    <s v="Sama"/>
    <s v="Aktif"/>
    <s v="IDR"/>
    <s v="20100"/>
    <s v="100ML"/>
    <s v="S-FRN"/>
    <s v="45MIX"/>
    <s v="KRT"/>
    <s v="GD01"/>
    <n v="11611"/>
    <n v="11612"/>
    <s v="0101"/>
    <n v="1"/>
    <s v="PT. FOKUS RITEL NUSAPRIMA"/>
  </r>
  <r>
    <s v="F40620040210101"/>
    <n v="1"/>
    <n v="67"/>
    <x v="67"/>
    <s v="SHINZUI1"/>
    <s v="Body Lotion SHINZUI Sakura 48x210ml New"/>
    <x v="3"/>
    <n v="8992946522331"/>
    <x v="4"/>
    <s v="SHINZUI BODY LATION"/>
    <s v="F4062"/>
    <x v="68"/>
    <n v="14"/>
    <s v="SHINZUI BODY LATION SAKURA 210ML X 48 BTL"/>
    <n v="41"/>
    <m/>
    <s v="F4"/>
    <s v="SHINZUI"/>
    <s v="06"/>
    <s v="BODY LATION"/>
    <n v="2"/>
    <m/>
    <s v="0"/>
    <s v="SAKURA"/>
    <s v="04"/>
    <s v="210ML"/>
    <s v="0210"/>
    <s v="BTL"/>
    <n v="1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10"/>
    <s v="210ML"/>
    <s v="S-FRN"/>
    <s v="45MIX"/>
    <s v="KRT"/>
    <s v="GD01"/>
    <n v="11611"/>
    <n v="11612"/>
    <s v="0101"/>
    <n v="1"/>
    <s v="PT. FOKUS RITEL NUSAPRIMA"/>
  </r>
  <r>
    <s v="F40620050210101"/>
    <n v="1"/>
    <m/>
    <x v="68"/>
    <s v="SHINZUI1"/>
    <s v="Body Lotion SHINZUI Myori 48X210ML"/>
    <x v="3"/>
    <m/>
    <x v="4"/>
    <s v="SHINZUI BODY LATION"/>
    <s v="F4062"/>
    <x v="69"/>
    <n v="14"/>
    <s v="SHINZUI BODY LATION MYORI 210ML X 48 BTL"/>
    <n v="40"/>
    <m/>
    <s v="F4"/>
    <s v="SHINZUI"/>
    <s v="06"/>
    <s v="BODY LATION"/>
    <n v="2"/>
    <m/>
    <s v="0"/>
    <s v="MYORI"/>
    <s v="05"/>
    <s v="210ML"/>
    <s v="0210"/>
    <s v="BTL"/>
    <n v="1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m/>
    <m/>
    <s v="Lama"/>
    <s v="Sama"/>
    <m/>
    <s v="IDR"/>
    <s v="20210"/>
    <s v="210ML"/>
    <m/>
    <m/>
    <s v="KRT"/>
    <s v="GD01"/>
    <n v="11611"/>
    <n v="11612"/>
    <m/>
    <n v="1"/>
    <m/>
  </r>
  <r>
    <s v="F4062005010010"/>
    <m/>
    <m/>
    <x v="69"/>
    <s v="SHINZUI1"/>
    <s v="Body Lotion SHINZUI Myori 48X100ML"/>
    <x v="3"/>
    <m/>
    <x v="4"/>
    <s v="SHINZUI BODY LATION"/>
    <s v="F4062"/>
    <x v="70"/>
    <n v="14"/>
    <s v="SHINZUI BODY LATION MYORI 100ML X 48 BTL"/>
    <n v="40"/>
    <m/>
    <s v="F4"/>
    <s v="SHINZUI"/>
    <s v="06"/>
    <s v="BODY LATION"/>
    <n v="2"/>
    <m/>
    <s v="0"/>
    <s v="MYORI"/>
    <s v="05"/>
    <s v="100ML"/>
    <s v="0100"/>
    <s v="BTL"/>
    <n v="1"/>
    <m/>
    <n v="0"/>
    <m/>
    <m/>
    <m/>
    <s v="LITER"/>
    <n v="2"/>
    <m/>
    <n v="9175.5855855855862"/>
    <n v="440428.10810810816"/>
    <n v="10184.900000000001"/>
    <n v="488875.20000000013"/>
    <n v="9909.9099099099094"/>
    <n v="475675.67567567562"/>
    <n v="11000"/>
    <n v="528000"/>
    <m/>
    <n v="0"/>
    <n v="0"/>
    <n v="0"/>
    <n v="7.4099999999999888E-2"/>
    <m/>
    <m/>
    <s v="Lama"/>
    <s v="Sama"/>
    <m/>
    <s v="IDR"/>
    <s v="20100"/>
    <s v="100ML"/>
    <m/>
    <m/>
    <s v="KRT"/>
    <s v="GD01"/>
    <n v="11611"/>
    <n v="11612"/>
    <m/>
    <n v="1"/>
    <m/>
  </r>
  <r>
    <s v="F40630010110101"/>
    <n v="1"/>
    <n v="68"/>
    <x v="70"/>
    <s v="SHINZUI1"/>
    <s v="Body Scrub SHINZUI Hana 96x110Gr"/>
    <x v="3"/>
    <n v="8992946522178"/>
    <x v="11"/>
    <s v="SHINZUI BODY SCRUB"/>
    <s v="F4063"/>
    <x v="71"/>
    <n v="14"/>
    <s v="SHINZUI BODY SCRUB HANA 110G X 48 JAR"/>
    <n v="37"/>
    <m/>
    <s v="F4"/>
    <s v="SHINZUI"/>
    <s v="06"/>
    <s v="BODY SCRUB"/>
    <n v="3"/>
    <m/>
    <s v="0"/>
    <s v="HANA"/>
    <s v="01"/>
    <s v="110G"/>
    <s v="0110"/>
    <s v="JAR"/>
    <n v="1"/>
    <m/>
    <n v="0"/>
    <m/>
    <m/>
    <m/>
    <s v="GRAM"/>
    <n v="1"/>
    <m/>
    <n v="7340.468468468468"/>
    <n v="352342.48648648645"/>
    <n v="8147.92"/>
    <n v="391100.15999999997"/>
    <n v="7927.9279279279281"/>
    <n v="380540.54054054053"/>
    <n v="8800.0000000000018"/>
    <n v="4224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10200101"/>
    <n v="1"/>
    <n v="69"/>
    <x v="71"/>
    <s v="SHINZUI1"/>
    <s v="Body Scrub SHINZUI Hana 48x200Gr New"/>
    <x v="3"/>
    <n v="8992946519345"/>
    <x v="11"/>
    <s v="SHINZUI BODY SCRUB"/>
    <s v="F4063"/>
    <x v="72"/>
    <n v="14"/>
    <s v="SHINZUI BODY SCRUB HANA 200G X 48 JAR"/>
    <n v="37"/>
    <m/>
    <s v="F4"/>
    <s v="SHINZUI"/>
    <s v="06"/>
    <s v="BODY SCRUB"/>
    <n v="3"/>
    <m/>
    <s v="0"/>
    <s v="HANA"/>
    <s v="01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20110101"/>
    <n v="1"/>
    <n v="70"/>
    <x v="72"/>
    <s v="SHINZUI1"/>
    <s v="Body Scrub SHINZUI Kensho 96x110Gr"/>
    <x v="6"/>
    <n v="8992946522215"/>
    <x v="11"/>
    <s v="SHINZUI BODY SCRUB"/>
    <s v="F4063"/>
    <x v="73"/>
    <n v="14"/>
    <s v="SHINZUI BODY SCRUB KENSHO 110G X 96 JAR"/>
    <n v="39"/>
    <m/>
    <s v="F4"/>
    <s v="SHINZUI"/>
    <s v="06"/>
    <s v="BODY SCRUB"/>
    <n v="3"/>
    <m/>
    <s v="0"/>
    <s v="KENSHO"/>
    <s v="02"/>
    <s v="110G"/>
    <s v="0110"/>
    <s v="JAR"/>
    <n v="1"/>
    <m/>
    <n v="0"/>
    <m/>
    <m/>
    <m/>
    <s v="GRAM"/>
    <n v="1"/>
    <m/>
    <n v="7340.468468468468"/>
    <n v="704684.9729729729"/>
    <n v="8147.92"/>
    <n v="782200.31999999995"/>
    <n v="7927.9279279279281"/>
    <n v="761081.08108108107"/>
    <n v="8800.0000000000018"/>
    <n v="8448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20200101"/>
    <n v="1"/>
    <n v="71"/>
    <x v="73"/>
    <s v="SHINZUI1"/>
    <s v="Body Scrub SHINZUI Kensho 48x200Gr New"/>
    <x v="3"/>
    <n v="8992946513398"/>
    <x v="11"/>
    <s v="SHINZUI BODY SCRUB"/>
    <s v="F4063"/>
    <x v="74"/>
    <n v="14"/>
    <s v="SHINZUI BODY SCRUB KENSHO 200G X 48 JAR"/>
    <n v="39"/>
    <m/>
    <s v="F4"/>
    <s v="SHINZUI"/>
    <s v="06"/>
    <s v="BODY SCRUB"/>
    <n v="3"/>
    <m/>
    <s v="0"/>
    <s v="KENSHO"/>
    <s v="02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30110101"/>
    <n v="1"/>
    <n v="72"/>
    <x v="74"/>
    <s v="SHINZUI1"/>
    <s v="Body Scrub SHINZUI Kirei 96x110Gr"/>
    <x v="6"/>
    <n v="8992946522185"/>
    <x v="11"/>
    <s v="SHINZUI BODY SCRUB"/>
    <s v="F4063"/>
    <x v="75"/>
    <n v="14"/>
    <s v="SHINZUI BODY SCRUB KIREI 110G X 96 JAR"/>
    <n v="38"/>
    <m/>
    <s v="F4"/>
    <s v="SHINZUI"/>
    <s v="06"/>
    <s v="BODY SCRUB"/>
    <n v="3"/>
    <m/>
    <s v="0"/>
    <s v="KIREI"/>
    <s v="03"/>
    <s v="110G"/>
    <s v="0110"/>
    <s v="JAR"/>
    <n v="1"/>
    <m/>
    <n v="0"/>
    <m/>
    <m/>
    <m/>
    <s v="GRAM"/>
    <n v="1"/>
    <m/>
    <n v="7340.468468468468"/>
    <n v="704684.9729729729"/>
    <n v="8147.92"/>
    <n v="782200.31999999995"/>
    <n v="7927.9279279279281"/>
    <n v="761081.08108108107"/>
    <n v="8800.0000000000018"/>
    <n v="8448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30200101"/>
    <n v="1"/>
    <n v="73"/>
    <x v="75"/>
    <s v="SHINZUI1"/>
    <s v="Body Scrub SHINZUI Kirei 48x200Gr New"/>
    <x v="3"/>
    <n v="8992946519362"/>
    <x v="11"/>
    <s v="SHINZUI BODY SCRUB"/>
    <s v="F4063"/>
    <x v="76"/>
    <n v="14"/>
    <s v="SHINZUI BODY SCRUB KIREI 200G X 48 JAR"/>
    <n v="38"/>
    <m/>
    <s v="F4"/>
    <s v="SHINZUI"/>
    <s v="06"/>
    <s v="BODY SCRUB"/>
    <n v="3"/>
    <m/>
    <s v="0"/>
    <s v="KIREI"/>
    <s v="03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40110101"/>
    <n v="1"/>
    <n v="74"/>
    <x v="76"/>
    <s v="SHINZUI1"/>
    <s v="Body Scrub SHINZUI Matsu 96x110Gr"/>
    <x v="6"/>
    <n v="8992946522171"/>
    <x v="11"/>
    <s v="SHINZUI BODY SCRUB"/>
    <s v="F4063"/>
    <x v="77"/>
    <n v="14"/>
    <s v="SHINZUI BODY SCRUB MATSU 110G X 96 JAR"/>
    <n v="38"/>
    <m/>
    <s v="F4"/>
    <s v="SHINZUI"/>
    <s v="06"/>
    <s v="BODY SCRUB"/>
    <n v="3"/>
    <m/>
    <s v="0"/>
    <s v="MATSU"/>
    <s v="04"/>
    <s v="110G"/>
    <s v="0110"/>
    <s v="JAR"/>
    <n v="1"/>
    <m/>
    <n v="0"/>
    <m/>
    <m/>
    <m/>
    <s v="GRAM"/>
    <n v="1"/>
    <m/>
    <n v="7340.468468468468"/>
    <n v="704684.9729729729"/>
    <n v="8147.92"/>
    <n v="782200.31999999995"/>
    <n v="7927.9279279279281"/>
    <n v="761081.08108108107"/>
    <n v="8800.0000000000018"/>
    <n v="8448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40200101"/>
    <n v="1"/>
    <n v="75"/>
    <x v="77"/>
    <s v="SHINZUI1"/>
    <s v="Body Scrub SHINZUI Matsu 48x200Gr New"/>
    <x v="3"/>
    <n v="8992946519338"/>
    <x v="11"/>
    <s v="SHINZUI BODY SCRUB"/>
    <s v="F4063"/>
    <x v="78"/>
    <n v="14"/>
    <s v="SHINZUI BODY SCRUB MATSU 200G X 48 JAR"/>
    <n v="38"/>
    <m/>
    <s v="F4"/>
    <s v="SHINZUI"/>
    <s v="06"/>
    <s v="BODY SCRUB"/>
    <n v="3"/>
    <m/>
    <s v="0"/>
    <s v="MATSU"/>
    <s v="04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50110101"/>
    <n v="1"/>
    <n v="76"/>
    <x v="78"/>
    <s v="SHINZUI1"/>
    <s v="Body Scrub SHINZUI Myori 96x110Gr"/>
    <x v="6"/>
    <n v="8992946522202"/>
    <x v="11"/>
    <s v="SHINZUI BODY SCRUB"/>
    <s v="F4063"/>
    <x v="79"/>
    <n v="14"/>
    <s v="SHINZUI BODY SCRUB MYORI 110G X 96 JAR"/>
    <n v="38"/>
    <m/>
    <s v="F4"/>
    <s v="SHINZUI"/>
    <s v="06"/>
    <s v="BODY SCRUB"/>
    <n v="3"/>
    <m/>
    <s v="0"/>
    <s v="MYORI"/>
    <s v="05"/>
    <s v="110G"/>
    <s v="0110"/>
    <s v="JAR"/>
    <n v="1"/>
    <m/>
    <n v="0"/>
    <m/>
    <m/>
    <m/>
    <s v="GRAM"/>
    <n v="1"/>
    <m/>
    <n v="7340.468468468468"/>
    <n v="704684.9729729729"/>
    <n v="8147.92"/>
    <n v="782200.31999999995"/>
    <n v="7927.9279279279281"/>
    <n v="761081.08108108107"/>
    <n v="8800.0000000000018"/>
    <n v="8448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50200101"/>
    <n v="1"/>
    <n v="77"/>
    <x v="79"/>
    <s v="SHINZUI1"/>
    <s v="Body Scrub SHINZUI Myori 48x200Gr New"/>
    <x v="3"/>
    <n v="8992946521822"/>
    <x v="11"/>
    <s v="SHINZUI BODY SCRUB"/>
    <s v="F4063"/>
    <x v="80"/>
    <n v="14"/>
    <s v="SHINZUI BODY SCRUB MYORI 200G X 48 JAR"/>
    <n v="38"/>
    <m/>
    <s v="F4"/>
    <s v="SHINZUI"/>
    <s v="06"/>
    <s v="BODY SCRUB"/>
    <n v="3"/>
    <m/>
    <s v="0"/>
    <s v="MYORI"/>
    <s v="05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60110101"/>
    <n v="1"/>
    <n v="78"/>
    <x v="80"/>
    <s v="SHINZUI1"/>
    <s v="Body Scrub SHINZUI Sakura 96x110Gr"/>
    <x v="6"/>
    <n v="8992946522208"/>
    <x v="11"/>
    <s v="SHINZUI BODY SCRUB"/>
    <s v="F4063"/>
    <x v="81"/>
    <n v="14"/>
    <s v="SHINZUI BODY SCRUB SAKURA 110G X 96 JAR"/>
    <n v="39"/>
    <m/>
    <s v="F4"/>
    <s v="SHINZUI"/>
    <s v="06"/>
    <s v="BODY SCRUB"/>
    <n v="3"/>
    <m/>
    <s v="0"/>
    <s v="SAKURA"/>
    <s v="06"/>
    <s v="110G"/>
    <s v="0110"/>
    <s v="JAR"/>
    <n v="1"/>
    <m/>
    <n v="0"/>
    <m/>
    <m/>
    <m/>
    <s v="GRAM"/>
    <n v="1"/>
    <m/>
    <n v="7340.468468468468"/>
    <n v="704684.9729729729"/>
    <n v="8147.92"/>
    <n v="782200.31999999995"/>
    <n v="7927.9279279279281"/>
    <n v="761081.08108108107"/>
    <n v="8800.0000000000018"/>
    <n v="844800"/>
    <m/>
    <n v="0"/>
    <n v="0"/>
    <n v="0"/>
    <n v="7.4100000000000069E-2"/>
    <d v="2025-07-10T00:00:00"/>
    <m/>
    <s v="Lama"/>
    <s v="Sama"/>
    <s v="Aktif"/>
    <s v="IDR"/>
    <s v="10110"/>
    <s v="110G"/>
    <s v="S-FRN"/>
    <s v="45MIX"/>
    <s v="KRT"/>
    <s v="GD01"/>
    <n v="11611"/>
    <n v="11612"/>
    <s v="0101"/>
    <n v="1"/>
    <s v="PT. FOKUS RITEL NUSAPRIMA"/>
  </r>
  <r>
    <s v="F40630060200101"/>
    <n v="1"/>
    <n v="79"/>
    <x v="81"/>
    <s v="SHINZUI1"/>
    <s v="Body Scrub SHINZUI Sakura 48x200Gr New"/>
    <x v="3"/>
    <n v="8992946521829"/>
    <x v="11"/>
    <s v="SHINZUI BODY SCRUB"/>
    <s v="F4063"/>
    <x v="82"/>
    <n v="14"/>
    <s v="SHINZUI BODY SCRUB SAKURA 200G X 48 JAR"/>
    <n v="39"/>
    <m/>
    <s v="F4"/>
    <s v="SHINZUI"/>
    <s v="06"/>
    <s v="BODY SCRUB"/>
    <n v="3"/>
    <m/>
    <s v="0"/>
    <s v="SAKURA"/>
    <s v="06"/>
    <s v="200G"/>
    <s v="0200"/>
    <s v="JAR"/>
    <n v="1"/>
    <m/>
    <n v="0"/>
    <m/>
    <m/>
    <m/>
    <s v="GRAM"/>
    <n v="1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07-10T00:00:00"/>
    <m/>
    <s v="Lama"/>
    <s v="Sama"/>
    <s v="Aktif"/>
    <s v="IDR"/>
    <s v="10200"/>
    <s v="200G"/>
    <s v="S-FRN"/>
    <s v="45MIX"/>
    <s v="KRT"/>
    <s v="GD01"/>
    <n v="11611"/>
    <n v="11612"/>
    <s v="0101"/>
    <n v="1"/>
    <s v="PT. FOKUS RITEL NUSAPRIMA"/>
  </r>
  <r>
    <s v="F406300502001111"/>
    <n v="1"/>
    <n v="80"/>
    <x v="82"/>
    <s v="SHINZUI1"/>
    <s v="SHZ B. Scrub K 200Gr NEW &amp; SHZ FWS Snow Mushroom 200Ml 1Pkt1 x48"/>
    <x v="3"/>
    <n v="8992946521819"/>
    <x v="11"/>
    <s v="SHINZUI BODY SCRUB"/>
    <s v="F4063"/>
    <x v="83"/>
    <n v="15"/>
    <s v="SHINZUI BODY SCRUB MYORI 200G X 48 JAR BANDED"/>
    <n v="45"/>
    <m/>
    <s v="F4"/>
    <s v="SHINZUI"/>
    <s v="06"/>
    <s v="BODY SCRUB"/>
    <n v="3"/>
    <m/>
    <s v="0"/>
    <s v="MYORI"/>
    <s v="05"/>
    <s v="200G"/>
    <s v="0200"/>
    <s v="JAR"/>
    <n v="1"/>
    <s v="BANDED"/>
    <n v="11"/>
    <m/>
    <m/>
    <m/>
    <s v="LITER"/>
    <n v="2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10-06T00:00:00"/>
    <m/>
    <s v="Lama"/>
    <s v="Sama"/>
    <s v="Aktif"/>
    <s v="IDR"/>
    <s v="20200"/>
    <s v="200G"/>
    <s v="S-FRN"/>
    <m/>
    <s v="KRT"/>
    <s v="GD01"/>
    <n v="11611"/>
    <n v="11612"/>
    <s v="0101"/>
    <n v="1"/>
    <s v="PT. FOKUS RITEL NUSAPRIMA"/>
  </r>
  <r>
    <s v="F406300302001111"/>
    <n v="1"/>
    <n v="81"/>
    <x v="83"/>
    <s v="SHINZUI1"/>
    <s v="SHZ B. Scrub MY 200Gr New &amp; SHZ FWS Snow Mushroom 20Ml 1Pkt1 x48"/>
    <x v="3"/>
    <n v="8992946519359"/>
    <x v="11"/>
    <s v="SHINZUI BODY SCRUB"/>
    <s v="F4063"/>
    <x v="84"/>
    <n v="15"/>
    <s v="SHINZUI BODY SCRUB KIREI 200G X 48 JAR BANDED"/>
    <n v="45"/>
    <m/>
    <s v="F4"/>
    <s v="SHINZUI"/>
    <s v="06"/>
    <s v="BODY SCRUB"/>
    <n v="3"/>
    <m/>
    <s v="0"/>
    <s v="KIREI"/>
    <s v="03"/>
    <s v="200G"/>
    <s v="0200"/>
    <s v="JAR"/>
    <n v="1"/>
    <s v="BANDED"/>
    <n v="11"/>
    <m/>
    <m/>
    <m/>
    <s v="LITER"/>
    <n v="2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10-06T00:00:00"/>
    <m/>
    <s v="Lama"/>
    <s v="Sama"/>
    <s v="Aktif"/>
    <s v="IDR"/>
    <s v="20200"/>
    <s v="200G"/>
    <s v="S-FRN"/>
    <m/>
    <s v="KRT"/>
    <s v="GD01"/>
    <n v="11611"/>
    <n v="11612"/>
    <s v="0101"/>
    <n v="1"/>
    <s v="PT. FOKUS RITEL NUSAPRIMA"/>
  </r>
  <r>
    <s v="F406300602001111"/>
    <n v="1"/>
    <n v="82"/>
    <x v="84"/>
    <s v="SHINZUI1"/>
    <s v="SHZ B. Scrub MY 200Gr New &amp; SHZ FWS Snow Mushroom 20Ml 1Pkt1 x48"/>
    <x v="3"/>
    <n v="8992946521826"/>
    <x v="11"/>
    <s v="SHINZUI BODY SCRUB"/>
    <s v="F4063"/>
    <x v="85"/>
    <n v="15"/>
    <s v="SHINZUI BODY SCRUB SAKURA 200G X 48 JAR BANDED"/>
    <n v="46"/>
    <m/>
    <s v="F4"/>
    <s v="SHINZUI"/>
    <s v="06"/>
    <s v="BODY SCRUB"/>
    <n v="3"/>
    <m/>
    <s v="0"/>
    <s v="SAKURA"/>
    <s v="06"/>
    <s v="200G"/>
    <s v="0200"/>
    <s v="JAR"/>
    <n v="1"/>
    <s v="BANDED"/>
    <n v="11"/>
    <m/>
    <m/>
    <m/>
    <s v="LITER"/>
    <n v="2"/>
    <m/>
    <n v="11094.117117117115"/>
    <n v="532517.62162162154"/>
    <n v="12314.47"/>
    <n v="591094.55999999994"/>
    <n v="11981.98198198198"/>
    <n v="575135.13513513503"/>
    <n v="13300"/>
    <n v="638399.99999999988"/>
    <m/>
    <n v="0"/>
    <n v="0"/>
    <n v="0"/>
    <n v="7.4100000000000027E-2"/>
    <d v="2025-10-06T00:00:00"/>
    <m/>
    <s v="Lama"/>
    <s v="Sama"/>
    <s v="Aktif"/>
    <s v="IDR"/>
    <s v="20200"/>
    <s v="200G"/>
    <s v="S-FRN"/>
    <m/>
    <s v="KRT"/>
    <s v="GD01"/>
    <n v="11611"/>
    <n v="11612"/>
    <s v="0101"/>
    <n v="1"/>
    <s v="PT. FOKUS RITEL NUSAPRIMA"/>
  </r>
  <r>
    <s v="F406300402001111"/>
    <n v="1"/>
    <n v="83"/>
    <x v="85"/>
    <s v="SHINZUI1"/>
    <s v="SHZ B. SCRUB MT 200GR NEW &amp; SHZ FWS SNOW MUSHROOM 20ML 1PKT1 X48"/>
    <x v="3"/>
    <n v="8992946519335"/>
    <x v="11"/>
    <s v="SHINZUI BODY SCRUB"/>
    <s v="F4063"/>
    <x v="86"/>
    <n v="15"/>
    <s v="SHINZUI BODY SCRUB MATSU 200G X 48 JAR BANDED"/>
    <n v="45"/>
    <m/>
    <s v="F4"/>
    <s v="SHINZUI"/>
    <s v="06"/>
    <s v="BODY SCRUB"/>
    <n v="3"/>
    <m/>
    <s v="0"/>
    <s v="MATSU"/>
    <s v="04"/>
    <s v="200G"/>
    <s v="0200"/>
    <s v="JAR"/>
    <n v="1"/>
    <s v="BANDED"/>
    <n v="11"/>
    <m/>
    <m/>
    <m/>
    <s v="GRAM"/>
    <n v="1"/>
    <m/>
    <n v="11094.117117117117"/>
    <n v="532517.62162162166"/>
    <n v="12314.470000000001"/>
    <n v="591094.56000000006"/>
    <n v="11981.98198198198"/>
    <n v="575135.13513513503"/>
    <n v="13300"/>
    <n v="638399.99999999988"/>
    <m/>
    <n v="0"/>
    <n v="0"/>
    <n v="0"/>
    <n v="7.4099999999999874E-2"/>
    <m/>
    <m/>
    <s v="Lama"/>
    <s v="Sama"/>
    <m/>
    <s v="IDR"/>
    <s v="10200"/>
    <s v="200G"/>
    <m/>
    <m/>
    <s v="KRT"/>
    <s v="GD01"/>
    <n v="11611"/>
    <n v="11612"/>
    <m/>
    <n v="1"/>
    <m/>
  </r>
  <r>
    <s v="F406900100301211"/>
    <n v="1"/>
    <n v="84"/>
    <x v="86"/>
    <s v="SHINZUI1"/>
    <s v="SHZ Bright Sunscreen SPF 35 PA 30Ml &amp; SHZ FWS Snow Mushroom 20Ml 1Pkt1 x48"/>
    <x v="3"/>
    <n v="8992946535717"/>
    <x v="9"/>
    <s v="SHINZUI SUNSCREEN"/>
    <s v="F4069"/>
    <x v="87"/>
    <n v="15"/>
    <s v="SHINZUI SUNSCREEN SPF 35 30ML X 48 TUBE BANDED"/>
    <n v="46"/>
    <m/>
    <s v="F4"/>
    <s v="SHINZUI"/>
    <s v="06"/>
    <s v="SUNSCREEN"/>
    <n v="9"/>
    <m/>
    <s v="0"/>
    <s v="SPF 35"/>
    <s v="01"/>
    <s v="30ML"/>
    <s v="0030"/>
    <s v="TUBE"/>
    <n v="1"/>
    <s v="BANDED"/>
    <n v="21"/>
    <m/>
    <m/>
    <m/>
    <s v="LITER"/>
    <n v="2"/>
    <m/>
    <n v="24398.716216216217"/>
    <n v="1171138.3783783785"/>
    <n v="27082.575000000004"/>
    <n v="1299963.6000000001"/>
    <n v="26351.35135135135"/>
    <n v="1264864.8648648649"/>
    <n v="29250"/>
    <n v="1404000"/>
    <m/>
    <n v="0"/>
    <n v="0"/>
    <n v="0"/>
    <n v="7.409999999999993E-2"/>
    <d v="2025-10-06T00:00:00"/>
    <m/>
    <s v="Lama"/>
    <s v="Sama"/>
    <s v="Aktif"/>
    <s v="IDR"/>
    <s v="20030"/>
    <s v="30ML"/>
    <s v="S-FRN"/>
    <m/>
    <s v="KRT"/>
    <s v="GD01"/>
    <n v="11611"/>
    <n v="11612"/>
    <s v="0101"/>
    <n v="1"/>
    <s v="PT. FOKUS RITEL NUSAPRIMA"/>
  </r>
  <r>
    <s v="F40610010050101"/>
    <n v="1"/>
    <n v="164"/>
    <x v="87"/>
    <s v="SHINZUI1"/>
    <s v="SHZ BRIGHTENING ESCENCE TONER 48X50ML"/>
    <x v="3"/>
    <n v="8992946535601"/>
    <x v="4"/>
    <s v="SHINZUI TONER"/>
    <s v="F4061"/>
    <x v="88"/>
    <n v="14"/>
    <s v="SHINZUI TONER BRIGHTENING ESCENCE 50ML X 48 BTL"/>
    <n v="47"/>
    <m/>
    <s v="F4"/>
    <s v="SHINZUI"/>
    <s v="06"/>
    <s v="TONER"/>
    <n v="1"/>
    <m/>
    <s v="0"/>
    <s v="BRIGHTENING ESCENCE"/>
    <s v="01"/>
    <s v="50ML"/>
    <s v="0050"/>
    <s v="BTL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50"/>
    <s v="50ML"/>
    <m/>
    <m/>
    <s v="KRT"/>
    <s v="GD01"/>
    <n v="11611"/>
    <n v="11612"/>
    <m/>
    <n v="1"/>
    <m/>
  </r>
  <r>
    <s v="F406100010300101"/>
    <n v="1"/>
    <n v="164"/>
    <x v="88"/>
    <s v="SHINZUI1"/>
    <s v="SHZ BRIGHTENING MICELLAR WATER 24X300ML"/>
    <x v="1"/>
    <n v="8992946535601"/>
    <x v="4"/>
    <s v="SHINZUI MICELLAR WATER"/>
    <s v="F40610"/>
    <x v="89"/>
    <n v="15"/>
    <s v="SHINZUI MICELLAR WATER BRIGHTENING 300ML X 24 BTL"/>
    <n v="49"/>
    <m/>
    <s v="F4"/>
    <s v="SHINZUI"/>
    <s v="06"/>
    <s v="MICELLAR WATER"/>
    <n v="10"/>
    <m/>
    <s v="0"/>
    <s v="BRIGHTENING"/>
    <s v="01"/>
    <s v="300ML"/>
    <s v="0300"/>
    <s v="BTL"/>
    <n v="1"/>
    <m/>
    <n v="0"/>
    <m/>
    <m/>
    <m/>
    <s v="LITER"/>
    <n v="2"/>
    <m/>
    <n v="40873.063063063069"/>
    <n v="980953.51351351361"/>
    <n v="45369.100000000013"/>
    <n v="1088858.4000000001"/>
    <n v="44144.144144144142"/>
    <n v="1059459.4594594594"/>
    <n v="49000"/>
    <n v="1176000"/>
    <m/>
    <n v="0"/>
    <n v="0"/>
    <n v="0"/>
    <n v="7.4099999999999819E-2"/>
    <d v="2026-01-22T00:00:00"/>
    <m/>
    <s v="Lama"/>
    <s v="Sama"/>
    <m/>
    <s v="IDR"/>
    <s v="20300"/>
    <s v="300ML"/>
    <m/>
    <m/>
    <s v="KRT"/>
    <s v="GD01"/>
    <n v="11611"/>
    <n v="11612"/>
    <m/>
    <n v="1"/>
    <m/>
  </r>
  <r>
    <s v="F406100010150101"/>
    <n v="1"/>
    <n v="168"/>
    <x v="89"/>
    <s v="SHINZUI1"/>
    <s v="SHZ BRIGHTENING MICELLAR WATER 48X150ML"/>
    <x v="3"/>
    <m/>
    <x v="4"/>
    <s v="SHINZUI MICELLAR WATER"/>
    <s v="F40610"/>
    <x v="90"/>
    <n v="15"/>
    <s v="SHINZUI MICELLAR WATER BRIGHTENING 150ML X 48 BTL"/>
    <n v="49"/>
    <m/>
    <s v="F4"/>
    <s v="SHINZUI"/>
    <s v="06"/>
    <s v="MICELLAR WATER"/>
    <n v="10"/>
    <m/>
    <s v="0"/>
    <s v="BRIGHTENING"/>
    <s v="01"/>
    <s v="150ML"/>
    <s v="0150"/>
    <s v="BTL"/>
    <n v="1"/>
    <m/>
    <n v="0"/>
    <m/>
    <m/>
    <m/>
    <s v="LITER"/>
    <n v="2"/>
    <m/>
    <n v="22521.89189189189"/>
    <n v="1081050.8108108107"/>
    <n v="24999.3"/>
    <n v="1199966.3999999999"/>
    <n v="24324.324324324323"/>
    <n v="1167567.5675675676"/>
    <n v="27000"/>
    <n v="1296000.0000000002"/>
    <m/>
    <n v="0"/>
    <n v="0"/>
    <n v="0"/>
    <n v="7.4100000000000041E-2"/>
    <m/>
    <m/>
    <s v="Lama"/>
    <s v="Sama"/>
    <m/>
    <s v="IDR"/>
    <s v="20150"/>
    <s v="150ML"/>
    <m/>
    <m/>
    <s v="KRT"/>
    <s v="GD01"/>
    <n v="11611"/>
    <n v="11612"/>
    <m/>
    <n v="1"/>
    <m/>
  </r>
  <r>
    <s v="F40640010130101"/>
    <n v="1"/>
    <n v="85"/>
    <x v="90"/>
    <s v="SHINZUI1"/>
    <s v="SHZ Exfoliating Gel Cica 48 x 130Ml"/>
    <x v="3"/>
    <s v="8992946533686"/>
    <x v="9"/>
    <s v="SHINZUI EXFOLIATING"/>
    <s v="F4064"/>
    <x v="91"/>
    <n v="14"/>
    <s v="SHINZUI EXFOLIATING GEL CICA 130ML X 48 TUBE"/>
    <n v="44"/>
    <m/>
    <s v="F4"/>
    <s v="SHINZUI"/>
    <s v="06"/>
    <s v="EXFOLIATING"/>
    <n v="4"/>
    <m/>
    <s v="0"/>
    <s v="GEL CICA"/>
    <s v="01"/>
    <s v="130ML"/>
    <s v="0130"/>
    <s v="TUBE"/>
    <n v="1"/>
    <m/>
    <n v="0"/>
    <m/>
    <m/>
    <m/>
    <s v="LITER"/>
    <n v="2"/>
    <m/>
    <n v="8591.6846846846838"/>
    <n v="412400.86486486485"/>
    <n v="9536.77"/>
    <n v="457764.96"/>
    <n v="9279.2792792792789"/>
    <n v="445405.40540540538"/>
    <n v="10300"/>
    <n v="494400"/>
    <m/>
    <n v="0"/>
    <n v="0"/>
    <n v="0"/>
    <n v="7.4100000000000055E-2"/>
    <d v="2025-07-10T00:00:00"/>
    <m/>
    <s v="Lama"/>
    <s v="Sama"/>
    <s v="Aktif"/>
    <s v="IDR"/>
    <s v="20130"/>
    <s v="130ML"/>
    <s v="S-FRN"/>
    <s v="45MIX"/>
    <s v="KRT"/>
    <s v="GD01"/>
    <n v="11611"/>
    <n v="11612"/>
    <s v="0101"/>
    <n v="1"/>
    <s v="PT. FOKUS RITEL NUSAPRIMA"/>
  </r>
  <r>
    <s v="F40640010260101"/>
    <n v="1"/>
    <m/>
    <x v="91"/>
    <s v="SHINZUI1"/>
    <s v="SHZ Exfoliating Gel Cica 48 x 260Ml"/>
    <x v="3"/>
    <m/>
    <x v="9"/>
    <s v="SHINZUI EXFOLIATING"/>
    <s v="F4064"/>
    <x v="92"/>
    <n v="14"/>
    <s v="SHINZUI EXFOLIATING GEL CICA 260ML X 48 TUBE"/>
    <n v="44"/>
    <m/>
    <s v="F4"/>
    <s v="SHINZUI"/>
    <s v="06"/>
    <s v="EXFOLIATING"/>
    <n v="4"/>
    <m/>
    <s v="0"/>
    <s v="GEL CICA"/>
    <s v="01"/>
    <s v="260ML"/>
    <s v="0260"/>
    <s v="TUBE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260"/>
    <s v="260ML"/>
    <m/>
    <m/>
    <s v="KRT"/>
    <s v="GD01"/>
    <n v="11611"/>
    <n v="11612"/>
    <m/>
    <n v="1"/>
    <m/>
  </r>
  <r>
    <s v="F40640020130101"/>
    <n v="1"/>
    <n v="86"/>
    <x v="92"/>
    <s v="SHINZUI1"/>
    <s v="SHZ Exfoliating Gel Honey 48 x 130Ml"/>
    <x v="3"/>
    <n v="8992946534133"/>
    <x v="9"/>
    <s v="SHINZUI EXFOLIATING"/>
    <s v="F4064"/>
    <x v="93"/>
    <n v="14"/>
    <s v="SHINZUI EXFOLIATING GEL HONEY 130ML X 48 TUBE"/>
    <n v="45"/>
    <m/>
    <s v="F4"/>
    <s v="SHINZUI"/>
    <s v="06"/>
    <s v="EXFOLIATING"/>
    <n v="4"/>
    <m/>
    <s v="0"/>
    <s v="GEL HONEY"/>
    <s v="02"/>
    <s v="130ML"/>
    <s v="0130"/>
    <s v="TUBE"/>
    <n v="1"/>
    <m/>
    <n v="0"/>
    <m/>
    <m/>
    <m/>
    <s v="LITER"/>
    <n v="2"/>
    <m/>
    <n v="8591.6846846846838"/>
    <n v="412400.86486486485"/>
    <n v="9536.77"/>
    <n v="457764.96"/>
    <n v="9279.2792792792789"/>
    <n v="445405.40540540538"/>
    <n v="10300"/>
    <n v="494400"/>
    <m/>
    <n v="0"/>
    <n v="0"/>
    <n v="0"/>
    <n v="7.4100000000000055E-2"/>
    <d v="2025-07-10T00:00:00"/>
    <m/>
    <s v="Lama"/>
    <s v="Sama"/>
    <s v="Aktif"/>
    <s v="IDR"/>
    <s v="20130"/>
    <s v="130ML"/>
    <s v="S-FRN"/>
    <s v="45MIX"/>
    <s v="KRT"/>
    <s v="GD01"/>
    <n v="11611"/>
    <n v="11612"/>
    <s v="0101"/>
    <n v="1"/>
    <s v="PT. FOKUS RITEL NUSAPRIMA"/>
  </r>
  <r>
    <s v="F40640030130101"/>
    <n v="1"/>
    <n v="87"/>
    <x v="93"/>
    <s v="SHINZUI1"/>
    <s v="SHZ Exfoliating Gel Ichigo 48 x 130Ml"/>
    <x v="3"/>
    <s v="8992946533679"/>
    <x v="9"/>
    <s v="SHINZUI EXFOLIATING"/>
    <s v="F4064"/>
    <x v="94"/>
    <n v="14"/>
    <s v="SHINZUI EXFOLIATING GEL ICHIGO 130ML X 48 TUBE"/>
    <n v="46"/>
    <m/>
    <s v="F4"/>
    <s v="SHINZUI"/>
    <s v="06"/>
    <s v="EXFOLIATING"/>
    <n v="4"/>
    <m/>
    <s v="0"/>
    <s v="GEL ICHIGO"/>
    <s v="03"/>
    <s v="130ML"/>
    <s v="0130"/>
    <s v="TUBE"/>
    <n v="1"/>
    <m/>
    <n v="0"/>
    <m/>
    <m/>
    <m/>
    <s v="LITER"/>
    <n v="2"/>
    <m/>
    <n v="8591.6846846846838"/>
    <n v="412400.86486486485"/>
    <n v="9536.77"/>
    <n v="457764.96"/>
    <n v="9279.2792792792789"/>
    <n v="445405.40540540538"/>
    <n v="10300"/>
    <n v="494400"/>
    <m/>
    <n v="0"/>
    <n v="0"/>
    <n v="0"/>
    <n v="7.4100000000000055E-2"/>
    <d v="2025-07-10T00:00:00"/>
    <m/>
    <s v="Lama"/>
    <s v="Sama"/>
    <s v="Aktif"/>
    <s v="IDR"/>
    <s v="20130"/>
    <s v="130ML"/>
    <s v="S-FRN"/>
    <s v="45MIX"/>
    <s v="KRT"/>
    <s v="GD01"/>
    <n v="11611"/>
    <n v="11612"/>
    <s v="0101"/>
    <n v="1"/>
    <s v="PT. FOKUS RITEL NUSAPRIMA"/>
  </r>
  <r>
    <s v="F40650010080111"/>
    <n v="1"/>
    <n v="88"/>
    <x v="94"/>
    <s v="SHINZUI1"/>
    <s v="Facial Wash SHINZUI Snow Mushroom 48x80ML Upsize 20ML"/>
    <x v="3"/>
    <n v="8992946514296"/>
    <x v="9"/>
    <s v="SHINZUI FACIAL WSH"/>
    <s v="F4065"/>
    <x v="95"/>
    <n v="14"/>
    <s v="SHINZUI FACIAL WSH SNOW MSHRM 80ML X 48 TUBE +20ML"/>
    <n v="50"/>
    <m/>
    <s v="F4"/>
    <s v="SHINZUI"/>
    <s v="06"/>
    <s v="FACIAL WSH"/>
    <n v="5"/>
    <m/>
    <s v="0"/>
    <s v="SNOW MSHRM"/>
    <s v="01"/>
    <s v="80ML"/>
    <s v="0080"/>
    <s v="TUBE"/>
    <n v="1"/>
    <s v="+20ML"/>
    <n v="1"/>
    <m/>
    <m/>
    <m/>
    <s v="LITER"/>
    <n v="2"/>
    <m/>
    <n v="17517.027027027023"/>
    <n v="840817.29729729705"/>
    <n v="19443.899999999998"/>
    <n v="933307.19999999984"/>
    <n v="18918.918918918916"/>
    <n v="908108.10810810793"/>
    <n v="21000"/>
    <n v="1007999.9999999999"/>
    <m/>
    <n v="0"/>
    <n v="0"/>
    <n v="0"/>
    <n v="7.4100000000000096E-2"/>
    <d v="2025-07-10T00:00:00"/>
    <m/>
    <s v="Lama"/>
    <s v="Sama"/>
    <s v="Aktif"/>
    <s v="IDR"/>
    <s v="20080"/>
    <s v="80ML"/>
    <s v="S-FRN"/>
    <s v="45MIX"/>
    <s v="KRT"/>
    <s v="GD01"/>
    <n v="11611"/>
    <n v="11612"/>
    <s v="0101"/>
    <n v="1"/>
    <s v="PT. FOKUS RITEL NUSAPRIMA"/>
  </r>
  <r>
    <s v="F40650010080121"/>
    <n v="1"/>
    <n v="89"/>
    <x v="95"/>
    <s v="SHINZUI1"/>
    <s v="SHZ FWS SNOW MUSHROOM 80ML UPSIZE 20ML &amp; SHZ FWS SNOW MUSHROOM 20ML 1 PKTX48"/>
    <x v="3"/>
    <n v="8992946535625"/>
    <x v="9"/>
    <s v="SHINZUI FACIAL WSH"/>
    <s v="F4065"/>
    <x v="96"/>
    <n v="14"/>
    <s v="SHINZUI FACIAL WSH SNOW MSHRM 80ML X 48 TUBE BND"/>
    <n v="48"/>
    <m/>
    <s v="F4"/>
    <s v="SHINZUI"/>
    <s v="06"/>
    <s v="FACIAL WSH"/>
    <n v="5"/>
    <m/>
    <s v="0"/>
    <s v="SNOW MSHRM"/>
    <s v="01"/>
    <s v="80ML"/>
    <s v="0080"/>
    <s v="TUBE"/>
    <n v="1"/>
    <s v="BND"/>
    <n v="2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80"/>
    <s v="80ML"/>
    <m/>
    <m/>
    <s v="KRT"/>
    <s v="GD01"/>
    <n v="11611"/>
    <n v="11612"/>
    <m/>
    <n v="1"/>
    <m/>
  </r>
  <r>
    <s v="F40650020080111"/>
    <n v="1"/>
    <n v="90"/>
    <x v="96"/>
    <s v="SHINZUI1"/>
    <s v="Facial Wash SHINZUI Cica 48x80ML Upsize 20ML"/>
    <x v="3"/>
    <n v="8992946526206"/>
    <x v="9"/>
    <s v="SHINZUI FACIAL WSH"/>
    <s v="F4065"/>
    <x v="97"/>
    <n v="14"/>
    <s v="SHINZUI FACIAL WSH CICA 80ML X 48 TUBE +20ML"/>
    <n v="44"/>
    <m/>
    <s v="F4"/>
    <s v="SHINZUI"/>
    <s v="06"/>
    <s v="FACIAL WSH"/>
    <n v="5"/>
    <m/>
    <s v="0"/>
    <s v="CICA"/>
    <s v="02"/>
    <s v="80ML"/>
    <s v="0080"/>
    <s v="TUBE"/>
    <n v="1"/>
    <s v="+20ML"/>
    <n v="1"/>
    <m/>
    <m/>
    <m/>
    <s v="LITER"/>
    <n v="2"/>
    <m/>
    <n v="17517.027027027023"/>
    <n v="840817.29729729705"/>
    <n v="19443.899999999998"/>
    <n v="933307.19999999984"/>
    <n v="18918.918918918916"/>
    <n v="908108.10810810793"/>
    <n v="21000"/>
    <n v="1007999.9999999999"/>
    <m/>
    <n v="0"/>
    <n v="0"/>
    <n v="0"/>
    <n v="7.4100000000000096E-2"/>
    <d v="2025-07-10T00:00:00"/>
    <m/>
    <s v="Lama"/>
    <s v="Sama"/>
    <s v="Aktif"/>
    <s v="IDR"/>
    <s v="20080"/>
    <s v="80ML"/>
    <s v="S-FRN"/>
    <s v="45MIX"/>
    <s v="KRT"/>
    <s v="GD01"/>
    <n v="11611"/>
    <n v="11612"/>
    <s v="0101"/>
    <n v="1"/>
    <s v="PT. FOKUS RITEL NUSAPRIMA"/>
  </r>
  <r>
    <s v="F40650020080121"/>
    <n v="1"/>
    <m/>
    <x v="97"/>
    <s v="SHINZUI1"/>
    <m/>
    <x v="7"/>
    <m/>
    <x v="9"/>
    <s v="SHINZUI FACIAL WSH"/>
    <s v="F4065"/>
    <x v="98"/>
    <n v="14"/>
    <s v="SHINZUI FACIAL WSH CICA 80ML X TUBE BND"/>
    <n v="39"/>
    <m/>
    <s v="F4"/>
    <s v="SHINZUI"/>
    <s v="06"/>
    <s v="FACIAL WSH"/>
    <n v="5"/>
    <m/>
    <s v="0"/>
    <s v="CICA"/>
    <s v="02"/>
    <s v="80ML"/>
    <s v="0080"/>
    <s v="TUBE"/>
    <n v="1"/>
    <s v="BND"/>
    <n v="2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080"/>
    <s v="80ML"/>
    <m/>
    <m/>
    <s v="KRT"/>
    <s v="GD01"/>
    <n v="11611"/>
    <n v="11612"/>
    <m/>
    <n v="1"/>
    <m/>
  </r>
  <r>
    <s v="F40650020080111"/>
    <n v="1"/>
    <m/>
    <x v="98"/>
    <s v="SHINZUI1"/>
    <s v="SHZ FWS CICA 80ML UPSIZE 20ML&amp;SHZ FWS CICA 20ML 1 PKTX48"/>
    <x v="3"/>
    <n v="8992946526206"/>
    <x v="9"/>
    <s v="SHINZUI FACIAL WSH"/>
    <s v="F4065"/>
    <x v="97"/>
    <n v="14"/>
    <s v="SHINZUI FACIAL WSH CICA 80ML X 48 TUBE +20ML"/>
    <n v="44"/>
    <m/>
    <s v="F4"/>
    <s v="SHINZUI"/>
    <s v="06"/>
    <s v="FACIAL WSH"/>
    <n v="5"/>
    <m/>
    <s v="0"/>
    <s v="CICA"/>
    <s v="02"/>
    <s v="80ML"/>
    <s v="0080"/>
    <s v="TUBE"/>
    <n v="1"/>
    <s v="+20ML"/>
    <n v="1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80"/>
    <s v="80ML"/>
    <m/>
    <m/>
    <s v="KRT"/>
    <s v="GD01"/>
    <n v="11611"/>
    <n v="11612"/>
    <m/>
    <n v="1"/>
    <m/>
  </r>
  <r>
    <s v="F40650030020101"/>
    <n v="1"/>
    <n v="91"/>
    <x v="99"/>
    <s v="SHINZUI1"/>
    <s v="SHZ F.Wash Snow Mushroom 12x10x20Ml (P10)"/>
    <x v="5"/>
    <s v="8992946534775"/>
    <x v="9"/>
    <s v="SHINZUI FACIAL WSH"/>
    <s v="F4065"/>
    <x v="99"/>
    <n v="14"/>
    <s v="SHINZUI FACIAL WSH SNOW MSHRM 20ML X 12 TUBE"/>
    <n v="44"/>
    <m/>
    <s v="F4"/>
    <s v="SHINZUI"/>
    <s v="06"/>
    <s v="FACIAL WSH"/>
    <n v="5"/>
    <m/>
    <s v="0"/>
    <s v="SNOW MSHRM"/>
    <s v="03"/>
    <s v="20ML"/>
    <s v="0020"/>
    <s v="TUBE"/>
    <n v="1"/>
    <m/>
    <n v="0"/>
    <m/>
    <m/>
    <m/>
    <s v="LITER"/>
    <n v="2"/>
    <m/>
    <n v="41707.207207207204"/>
    <n v="500486.48648648645"/>
    <n v="46295"/>
    <n v="555540"/>
    <n v="45045.045045045037"/>
    <n v="540540.54054054047"/>
    <n v="49999.999999999993"/>
    <n v="600000"/>
    <m/>
    <n v="0"/>
    <n v="0"/>
    <n v="0"/>
    <n v="7.4099999999999902E-2"/>
    <d v="2025-07-10T00:00:00"/>
    <m/>
    <s v="Lama"/>
    <s v="Sama"/>
    <s v="Aktif"/>
    <s v="IDR"/>
    <s v="20020"/>
    <s v="20ML"/>
    <s v="S-FRN"/>
    <s v="45MIX"/>
    <s v="KRT"/>
    <s v="GD01"/>
    <n v="11611"/>
    <n v="11612"/>
    <s v="0101"/>
    <n v="1"/>
    <s v="PT. FOKUS RITEL NUSAPRIMA"/>
  </r>
  <r>
    <s v="F40650030020131"/>
    <n v="1"/>
    <m/>
    <x v="100"/>
    <s v="SHINZUI1"/>
    <m/>
    <x v="5"/>
    <m/>
    <x v="12"/>
    <s v="SHINZUI FACIAL WSH"/>
    <s v="F4065"/>
    <x v="100"/>
    <n v="14"/>
    <s v="SHINZUI FACIAL WSH SNOW MSHRM 20ML X 12 TOPLES MIX"/>
    <n v="50"/>
    <m/>
    <s v="F4"/>
    <s v="SHINZUI"/>
    <s v="06"/>
    <s v="FACIAL WSH"/>
    <n v="5"/>
    <m/>
    <s v="0"/>
    <s v="SNOW MSHRM"/>
    <s v="03"/>
    <s v="20ML"/>
    <s v="0020"/>
    <s v="TOPLES"/>
    <n v="1"/>
    <s v="MIX"/>
    <n v="3"/>
    <m/>
    <m/>
    <m/>
    <m/>
    <m/>
    <m/>
    <n v="41707.207207207204"/>
    <n v="500486.48648648645"/>
    <n v="46295"/>
    <n v="555540"/>
    <n v="45045.045045045037"/>
    <n v="540540.54054054047"/>
    <n v="49999.999999999993"/>
    <n v="600000"/>
    <m/>
    <n v="0"/>
    <n v="0"/>
    <n v="0"/>
    <n v="7.4099999999999902E-2"/>
    <m/>
    <m/>
    <s v="Lama"/>
    <s v="Sama"/>
    <m/>
    <s v="IDR"/>
    <s v="0020"/>
    <s v="20ML"/>
    <m/>
    <m/>
    <s v="KRT"/>
    <s v="GD01"/>
    <n v="11611"/>
    <n v="11612"/>
    <m/>
    <n v="1"/>
    <m/>
  </r>
  <r>
    <s v="F40650010020201"/>
    <n v="1"/>
    <n v="162"/>
    <x v="101"/>
    <s v="SHINZUI1"/>
    <s v="SHZ F. WASH SNOW MUSHROOM 120X20ML"/>
    <x v="8"/>
    <s v="8992946535298"/>
    <x v="3"/>
    <s v="SHINZUI FACIAL WSH"/>
    <s v="F4065"/>
    <x v="101"/>
    <n v="14"/>
    <s v="SHINZUI FACIAL WSH SNOW MSHRM 20ML X 120 PCS"/>
    <n v="44"/>
    <m/>
    <s v="F4"/>
    <s v="SHINZUI"/>
    <s v="06"/>
    <s v="FACIAL WSH"/>
    <n v="5"/>
    <m/>
    <s v="0"/>
    <s v="SNOW MSHRM"/>
    <s v="01"/>
    <s v="20ML"/>
    <s v="0020"/>
    <s v="PCS"/>
    <n v="2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20"/>
    <s v="20ML"/>
    <m/>
    <m/>
    <s v="KRT"/>
    <s v="GD01"/>
    <n v="11611"/>
    <n v="11612"/>
    <m/>
    <n v="1"/>
    <m/>
  </r>
  <r>
    <s v="F40650010020202"/>
    <n v="2"/>
    <n v="172"/>
    <x v="102"/>
    <s v="SHINZUI1"/>
    <s v="SHZ F.WASH SNOW MUSHROOM 120X20ML (TRAY)"/>
    <x v="8"/>
    <m/>
    <x v="3"/>
    <s v="SHINZUI FACIAL WSH"/>
    <s v="F4065"/>
    <x v="101"/>
    <n v="14"/>
    <s v="SHINZUI FACIAL WSH SNOW MSHRM 20ML X 120 PCS"/>
    <n v="44"/>
    <m/>
    <s v="F4"/>
    <s v="SHINZUI"/>
    <s v="06"/>
    <s v="FACIAL WSH"/>
    <n v="5"/>
    <m/>
    <s v="0"/>
    <s v="SNOW MSHRM"/>
    <s v="01"/>
    <s v="20ML"/>
    <s v="0020"/>
    <s v="PCS"/>
    <n v="2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20"/>
    <s v="20ML"/>
    <m/>
    <m/>
    <s v="KRT"/>
    <s v="GD01"/>
    <n v="11611"/>
    <n v="11612"/>
    <m/>
    <n v="1"/>
    <m/>
  </r>
  <r>
    <s v="F40650040080201"/>
    <n v="1"/>
    <m/>
    <x v="103"/>
    <s v="SHINZUI1"/>
    <s v="SHZ F.WASH ANTI ACNE 48X80ML"/>
    <x v="3"/>
    <m/>
    <x v="3"/>
    <s v="SHINZUI FACIAL WSH"/>
    <s v="F4065"/>
    <x v="102"/>
    <n v="14"/>
    <s v="SHINZUI FACIAL WSH ANTI ACNE 80ML X 48 PCS"/>
    <n v="42"/>
    <m/>
    <s v="F4"/>
    <s v="SHINZUI"/>
    <s v="06"/>
    <s v="FACIAL WSH"/>
    <n v="5"/>
    <m/>
    <s v="0"/>
    <s v="ANTI ACNE"/>
    <s v="04"/>
    <s v="80ML"/>
    <s v="0080"/>
    <s v="PCS"/>
    <n v="2"/>
    <m/>
    <n v="0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10080"/>
    <s v="80ML"/>
    <m/>
    <m/>
    <s v="KRT"/>
    <s v="GD01"/>
    <n v="11611"/>
    <n v="11612"/>
    <m/>
    <n v="1"/>
    <m/>
  </r>
  <r>
    <s v="F40660010080101"/>
    <n v="1"/>
    <n v="93"/>
    <x v="104"/>
    <s v="SHINZUI1"/>
    <s v="Sabun SHINZUI Hana 144x80Gr"/>
    <x v="9"/>
    <n v="8992945512223"/>
    <x v="3"/>
    <s v="SHINZUI SABUN"/>
    <s v="F4066"/>
    <x v="103"/>
    <n v="14"/>
    <s v="SHINZUI SABUN HANA 80G X 144 PCS"/>
    <n v="32"/>
    <m/>
    <s v="F4"/>
    <s v="SHINZUI"/>
    <s v="06"/>
    <s v="SABUN"/>
    <n v="6"/>
    <m/>
    <s v="0"/>
    <s v="HANA"/>
    <s v="01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20080101"/>
    <n v="1"/>
    <n v="94"/>
    <x v="105"/>
    <s v="SHINZUI1"/>
    <s v="Sabun SHINZUI Kensho 144x80Gr"/>
    <x v="9"/>
    <n v="8992946521836"/>
    <x v="3"/>
    <s v="SHINZUI SABUN"/>
    <s v="F4066"/>
    <x v="104"/>
    <n v="14"/>
    <s v="SHINZUI SABUN KENSHO 80G X 144 PCS"/>
    <n v="34"/>
    <m/>
    <s v="F4"/>
    <s v="SHINZUI"/>
    <s v="06"/>
    <s v="SABUN"/>
    <n v="6"/>
    <m/>
    <s v="0"/>
    <s v="KENSHO"/>
    <s v="02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30080101"/>
    <n v="1"/>
    <n v="95"/>
    <x v="106"/>
    <s v="SHINZUI1"/>
    <s v="Sabun SHINZUI Kirei 144x80Gr"/>
    <x v="9"/>
    <n v="8992946512285"/>
    <x v="3"/>
    <s v="SHINZUI SABUN"/>
    <s v="F4066"/>
    <x v="105"/>
    <n v="14"/>
    <s v="SHINZUI SABUN KIREI 80G X 144 PCS"/>
    <n v="33"/>
    <m/>
    <s v="F4"/>
    <s v="SHINZUI"/>
    <s v="06"/>
    <s v="SABUN"/>
    <n v="6"/>
    <m/>
    <s v="0"/>
    <s v="KIREI"/>
    <s v="03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40080101"/>
    <n v="1"/>
    <n v="96"/>
    <x v="107"/>
    <s v="SHINZUI1"/>
    <s v="Sabun SHINZUI Matsu 144x80Gr"/>
    <x v="9"/>
    <s v="8992946511790"/>
    <x v="3"/>
    <s v="SHINZUI SABUN"/>
    <s v="F4066"/>
    <x v="106"/>
    <n v="14"/>
    <s v="SHINZUI SABUN MATSU 80G X 144 PCS"/>
    <n v="33"/>
    <m/>
    <s v="F4"/>
    <s v="SHINZUI"/>
    <s v="06"/>
    <s v="SABUN"/>
    <n v="6"/>
    <m/>
    <s v="0"/>
    <s v="MATSU"/>
    <s v="04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50080101"/>
    <n v="1"/>
    <n v="97"/>
    <x v="108"/>
    <s v="SHINZUI1"/>
    <s v="Sabun SHINZUI Myori 144x80Gr"/>
    <x v="9"/>
    <n v="8992946521416"/>
    <x v="3"/>
    <s v="SHINZUI SABUN"/>
    <s v="F4066"/>
    <x v="107"/>
    <n v="14"/>
    <s v="SHINZUI SABUN MYORI 80G X 144 PCS"/>
    <n v="33"/>
    <m/>
    <s v="F4"/>
    <s v="SHINZUI"/>
    <s v="06"/>
    <s v="SABUN"/>
    <n v="6"/>
    <m/>
    <s v="0"/>
    <s v="MYORI"/>
    <s v="05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60080101"/>
    <n v="1"/>
    <n v="98"/>
    <x v="109"/>
    <s v="SHINZUI1"/>
    <s v="Sabun SHINZUI Sakura 144x80Gr"/>
    <x v="9"/>
    <n v="8992946521409"/>
    <x v="3"/>
    <s v="SHINZUI SABUN"/>
    <s v="F4066"/>
    <x v="108"/>
    <n v="14"/>
    <s v="SHINZUI SABUN SAKURA 80G X 144 PCS"/>
    <n v="34"/>
    <m/>
    <s v="F4"/>
    <s v="SHINZUI"/>
    <s v="06"/>
    <s v="SABUN"/>
    <n v="6"/>
    <m/>
    <s v="0"/>
    <s v="SAKURA"/>
    <s v="06"/>
    <s v="80G"/>
    <s v="0080"/>
    <s v="PCS"/>
    <n v="1"/>
    <m/>
    <n v="0"/>
    <m/>
    <m/>
    <m/>
    <s v="GRAM"/>
    <n v="1"/>
    <m/>
    <n v="3586.8198198198197"/>
    <n v="516502.05405405402"/>
    <n v="3981.3700000000003"/>
    <n v="573317.28"/>
    <n v="3873.8738738738734"/>
    <n v="557837.83783783775"/>
    <n v="4300"/>
    <n v="619200"/>
    <m/>
    <n v="0"/>
    <n v="0"/>
    <n v="0"/>
    <n v="7.4099999999999916E-2"/>
    <d v="2025-07-10T00:00:00"/>
    <m/>
    <s v="Lama"/>
    <s v="Sama"/>
    <s v="Aktif"/>
    <s v="IDR"/>
    <s v="10080"/>
    <s v="80G"/>
    <s v="S-FRN"/>
    <s v="45MIX"/>
    <s v="KRT"/>
    <s v="GD01"/>
    <n v="11611"/>
    <n v="11612"/>
    <s v="0101"/>
    <n v="1"/>
    <s v="PT. FOKUS RITEL NUSAPRIMA"/>
  </r>
  <r>
    <s v="F40660040060201"/>
    <n v="1"/>
    <n v="99"/>
    <x v="110"/>
    <s v="SHINZUI1"/>
    <s v="SHZ BAR MATSU 24X3X60GR PW"/>
    <x v="1"/>
    <n v="8992946532938"/>
    <x v="5"/>
    <s v="SHINZUI SABUN"/>
    <s v="F4066"/>
    <x v="109"/>
    <n v="14"/>
    <s v="SHINZUI SABUN MATSU 60G X 24 PACK"/>
    <n v="33"/>
    <m/>
    <s v="F4"/>
    <s v="SHINZUI"/>
    <s v="06"/>
    <s v="SABUN"/>
    <n v="6"/>
    <m/>
    <s v="0"/>
    <s v="MATSU"/>
    <s v="04"/>
    <s v="60G"/>
    <s v="0060"/>
    <s v="PACK"/>
    <n v="2"/>
    <m/>
    <n v="0"/>
    <m/>
    <m/>
    <m/>
    <s v="GRAM"/>
    <n v="1"/>
    <m/>
    <n v="2627.5540540540537"/>
    <n v="63061.297297297293"/>
    <n v="2916.585"/>
    <n v="69998.040000000008"/>
    <n v="2837.8378378378379"/>
    <n v="68108.108108108107"/>
    <n v="3150.0000000000005"/>
    <n v="75600"/>
    <m/>
    <n v="0"/>
    <n v="0"/>
    <n v="0"/>
    <n v="7.4100000000000152E-2"/>
    <d v="2025-10-30T00:00:00"/>
    <m/>
    <s v="Lama"/>
    <s v="Sama"/>
    <m/>
    <s v="IDR"/>
    <s v="10060"/>
    <s v="60G"/>
    <s v="S-FRN"/>
    <s v="45MIX"/>
    <s v="KRT"/>
    <s v="GD01"/>
    <n v="11611"/>
    <n v="11612"/>
    <s v="0101"/>
    <n v="1"/>
    <s v="PT. FOKUS RITEL NUSAPRIMA"/>
  </r>
  <r>
    <s v="F40660030060201"/>
    <n v="1"/>
    <n v="100"/>
    <x v="111"/>
    <s v="SHINZUI1"/>
    <s v="SHZ BAR KIREI 24X3X60GR PW "/>
    <x v="1"/>
    <n v="8992946532921"/>
    <x v="5"/>
    <s v="SHINZUI SABUN"/>
    <s v="F4066"/>
    <x v="110"/>
    <n v="14"/>
    <s v="SHINZUI SABUN KIREI 60G X 24 PACK"/>
    <n v="33"/>
    <m/>
    <s v="F4"/>
    <s v="SHINZUI"/>
    <s v="06"/>
    <s v="SABUN"/>
    <n v="6"/>
    <m/>
    <s v="0"/>
    <s v="KIREI"/>
    <s v="03"/>
    <s v="60G"/>
    <s v="0060"/>
    <s v="PACK"/>
    <n v="2"/>
    <m/>
    <n v="0"/>
    <m/>
    <m/>
    <m/>
    <s v="GRAM"/>
    <n v="1"/>
    <m/>
    <n v="2627.5540540540537"/>
    <n v="63061.297297297293"/>
    <n v="2916.585"/>
    <n v="69998.040000000008"/>
    <n v="2837.8378378378379"/>
    <n v="68108.108108108107"/>
    <n v="3150.0000000000005"/>
    <n v="75600"/>
    <m/>
    <n v="0"/>
    <n v="0"/>
    <n v="0"/>
    <n v="7.4100000000000152E-2"/>
    <d v="2025-10-30T00:00:00"/>
    <m/>
    <s v="Lama"/>
    <s v="Sama"/>
    <m/>
    <s v="IDR"/>
    <s v="10060"/>
    <s v="60G"/>
    <s v="S-FRN"/>
    <s v="45MIX"/>
    <s v="KRT"/>
    <s v="GD01"/>
    <n v="11611"/>
    <n v="11612"/>
    <s v="0101"/>
    <n v="1"/>
    <s v="PT. FOKUS RITEL NUSAPRIMA"/>
  </r>
  <r>
    <s v="F40660030060131"/>
    <n v="1"/>
    <m/>
    <x v="112"/>
    <s v="SHINZUI2"/>
    <s v="SHZ KIREI 72x60Gr"/>
    <x v="2"/>
    <m/>
    <x v="3"/>
    <s v="SHINZUI SABUN"/>
    <s v="F4066"/>
    <x v="111"/>
    <n v="14"/>
    <s v="SHINZUI SABUN KIREI 60G X 72 PCS PROMO"/>
    <n v="38"/>
    <m/>
    <s v="F4"/>
    <s v="SHINZUI"/>
    <s v="06"/>
    <s v="SABUN"/>
    <n v="6"/>
    <m/>
    <s v="0"/>
    <s v="KIREI"/>
    <s v="03"/>
    <s v="60G"/>
    <s v="0060"/>
    <s v="PCS"/>
    <n v="1"/>
    <s v="PROMO"/>
    <n v="3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10060"/>
    <s v="60G"/>
    <m/>
    <m/>
    <s v="KRT"/>
    <s v="GD01"/>
    <n v="11611"/>
    <n v="11612"/>
    <m/>
    <n v="1"/>
    <m/>
  </r>
  <r>
    <s v="F40660060060201"/>
    <n v="1"/>
    <n v="165"/>
    <x v="113"/>
    <s v="SHINZUI1"/>
    <s v="SHZ BAR SAKURA 24X3X60GR PW "/>
    <x v="1"/>
    <n v="8992946535946"/>
    <x v="5"/>
    <s v="SHINZUI SABUN"/>
    <s v="F4066"/>
    <x v="112"/>
    <n v="14"/>
    <s v="SHINZUI SABUN SAKURA 60G X 24 PACK"/>
    <n v="34"/>
    <m/>
    <s v="F4"/>
    <s v="SHINZUI"/>
    <s v="06"/>
    <s v="SABUN"/>
    <n v="6"/>
    <m/>
    <s v="0"/>
    <s v="SAKURA"/>
    <s v="06"/>
    <s v="60G"/>
    <s v="0060"/>
    <s v="PACK"/>
    <n v="2"/>
    <m/>
    <n v="0"/>
    <m/>
    <m/>
    <m/>
    <s v="GRAM"/>
    <n v="1"/>
    <m/>
    <n v="2627.5540540540537"/>
    <n v="63061.297297297293"/>
    <n v="2916.585"/>
    <n v="69998.040000000008"/>
    <n v="2837.8378378378379"/>
    <n v="68108.108108108107"/>
    <n v="3150.0000000000005"/>
    <n v="75600"/>
    <m/>
    <n v="0"/>
    <n v="0"/>
    <n v="0"/>
    <n v="7.4100000000000152E-2"/>
    <d v="2026-01-22T00:00:00"/>
    <m/>
    <s v="Lama"/>
    <s v="Sama"/>
    <m/>
    <s v="IDR"/>
    <s v="10060"/>
    <s v="60G"/>
    <m/>
    <m/>
    <s v="KRT"/>
    <s v="GD01"/>
    <n v="11611"/>
    <n v="11612"/>
    <m/>
    <n v="1"/>
    <m/>
  </r>
  <r>
    <s v="F40660040060101"/>
    <n v="1"/>
    <m/>
    <x v="97"/>
    <m/>
    <m/>
    <x v="2"/>
    <m/>
    <x v="3"/>
    <s v="SHINZUI SABUN"/>
    <s v="F4066"/>
    <x v="113"/>
    <n v="14"/>
    <s v="SHINZUI SABUN MATSU 60G X 72 PCS"/>
    <n v="32"/>
    <m/>
    <s v="F4"/>
    <s v="SHINZUI"/>
    <s v="06"/>
    <s v="SABUN"/>
    <n v="6"/>
    <m/>
    <s v="0"/>
    <s v="MATSU"/>
    <s v="04"/>
    <s v="60G"/>
    <s v="0060"/>
    <s v="PCS"/>
    <n v="1"/>
    <m/>
    <n v="0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10060"/>
    <s v="60G"/>
    <m/>
    <m/>
    <s v="KRT"/>
    <s v="GD01"/>
    <n v="11611"/>
    <n v="11612"/>
    <m/>
    <n v="1"/>
    <m/>
  </r>
  <r>
    <s v="F40660030060101"/>
    <n v="1"/>
    <m/>
    <x v="97"/>
    <m/>
    <m/>
    <x v="2"/>
    <m/>
    <x v="3"/>
    <s v="SHINZUI SABUN"/>
    <s v="F4066"/>
    <x v="114"/>
    <n v="14"/>
    <s v="SHINZUI SABUN KIREI 60G X 72 PCS"/>
    <n v="32"/>
    <m/>
    <s v="F4"/>
    <s v="SHINZUI"/>
    <s v="06"/>
    <s v="SABUN"/>
    <n v="6"/>
    <m/>
    <s v="0"/>
    <s v="KIREI"/>
    <s v="03"/>
    <s v="60G"/>
    <s v="0060"/>
    <s v="PCS"/>
    <n v="1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60"/>
    <s v="60G"/>
    <m/>
    <m/>
    <s v="KRT"/>
    <s v="GD01"/>
    <n v="11611"/>
    <n v="11612"/>
    <m/>
    <n v="1"/>
    <m/>
  </r>
  <r>
    <s v="F40671010180101"/>
    <n v="1"/>
    <n v="101"/>
    <x v="114"/>
    <s v="SHINZUI1"/>
    <s v="Sabun Cair SHINZUI Kensho Ref 48x180ML"/>
    <x v="3"/>
    <n v="8992946522277"/>
    <x v="1"/>
    <s v="SHINZUI SABUN CAIR"/>
    <s v="F4067"/>
    <x v="115"/>
    <n v="14"/>
    <s v="SHINZUI SABUN CAIR REFILL KENSHO 180ML X 48 PCH"/>
    <n v="47"/>
    <m/>
    <s v="F4"/>
    <s v="SHINZUI"/>
    <s v="06"/>
    <s v="SABUN CAIR"/>
    <n v="7"/>
    <s v="REFILL"/>
    <s v="1"/>
    <s v="KENSHO"/>
    <s v="01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1020180101"/>
    <n v="1"/>
    <n v="102"/>
    <x v="115"/>
    <s v="SHINZUI1"/>
    <s v="Sabun Cair SHINZUI Kirei Ref 48x180ML"/>
    <x v="3"/>
    <n v="8992946519400"/>
    <x v="1"/>
    <s v="SHINZUI SABUN CAIR"/>
    <s v="F4067"/>
    <x v="116"/>
    <n v="14"/>
    <s v="SHINZUI SABUN CAIR REFILL KIREI 180ML X 48 PCH"/>
    <n v="46"/>
    <m/>
    <s v="F4"/>
    <s v="SHINZUI"/>
    <s v="06"/>
    <s v="SABUN CAIR"/>
    <n v="7"/>
    <s v="REFILL"/>
    <s v="1"/>
    <s v="KIREI"/>
    <s v="02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1030180101"/>
    <n v="1"/>
    <n v="103"/>
    <x v="116"/>
    <s v="SHINZUI1"/>
    <s v="Sabun Cair SHINZUI Myori Ref 48x180ML"/>
    <x v="3"/>
    <n v="8992946522253"/>
    <x v="1"/>
    <s v="SHINZUI SABUN CAIR"/>
    <s v="F4067"/>
    <x v="117"/>
    <n v="14"/>
    <s v="SHINZUI SABUN CAIR REFILL MYORI 180ML X 48 PCH"/>
    <n v="46"/>
    <m/>
    <s v="F4"/>
    <s v="SHINZUI"/>
    <s v="06"/>
    <s v="SABUN CAIR"/>
    <n v="7"/>
    <s v="REFILL"/>
    <s v="1"/>
    <s v="MYORI"/>
    <s v="03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1040180101"/>
    <n v="1"/>
    <n v="104"/>
    <x v="117"/>
    <s v="SHINZUI1"/>
    <s v="Sabun Cair SHINZUI Sakura Ref 48x180ML"/>
    <x v="3"/>
    <n v="8992946522270"/>
    <x v="1"/>
    <s v="SHINZUI SABUN CAIR"/>
    <s v="F4067"/>
    <x v="118"/>
    <n v="14"/>
    <s v="SHINZUI SABUN CAIR REFILL SAKURA 180ML X 48 PCH"/>
    <n v="47"/>
    <m/>
    <s v="F4"/>
    <s v="SHINZUI"/>
    <s v="06"/>
    <s v="SABUN CAIR"/>
    <n v="7"/>
    <s v="REFILL"/>
    <s v="1"/>
    <s v="SAKURA"/>
    <s v="04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0050180101"/>
    <n v="1"/>
    <n v="105"/>
    <x v="118"/>
    <s v="SHINZUI1"/>
    <s v="Sabun Cair SHINZUI Hana Ref 48x180ML"/>
    <x v="3"/>
    <n v="8992946519383"/>
    <x v="1"/>
    <s v="SHINZUI SABUN CAIR"/>
    <s v="F4067"/>
    <x v="119"/>
    <n v="14"/>
    <s v="SHINZUI SABUN CAIR HANA 180ML X 48 PCH"/>
    <n v="38"/>
    <m/>
    <s v="F4"/>
    <s v="SHINZUI"/>
    <s v="06"/>
    <s v="SABUN CAIR"/>
    <n v="7"/>
    <m/>
    <s v="0"/>
    <s v="HANA"/>
    <s v="05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0050225301"/>
    <n v="1"/>
    <n v="106"/>
    <x v="119"/>
    <s v="SHINZUI1"/>
    <s v="Sabun Cair SHINZUI Hana 48x225Ml"/>
    <x v="3"/>
    <n v="8992946519369"/>
    <x v="4"/>
    <s v="SHINZUI SABUN CAIR"/>
    <s v="F4067"/>
    <x v="120"/>
    <n v="14"/>
    <s v="SHINZUI SABUN CAIR HANA 225ML X 48 BTL"/>
    <n v="38"/>
    <m/>
    <s v="F4"/>
    <s v="SHINZUI"/>
    <s v="06"/>
    <s v="SABUN CAIR"/>
    <n v="7"/>
    <m/>
    <s v="0"/>
    <s v="HANA"/>
    <s v="05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050480201"/>
    <n v="1"/>
    <n v="107"/>
    <x v="120"/>
    <s v="SHINZUI1"/>
    <s v="Sabun Cair SHINZUI Hana 24x480ML"/>
    <x v="1"/>
    <n v="8992946525568"/>
    <x v="2"/>
    <s v="SHINZUI SABUN CAIR"/>
    <s v="F4067"/>
    <x v="121"/>
    <n v="14"/>
    <s v="SHINZUI SABUN CAIR HANA 480ML X 24 PUMP"/>
    <n v="39"/>
    <m/>
    <s v="F4"/>
    <s v="SHINZUI"/>
    <s v="06"/>
    <s v="SABUN CAIR"/>
    <n v="7"/>
    <m/>
    <s v="0"/>
    <s v="HANA"/>
    <s v="05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70060225301"/>
    <n v="1"/>
    <n v="108"/>
    <x v="121"/>
    <s v="SHINZUI1"/>
    <s v="Sabun Cair SHINZUI Kensho 48x225Ml"/>
    <x v="3"/>
    <n v="8992946522246"/>
    <x v="4"/>
    <s v="SHINZUI SABUN CAIR"/>
    <s v="F4067"/>
    <x v="122"/>
    <n v="14"/>
    <s v="SHINZUI SABUN CAIR KENSHO 225ML X 48 BTL"/>
    <n v="40"/>
    <m/>
    <s v="F4"/>
    <s v="SHINZUI"/>
    <s v="06"/>
    <s v="SABUN CAIR"/>
    <n v="7"/>
    <m/>
    <s v="0"/>
    <s v="KENSHO"/>
    <s v="06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060480201"/>
    <n v="1"/>
    <n v="109"/>
    <x v="122"/>
    <s v="SHINZUI1"/>
    <s v="Sabun Cair SHINZUI Kensho 24x480ML"/>
    <x v="1"/>
    <n v="8992946525605"/>
    <x v="2"/>
    <s v="SHINZUI SABUN CAIR"/>
    <s v="F4067"/>
    <x v="123"/>
    <n v="14"/>
    <s v="SHINZUI SABUN CAIR KENSHO 480ML X 24 PUMP"/>
    <n v="41"/>
    <m/>
    <s v="F4"/>
    <s v="SHINZUI"/>
    <s v="06"/>
    <s v="SABUN CAIR"/>
    <n v="7"/>
    <m/>
    <s v="0"/>
    <s v="KENSHO"/>
    <s v="06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70070225301"/>
    <n v="1"/>
    <n v="110"/>
    <x v="123"/>
    <s v="SHINZUI1"/>
    <s v="Sabun Cair SHINZUI Kirei 48x225Ml"/>
    <x v="3"/>
    <n v="8992946519376"/>
    <x v="4"/>
    <s v="SHINZUI SABUN CAIR"/>
    <s v="F4067"/>
    <x v="124"/>
    <n v="14"/>
    <s v="SHINZUI SABUN CAIR KIREI 225ML X 48 BTL"/>
    <n v="39"/>
    <m/>
    <s v="F4"/>
    <s v="SHINZUI"/>
    <s v="06"/>
    <s v="SABUN CAIR"/>
    <n v="7"/>
    <m/>
    <s v="0"/>
    <s v="KIREI"/>
    <s v="07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070480301"/>
    <n v="1"/>
    <n v="111"/>
    <x v="124"/>
    <s v="SHINZUI1"/>
    <s v="Sabun Cair SHINZUI Kirei 24x480ML"/>
    <x v="1"/>
    <n v="8992946525575"/>
    <x v="4"/>
    <s v="SHINZUI SABUN CAIR"/>
    <s v="F4067"/>
    <x v="125"/>
    <n v="14"/>
    <s v="SHINZUI SABUN CAIR KIREI 480ML X 24 BTL"/>
    <n v="39"/>
    <m/>
    <s v="F4"/>
    <s v="SHINZUI"/>
    <s v="06"/>
    <s v="SABUN CAIR"/>
    <n v="7"/>
    <m/>
    <s v="0"/>
    <s v="KIREI"/>
    <s v="07"/>
    <s v="480ML"/>
    <s v="0480"/>
    <s v="BTL"/>
    <n v="3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70080225301"/>
    <n v="1"/>
    <n v="112"/>
    <x v="125"/>
    <s v="SHINZUI1"/>
    <s v="Sabun Cair SHINZUI Matsu 48x225Ml"/>
    <x v="3"/>
    <n v="8992946513360"/>
    <x v="4"/>
    <s v="SHINZUI SABUN CAIR"/>
    <s v="F4067"/>
    <x v="126"/>
    <n v="14"/>
    <s v="SHINZUI SABUN CAIR MATSU 225ML X 48 BTL"/>
    <n v="39"/>
    <m/>
    <s v="F4"/>
    <s v="SHINZUI"/>
    <s v="06"/>
    <s v="SABUN CAIR"/>
    <n v="7"/>
    <m/>
    <s v="0"/>
    <s v="MATSU"/>
    <s v="08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080480301"/>
    <n v="1"/>
    <n v="113"/>
    <x v="126"/>
    <s v="SHINZUI1"/>
    <s v="Sabun Cair SHINZUI Matsu 24x480ML"/>
    <x v="1"/>
    <n v="8992946525561"/>
    <x v="8"/>
    <s v="SHINZUI SABUN CAIR"/>
    <s v="F4067"/>
    <x v="127"/>
    <n v="14"/>
    <s v="SHINZUI SABUN CAIR MATSU 480ML X 24 BTL"/>
    <n v="39"/>
    <m/>
    <s v="F4"/>
    <s v="SHINZUI"/>
    <s v="06"/>
    <s v="SABUN CAIR"/>
    <n v="7"/>
    <m/>
    <s v="0"/>
    <s v="MATSU"/>
    <s v="08"/>
    <s v="480ML"/>
    <s v="0480"/>
    <s v="BTL "/>
    <n v="3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70090225301"/>
    <n v="1"/>
    <n v="114"/>
    <x v="127"/>
    <s v="SHINZUI1"/>
    <s v="Sabun Cair SHINZUI Myori 48x225Ml"/>
    <x v="3"/>
    <n v="8992946522232"/>
    <x v="4"/>
    <s v="SHINZUI SABUN CAIR"/>
    <s v="F4067"/>
    <x v="128"/>
    <n v="14"/>
    <s v="SHINZUI SABUN CAIR MYORI 225ML X 48 BTL"/>
    <n v="39"/>
    <m/>
    <s v="F4"/>
    <s v="SHINZUI"/>
    <s v="06"/>
    <s v="SABUN CAIR"/>
    <n v="7"/>
    <m/>
    <s v="0"/>
    <s v="MYORI"/>
    <s v="09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090480201"/>
    <n v="1"/>
    <n v="115"/>
    <x v="128"/>
    <s v="SHINZUI1"/>
    <s v="Sabun Cair SHINZUI Myori 24x480ML"/>
    <x v="1"/>
    <n v="8992946525592"/>
    <x v="2"/>
    <s v="SHINZUI SABUN CAIR"/>
    <s v="F4067"/>
    <x v="129"/>
    <n v="14"/>
    <s v="SHINZUI SABUN CAIR MYORI 480ML X 24 PUMP"/>
    <n v="40"/>
    <m/>
    <s v="F4"/>
    <s v="SHINZUI"/>
    <s v="06"/>
    <s v="SABUN CAIR"/>
    <n v="7"/>
    <m/>
    <s v="0"/>
    <s v="MYORI"/>
    <s v="09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70100180101"/>
    <n v="1"/>
    <n v="116"/>
    <x v="129"/>
    <s v="SHINZUI1"/>
    <s v="Sabun Cair SHINZUI Regular Ref 48x180ML"/>
    <x v="3"/>
    <n v="8992946518799"/>
    <x v="1"/>
    <s v="SHINZUI SABUN CAIR"/>
    <s v="F4067"/>
    <x v="130"/>
    <n v="14"/>
    <s v="SHINZUI SABUN CAIR REG/MATSU 180ML X 48 PCH"/>
    <n v="43"/>
    <m/>
    <s v="F4"/>
    <s v="SHINZUI"/>
    <s v="06"/>
    <s v="SABUN CAIR"/>
    <n v="7"/>
    <m/>
    <s v="0"/>
    <s v="REG/MATSU"/>
    <s v="10"/>
    <s v="180ML"/>
    <s v="0180"/>
    <s v="PCH"/>
    <n v="1"/>
    <m/>
    <n v="0"/>
    <m/>
    <m/>
    <m/>
    <s v="LITER"/>
    <n v="2"/>
    <m/>
    <n v="10927.28828828829"/>
    <n v="524509.83783783787"/>
    <n v="12129.290000000003"/>
    <n v="582205.92000000004"/>
    <n v="11801.801801801799"/>
    <n v="566486.48648648639"/>
    <n v="13099.999999999998"/>
    <n v="628800"/>
    <m/>
    <n v="0"/>
    <n v="0"/>
    <n v="0"/>
    <n v="7.4099999999999694E-2"/>
    <d v="2025-07-10T00:00:00"/>
    <m/>
    <s v="Lama"/>
    <s v="Sama"/>
    <s v="Aktif"/>
    <s v="IDR"/>
    <s v="20180"/>
    <s v="180ML"/>
    <s v="S-FRN"/>
    <s v="45MIX"/>
    <s v="KRT"/>
    <s v="GD01"/>
    <n v="11611"/>
    <n v="11612"/>
    <s v="0101"/>
    <n v="1"/>
    <s v="PT. FOKUS RITEL NUSAPRIMA"/>
  </r>
  <r>
    <s v="F40670110225301"/>
    <n v="1"/>
    <n v="117"/>
    <x v="130"/>
    <s v="SHINZUI1"/>
    <s v="Sabun Cair SHINZUI Sakura 48x225Ml"/>
    <x v="3"/>
    <n v="8992946522239"/>
    <x v="4"/>
    <s v="SHINZUI SABUN CAIR"/>
    <s v="F4067"/>
    <x v="131"/>
    <n v="14"/>
    <s v="SHINZUI SABUN CAIR SAKURA 225ML X 48 BTL"/>
    <n v="40"/>
    <m/>
    <s v="F4"/>
    <s v="SHINZUI"/>
    <s v="06"/>
    <s v="SABUN CAIR"/>
    <n v="7"/>
    <m/>
    <s v="0"/>
    <s v="SAKURA"/>
    <s v="11"/>
    <s v="225ML"/>
    <s v="0225"/>
    <s v="BTL"/>
    <n v="3"/>
    <m/>
    <n v="0"/>
    <m/>
    <m/>
    <m/>
    <s v="LITER"/>
    <n v="2"/>
    <m/>
    <n v="16682.882882882881"/>
    <n v="800778.37837837823"/>
    <n v="18518"/>
    <n v="888863.99999999988"/>
    <n v="18018.018018018014"/>
    <n v="864864.86486486462"/>
    <n v="19999.999999999996"/>
    <n v="959999.99999999977"/>
    <m/>
    <n v="0"/>
    <n v="0"/>
    <n v="0"/>
    <n v="7.4099999999999902E-2"/>
    <d v="2025-07-10T00:00:00"/>
    <m/>
    <s v="Lama"/>
    <s v="Sama"/>
    <s v="Aktif"/>
    <s v="IDR"/>
    <s v="20225"/>
    <s v="225ML"/>
    <s v="S-FRN"/>
    <s v="45MIX"/>
    <s v="KRT"/>
    <s v="GD01"/>
    <n v="11611"/>
    <n v="11612"/>
    <s v="0101"/>
    <n v="1"/>
    <s v="PT. FOKUS RITEL NUSAPRIMA"/>
  </r>
  <r>
    <s v="F40670110480201"/>
    <n v="1"/>
    <n v="118"/>
    <x v="131"/>
    <s v="SHINZUI1"/>
    <s v="Sabun Cair SHINZUI Sakura 24x480ML"/>
    <x v="1"/>
    <n v="8992946525599"/>
    <x v="2"/>
    <s v="SHINZUI SABUN CAIR"/>
    <s v="F4067"/>
    <x v="132"/>
    <n v="14"/>
    <s v="SHINZUI SABUN CAIR SAKURA 480ML X 24 PUMP"/>
    <n v="41"/>
    <m/>
    <s v="F4"/>
    <s v="SHINZUI"/>
    <s v="06"/>
    <s v="SABUN CAIR"/>
    <n v="7"/>
    <m/>
    <s v="0"/>
    <s v="SAKURA"/>
    <s v="11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680010020101"/>
    <n v="1"/>
    <n v="119"/>
    <x v="132"/>
    <s v="SHINZUI1"/>
    <s v="SHZ Brightening Serum 48x20Ml"/>
    <x v="3"/>
    <n v="8992946535079"/>
    <x v="9"/>
    <s v="SHINZUI SERUM"/>
    <s v="F4068"/>
    <x v="133"/>
    <n v="14"/>
    <s v="SHINZUI SERUM BRIGHTENING 20ML X 48 TUBE"/>
    <n v="40"/>
    <m/>
    <s v="F4"/>
    <s v="SHINZUI"/>
    <s v="06"/>
    <s v="SERUM"/>
    <n v="8"/>
    <m/>
    <s v="0"/>
    <s v="BRIGHTENING"/>
    <s v="01"/>
    <s v="20ML"/>
    <s v="0020"/>
    <s v="TUBE"/>
    <n v="1"/>
    <m/>
    <n v="0"/>
    <m/>
    <m/>
    <m/>
    <s v="LITER"/>
    <n v="2"/>
    <m/>
    <n v="28360.900900900899"/>
    <n v="1361323.2432432431"/>
    <n v="31480.6"/>
    <n v="1511068.8"/>
    <n v="30630.630630630625"/>
    <n v="1470270.2702702701"/>
    <n v="34000"/>
    <n v="1632000"/>
    <m/>
    <n v="0"/>
    <n v="0"/>
    <n v="0"/>
    <n v="7.4099999999999902E-2"/>
    <d v="2025-07-10T00:00:00"/>
    <m/>
    <s v="Lama"/>
    <s v="Sama"/>
    <s v="Aktif"/>
    <s v="IDR"/>
    <s v="20020"/>
    <s v="20ML"/>
    <s v="S-FRN"/>
    <s v="45MIX"/>
    <s v="KRT"/>
    <s v="GD01"/>
    <n v="11611"/>
    <n v="11612"/>
    <s v="0101"/>
    <n v="1"/>
    <s v="PT. FOKUS RITEL NUSAPRIMA"/>
  </r>
  <r>
    <s v="F40680020030201"/>
    <n v="1"/>
    <n v="120"/>
    <x v="133"/>
    <s v="SHINZUI1"/>
    <s v="SHZ Serum Moisturizer 48x30Gr"/>
    <x v="3"/>
    <n v="8992946534966"/>
    <x v="11"/>
    <s v="SHINZUI SERUM"/>
    <s v="F4068"/>
    <x v="134"/>
    <n v="14"/>
    <s v="SHINZUI SERUM MOISTURIZER 30G X 48 JAR"/>
    <n v="38"/>
    <m/>
    <s v="F4"/>
    <s v="SHINZUI"/>
    <s v="06"/>
    <s v="SERUM"/>
    <n v="8"/>
    <m/>
    <s v="0"/>
    <s v="MOISTURIZER"/>
    <s v="02"/>
    <s v="30G"/>
    <s v="0030"/>
    <s v="JAR"/>
    <n v="2"/>
    <m/>
    <n v="0"/>
    <m/>
    <m/>
    <m/>
    <s v="GRAM"/>
    <n v="1"/>
    <m/>
    <n v="37536.486486486487"/>
    <n v="1801751.3513513515"/>
    <n v="41665.500000000007"/>
    <n v="1999944.0000000002"/>
    <n v="40540.54054054054"/>
    <n v="1945945.945945946"/>
    <n v="45000"/>
    <n v="2160000.0000000005"/>
    <m/>
    <n v="0"/>
    <n v="0"/>
    <n v="0"/>
    <n v="7.4099999999999985E-2"/>
    <d v="2025-07-10T00:00:00"/>
    <m/>
    <s v="Lama"/>
    <s v="Sama"/>
    <s v="Aktif"/>
    <s v="IDR"/>
    <s v="10030"/>
    <s v="30G"/>
    <s v="S-FRN"/>
    <s v="45MIX"/>
    <s v="KRT"/>
    <s v="GD01"/>
    <n v="11611"/>
    <n v="11612"/>
    <s v="0101"/>
    <n v="1"/>
    <s v="PT. FOKUS RITEL NUSAPRIMA"/>
  </r>
  <r>
    <s v="F40680020015201"/>
    <n v="1"/>
    <n v="169"/>
    <x v="134"/>
    <s v="SHINZUI1"/>
    <s v="SHZ SERUM MOISTURIZER 96X15GR"/>
    <x v="6"/>
    <m/>
    <x v="11"/>
    <s v="SHINZUI SERUM"/>
    <s v="F4068"/>
    <x v="135"/>
    <n v="14"/>
    <s v="SHINZUI SERUM MOISTURIZER 15G X 96 JAR"/>
    <n v="38"/>
    <m/>
    <s v="F4"/>
    <s v="SHINZUI"/>
    <s v="06"/>
    <s v="SERUM"/>
    <n v="8"/>
    <m/>
    <s v="0"/>
    <s v="MOISTURIZER"/>
    <s v="02"/>
    <s v="15G"/>
    <s v="0015"/>
    <s v="JAR"/>
    <n v="2"/>
    <m/>
    <n v="0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10015"/>
    <s v="15G"/>
    <m/>
    <m/>
    <s v="KRT"/>
    <s v="GD01"/>
    <n v="11611"/>
    <n v="11612"/>
    <m/>
    <n v="1"/>
    <m/>
  </r>
  <r>
    <s v="F40690010030101"/>
    <n v="1"/>
    <n v="121"/>
    <x v="135"/>
    <s v="SHINZUI1"/>
    <s v="SHZ Brightening Sunscreen SPF 35 PA 48x30Ml"/>
    <x v="3"/>
    <n v="8992946535055"/>
    <x v="9"/>
    <s v="SHINZUI SUNSCREEN"/>
    <s v="F4069"/>
    <x v="136"/>
    <n v="14"/>
    <s v="SHINZUI SUNSCREEN SPF 35 30ML X 48 TUBE"/>
    <n v="39"/>
    <m/>
    <s v="F4"/>
    <s v="SHINZUI"/>
    <s v="06"/>
    <s v="SUNSCREEN"/>
    <n v="9"/>
    <m/>
    <s v="0"/>
    <s v="SPF 35"/>
    <s v="01"/>
    <s v="30ML"/>
    <s v="0030"/>
    <s v="TUBE"/>
    <n v="1"/>
    <m/>
    <n v="0"/>
    <m/>
    <m/>
    <m/>
    <s v="LITER"/>
    <n v="2"/>
    <m/>
    <n v="24398.716216216217"/>
    <n v="1171138.3783783785"/>
    <n v="27082.575000000004"/>
    <n v="1299963.6000000001"/>
    <n v="26351.35135135135"/>
    <n v="1264864.8648648649"/>
    <n v="29250"/>
    <n v="1404000"/>
    <m/>
    <n v="0"/>
    <n v="0"/>
    <n v="0"/>
    <n v="7.409999999999993E-2"/>
    <d v="2025-07-10T00:00:00"/>
    <m/>
    <s v="Lama"/>
    <s v="Sama"/>
    <s v="Aktif"/>
    <s v="IDR"/>
    <s v="20030"/>
    <s v="30ML"/>
    <s v="S-FRN"/>
    <s v="45MIX"/>
    <s v="KRT"/>
    <s v="GD01"/>
    <n v="11611"/>
    <n v="11612"/>
    <s v="0101"/>
    <n v="1"/>
    <s v="PT. FOKUS RITEL NUSAPRIMA"/>
  </r>
  <r>
    <s v="F406110010010101"/>
    <n v="1"/>
    <n v="166"/>
    <x v="136"/>
    <s v="SHINZUI1"/>
    <s v="SHZ Moisturizer Light 120x10GR"/>
    <x v="8"/>
    <m/>
    <x v="9"/>
    <s v="SHINZUI MOIST"/>
    <s v="F40611"/>
    <x v="137"/>
    <n v="15"/>
    <s v="SHINZUI MOISTURIZER LIGHT 10G X 120 TUBE"/>
    <n v="40"/>
    <m/>
    <s v="F4"/>
    <s v="SHINZUI"/>
    <s v="06"/>
    <s v="MOISTURIZER"/>
    <n v="11"/>
    <m/>
    <s v="0"/>
    <s v="LIGHT"/>
    <s v="01"/>
    <s v="10G"/>
    <s v="0010"/>
    <s v="TUBE"/>
    <n v="1"/>
    <m/>
    <n v="0"/>
    <m/>
    <m/>
    <m/>
    <s v="GRAM"/>
    <n v="1"/>
    <m/>
    <n v="11260.945945945945"/>
    <n v="1351313.5135135134"/>
    <n v="12499.65"/>
    <n v="1499958"/>
    <n v="12162.162162162162"/>
    <n v="1459459.4594594594"/>
    <n v="13500"/>
    <n v="1620000"/>
    <m/>
    <n v="0"/>
    <n v="0"/>
    <n v="0"/>
    <n v="7.4100000000000041E-2"/>
    <m/>
    <m/>
    <s v="Lama"/>
    <s v="Sama"/>
    <m/>
    <s v="IDR"/>
    <s v="10010"/>
    <s v="10G"/>
    <m/>
    <m/>
    <s v="KRT"/>
    <s v="GD01"/>
    <n v="11611"/>
    <n v="11612"/>
    <m/>
    <n v="1"/>
    <m/>
  </r>
  <r>
    <s v="F406110020010101"/>
    <n v="1"/>
    <n v="167"/>
    <x v="137"/>
    <s v="SHINZUI1"/>
    <s v="SHZ Moisturizer Gel 120x10GR"/>
    <x v="8"/>
    <m/>
    <x v="9"/>
    <s v="SHINZUI MOIST"/>
    <s v="F40611"/>
    <x v="138"/>
    <n v="15"/>
    <s v="SHINZUI MOISTURIZER GEL 10G X 120 TUBE"/>
    <n v="38"/>
    <m/>
    <s v="F4"/>
    <s v="SHINZUI"/>
    <s v="06"/>
    <s v="MOISTURIZER"/>
    <n v="11"/>
    <m/>
    <s v="0"/>
    <s v="GEL"/>
    <s v="02"/>
    <s v="10G"/>
    <s v="0010"/>
    <s v="TUBE"/>
    <n v="1"/>
    <m/>
    <n v="0"/>
    <m/>
    <m/>
    <m/>
    <s v="GRAM"/>
    <n v="1"/>
    <m/>
    <n v="11260.945945945945"/>
    <n v="1351313.5135135134"/>
    <n v="12499.65"/>
    <n v="1499958"/>
    <n v="12162.162162162162"/>
    <n v="1459459.4594594594"/>
    <n v="13500"/>
    <n v="1620000"/>
    <m/>
    <n v="0"/>
    <n v="0"/>
    <n v="0"/>
    <n v="7.4100000000000041E-2"/>
    <m/>
    <m/>
    <s v="Lama"/>
    <s v="Sama"/>
    <m/>
    <s v="IDR"/>
    <s v="10010"/>
    <s v="10G"/>
    <m/>
    <m/>
    <s v="KRT"/>
    <s v="GD01"/>
    <n v="11611"/>
    <n v="11612"/>
    <m/>
    <n v="1"/>
    <m/>
  </r>
  <r>
    <s v="F40711010400101"/>
    <n v="1"/>
    <n v="122"/>
    <x v="138"/>
    <s v="ZEN"/>
    <s v="Body Cleanser ZEN Shiso &amp; Echinacea Ref 24x400Ml"/>
    <x v="1"/>
    <s v="8992946533273"/>
    <x v="1"/>
    <s v="ZEN BCL"/>
    <s v="F4071"/>
    <x v="139"/>
    <n v="14"/>
    <s v="ZEN BCL REF SHISO &amp; ECHINACEA 400ML X 24 PCH"/>
    <n v="44"/>
    <m/>
    <s v="F4"/>
    <s v="ZEN"/>
    <s v="07"/>
    <s v="BCL"/>
    <n v="1"/>
    <s v="REF"/>
    <s v="1"/>
    <s v="SHISO &amp; ECHINACEA"/>
    <s v="01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11020400101"/>
    <n v="1"/>
    <n v="123"/>
    <x v="139"/>
    <s v="ZEN"/>
    <s v="ZEN Body Cleanser Shiso And Juniper Berries Ref 24x400Ml"/>
    <x v="1"/>
    <n v="8992946534990"/>
    <x v="1"/>
    <s v="ZEN BCL"/>
    <s v="F4071"/>
    <x v="140"/>
    <n v="14"/>
    <s v="ZEN BCL REF SHISO &amp; JUNIPER BERRIES 400ML X 24 PCH"/>
    <n v="50"/>
    <m/>
    <s v="F4"/>
    <s v="ZEN"/>
    <s v="07"/>
    <s v="BCL"/>
    <n v="1"/>
    <s v="REF"/>
    <s v="1"/>
    <s v="SHISO &amp; JUNIPER BERRIES"/>
    <s v="02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11020400102"/>
    <n v="2"/>
    <m/>
    <x v="140"/>
    <s v="ZEN"/>
    <s v="ZEN Body Cleanser Shiso And Juniper Berries Ref 24x380Ml"/>
    <x v="1"/>
    <m/>
    <x v="1"/>
    <s v="ZEN BCL"/>
    <s v="F4071"/>
    <x v="140"/>
    <n v="14"/>
    <s v="ZEN BCL REF SHISO &amp; JUNIPER BERRIES 400/380ML X 24 PCH"/>
    <n v="54"/>
    <m/>
    <s v="F4"/>
    <s v="ZEN"/>
    <s v="07"/>
    <s v="BCL"/>
    <n v="1"/>
    <s v="REF"/>
    <s v="1"/>
    <s v="SHISO &amp; JUNIPER BERRIES"/>
    <s v="02"/>
    <s v="400/380ML"/>
    <s v="0400"/>
    <s v="PCH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400"/>
    <s v="400/380ML"/>
    <m/>
    <m/>
    <s v="KRT"/>
    <s v="GD01"/>
    <n v="11611"/>
    <n v="11612"/>
    <m/>
    <n v="1"/>
    <m/>
  </r>
  <r>
    <s v="F40711030800101"/>
    <n v="1"/>
    <n v="162"/>
    <x v="141"/>
    <s v="ZEN"/>
    <s v="ZEN Body Cleanser Shiso&amp; Sandalwood Ref 12X800Ml"/>
    <x v="5"/>
    <n v="8992946521871"/>
    <x v="1"/>
    <s v="ZEN BCL"/>
    <s v="F4071"/>
    <x v="141"/>
    <n v="14"/>
    <s v="ZEN BCL REF SHISO &amp; SANDALWOOD 800ML X 12 PCH"/>
    <n v="45"/>
    <m/>
    <s v="F4"/>
    <s v="ZEN"/>
    <s v="07"/>
    <s v="BCL"/>
    <n v="1"/>
    <s v="REF"/>
    <s v="1"/>
    <s v="SHISO &amp; SANDALWOOD"/>
    <s v="03"/>
    <s v="800ML"/>
    <s v="0800"/>
    <s v="PCH"/>
    <n v="1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800"/>
    <s v="800ML"/>
    <m/>
    <m/>
    <s v="KRT"/>
    <s v="GD01"/>
    <n v="11611"/>
    <n v="11612"/>
    <m/>
    <n v="1"/>
    <m/>
  </r>
  <r>
    <s v="F40711030085101"/>
    <n v="1"/>
    <n v="124"/>
    <x v="142"/>
    <s v="ZEN2"/>
    <s v="ZEN Body Cleanser Shiso&amp; Sandalwood Ref 48 x 85Ml"/>
    <x v="3"/>
    <s v="8992946534133"/>
    <x v="1"/>
    <s v="ZEN BCL"/>
    <s v="F4071"/>
    <x v="142"/>
    <n v="14"/>
    <s v="ZEN BCL REF SHISO &amp; SANDALWOOD 85ML X 48 PCH"/>
    <n v="44"/>
    <m/>
    <s v="F4"/>
    <s v="ZEN"/>
    <s v="07"/>
    <s v="BCL"/>
    <n v="1"/>
    <s v="REF"/>
    <s v="1"/>
    <s v="SHISO &amp; SANDALWOOD"/>
    <s v="03"/>
    <s v="85ML"/>
    <s v="0085"/>
    <s v="PCH"/>
    <n v="1"/>
    <m/>
    <n v="0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0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711030400111"/>
    <n v="1"/>
    <n v="125"/>
    <x v="143"/>
    <s v="ZEN"/>
    <s v="ZEN BCL ShISO &amp; Sandalwood Ref 24x400Ml (1PIC) &amp; ZEN BCL Shiso &amp; JB sachet 15Ml (1PIC)"/>
    <x v="1"/>
    <n v="8998946532105"/>
    <x v="1"/>
    <s v="ZEN BCL"/>
    <s v="F4071"/>
    <x v="143"/>
    <n v="14"/>
    <s v="ZEN BCL REF SHISO &amp; SANDALWOOD 400ML X 24 PCH BND"/>
    <n v="49"/>
    <m/>
    <s v="F4"/>
    <s v="ZEN"/>
    <s v="07"/>
    <s v="BCL"/>
    <n v="1"/>
    <s v="REF"/>
    <s v="1"/>
    <s v="SHISO &amp; SANDALWOOD"/>
    <s v="03"/>
    <s v="400ML"/>
    <s v="0400"/>
    <s v="PCH"/>
    <n v="1"/>
    <s v="BND"/>
    <n v="1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26T00:00:00"/>
    <m/>
    <s v="Lama"/>
    <s v="Sama"/>
    <s v="Aktif"/>
    <s v="IDR"/>
    <s v="20400"/>
    <s v="400ML"/>
    <m/>
    <m/>
    <s v="KRT"/>
    <s v="GD01"/>
    <n v="11611"/>
    <n v="11612"/>
    <m/>
    <n v="1"/>
    <s v="PT. FOKUS RITEL NUSAPRIMA"/>
  </r>
  <r>
    <s v="F40711040085101"/>
    <n v="1"/>
    <n v="126"/>
    <x v="144"/>
    <s v="ZEN2"/>
    <s v="ZEN Body Cleanser Shiso&amp;Sea Salt Ref 48x85Ml"/>
    <x v="3"/>
    <s v="8992946534140"/>
    <x v="1"/>
    <s v="ZEN BCL"/>
    <s v="F4071"/>
    <x v="144"/>
    <n v="14"/>
    <s v="ZEN BCL REF SHISO &amp; SEA SALT 85ML X 48 PCH"/>
    <n v="42"/>
    <m/>
    <s v="F4"/>
    <s v="ZEN"/>
    <s v="07"/>
    <s v="BCL"/>
    <n v="1"/>
    <s v="REF"/>
    <s v="1"/>
    <s v="SHISO &amp; SEA SALT"/>
    <s v="04"/>
    <s v="85ML"/>
    <s v="0085"/>
    <s v="PCH"/>
    <n v="1"/>
    <m/>
    <n v="0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0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711040400111"/>
    <n v="1"/>
    <n v="127"/>
    <x v="145"/>
    <s v="ZEN "/>
    <s v="ZEN BCL Shiso &amp; Sea Salt Ref 24x400Ml (1PIC) &amp; ZEN Shiso &amp; JB 15Ml (1PIC)"/>
    <x v="1"/>
    <n v="8992946532136"/>
    <x v="1"/>
    <s v="ZEN BCL"/>
    <s v="F4071"/>
    <x v="145"/>
    <n v="14"/>
    <s v="ZEN BCL REF SHISO &amp; SEA SALT 400ML X 24 PCH BND"/>
    <n v="47"/>
    <m/>
    <s v="F4"/>
    <s v="ZEN"/>
    <s v="07"/>
    <s v="BCL"/>
    <n v="1"/>
    <s v="REF"/>
    <s v="1"/>
    <s v="SHISO &amp; SEA SALT"/>
    <s v="04"/>
    <s v="400ML"/>
    <s v="0400"/>
    <s v="PCH"/>
    <n v="1"/>
    <s v="BND"/>
    <n v="1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26T00:00:00"/>
    <m/>
    <s v="Lama"/>
    <s v="Sama"/>
    <s v="Aktif"/>
    <s v="IDR"/>
    <s v="20400"/>
    <s v="400ML"/>
    <m/>
    <m/>
    <s v="KRT"/>
    <s v="GD01"/>
    <n v="11611"/>
    <n v="11612"/>
    <m/>
    <n v="1"/>
    <s v="PT. FOKUS RITEL NUSAPRIMA"/>
  </r>
  <r>
    <s v="F40711050400101"/>
    <n v="1"/>
    <n v="128"/>
    <x v="146"/>
    <s v="ZEN"/>
    <s v="Body Cleanser ZEN Shiso &amp; Tea Tree Ref 24x400Ml"/>
    <x v="1"/>
    <n v="8992946533542"/>
    <x v="1"/>
    <s v="ZEN BCL"/>
    <s v="F4071"/>
    <x v="146"/>
    <n v="14"/>
    <s v="ZEN BCL REF SHISO &amp; TEA TREE 400ML X 24 PCH"/>
    <n v="43"/>
    <m/>
    <s v="F4"/>
    <s v="ZEN"/>
    <s v="07"/>
    <s v="BCL"/>
    <n v="1"/>
    <s v="REF"/>
    <s v="1"/>
    <s v="SHISO &amp; TEA TREE "/>
    <s v="05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11050085101"/>
    <n v="1"/>
    <n v="129"/>
    <x v="147"/>
    <s v="ZEN2"/>
    <s v="ZEN Body Cleanser Shiso&amp;Tea Tree Ref 48x85Ml"/>
    <x v="3"/>
    <s v="8992946534157"/>
    <x v="1"/>
    <s v="ZEN BCL"/>
    <s v="F4071"/>
    <x v="147"/>
    <n v="14"/>
    <s v="ZEN BCL REF SHISO &amp; TEA TREE 85ML X 48 PCH"/>
    <n v="42"/>
    <m/>
    <s v="F4"/>
    <s v="ZEN"/>
    <s v="07"/>
    <s v="BCL"/>
    <n v="1"/>
    <s v="REF"/>
    <s v="1"/>
    <s v="SHISO &amp; TEA TREE "/>
    <s v="05"/>
    <s v="85ML"/>
    <s v="0085"/>
    <s v="PCH"/>
    <n v="1"/>
    <m/>
    <n v="0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0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710010480301"/>
    <n v="1"/>
    <n v="130"/>
    <x v="148"/>
    <s v="ZEN"/>
    <s v="Body Cleanser ZEN Shiso &amp; Echinacea Btl 24x480Ml"/>
    <x v="1"/>
    <n v="8992946533709"/>
    <x v="2"/>
    <s v="ZEN BCL"/>
    <s v="F4071"/>
    <x v="148"/>
    <n v="14"/>
    <s v="ZEN BCL SHISO &amp; ECHINACEA 480ML X 24 PUMP"/>
    <n v="41"/>
    <m/>
    <s v="F4"/>
    <s v="ZEN"/>
    <s v="07"/>
    <s v="BCL"/>
    <n v="1"/>
    <m/>
    <s v="0"/>
    <s v="SHISO &amp; ECHINACEA"/>
    <s v="01"/>
    <s v="480ML"/>
    <s v="0480"/>
    <s v="PUMP"/>
    <n v="3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10020480301"/>
    <n v="1"/>
    <n v="131"/>
    <x v="149"/>
    <s v="ZEN"/>
    <s v="ZEN Body Cleanser Shiso And Juniper Berries Btl 24x480Ml"/>
    <x v="1"/>
    <n v="8992946534973"/>
    <x v="2"/>
    <s v="ZEN BCL"/>
    <s v="F4071"/>
    <x v="149"/>
    <n v="14"/>
    <s v="ZEN BCL SHISO &amp; JUNIPER BERRIES 480ML X 24 PUMP"/>
    <n v="47"/>
    <m/>
    <s v="F4"/>
    <s v="ZEN"/>
    <s v="07"/>
    <s v="BCL"/>
    <n v="1"/>
    <m/>
    <s v="0"/>
    <s v="SHISO &amp; JUNIPER BERRIES"/>
    <s v="02"/>
    <s v="480ML"/>
    <s v="0480"/>
    <s v="PUMP"/>
    <n v="3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10030480301"/>
    <n v="1"/>
    <n v="132"/>
    <x v="150"/>
    <s v="ZEN"/>
    <s v="Body Cleanser ZEN Shiso &amp; Tea Tree Btl 24x480Ml"/>
    <x v="1"/>
    <n v="8992946533556"/>
    <x v="2"/>
    <s v="ZEN BCL"/>
    <s v="F4071"/>
    <x v="150"/>
    <n v="14"/>
    <s v="ZEN BCL SHISO &amp; TEA TREE 480ML X 24 PUMP"/>
    <n v="40"/>
    <m/>
    <s v="F4"/>
    <s v="ZEN"/>
    <s v="07"/>
    <s v="BCL"/>
    <n v="1"/>
    <m/>
    <s v="0"/>
    <s v="SHISO &amp; TEA TREE "/>
    <s v="03"/>
    <s v="480ML"/>
    <s v="0480"/>
    <s v="PUMP"/>
    <n v="3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110200851011"/>
    <n v="1"/>
    <n v="133"/>
    <x v="151"/>
    <s v="ZEN"/>
    <s v="ZEN BCL Shiso &amp; Juniper Berries Ref 48x85Ml"/>
    <x v="3"/>
    <n v="8992946535154"/>
    <x v="1"/>
    <s v="ZEN BCL"/>
    <s v="F4071"/>
    <x v="151"/>
    <n v="15"/>
    <s v="ZEN BCL REF SHISO &amp; JUNIPER BERRIES 85ML X 48 PCH"/>
    <n v="49"/>
    <m/>
    <s v="F4"/>
    <s v="ZEN"/>
    <s v="07"/>
    <s v="BCL"/>
    <n v="1"/>
    <s v="REF"/>
    <s v="1"/>
    <s v="SHISO &amp; JUNIPER BERRIES"/>
    <s v="02"/>
    <s v="85ML"/>
    <s v="0085"/>
    <s v="PCH"/>
    <n v="1"/>
    <m/>
    <s v="01"/>
    <m/>
    <m/>
    <m/>
    <s v="LITER"/>
    <n v="2"/>
    <m/>
    <n v="3336.5765765765759"/>
    <n v="160155.67567567565"/>
    <n v="3703.5999999999995"/>
    <n v="177772.79999999999"/>
    <n v="3603.6036036036035"/>
    <n v="172972.97297297296"/>
    <n v="4000"/>
    <n v="192000"/>
    <m/>
    <n v="0"/>
    <n v="0"/>
    <n v="0"/>
    <n v="7.4100000000000152E-2"/>
    <d v="2025-07-12T00:00:00"/>
    <m/>
    <s v="Lama"/>
    <s v="Sama"/>
    <s v="Aktif"/>
    <s v="IDR"/>
    <s v="20085"/>
    <s v="85ML"/>
    <s v="S-FRN"/>
    <s v="45MIX"/>
    <s v="KRT"/>
    <s v="GD01"/>
    <n v="11611"/>
    <n v="11612"/>
    <s v="0101"/>
    <n v="1"/>
    <s v="PT. FOKUS RITEL NUSAPRIMA"/>
  </r>
  <r>
    <s v="F40711050400111"/>
    <n v="1"/>
    <n v="134"/>
    <x v="152"/>
    <s v="ZEN"/>
    <s v="Zen Bcl Tea Tree Ref 24x400Ml (1PKT DW L Basil SCH 15Ml"/>
    <x v="1"/>
    <n v="8992946533539"/>
    <x v="1"/>
    <s v="ZEN BCL"/>
    <s v="F4071"/>
    <x v="152"/>
    <n v="14"/>
    <s v="ZEN BCL REF SHISO &amp; TEA TREE 400ML X 24 PCH BND"/>
    <n v="47"/>
    <m/>
    <s v="F4"/>
    <s v="ZEN"/>
    <s v="07"/>
    <s v="BCL"/>
    <n v="1"/>
    <s v="REF"/>
    <s v="1"/>
    <s v="SHISO &amp; TEA TREE "/>
    <s v="05"/>
    <s v="400ML"/>
    <s v="0400"/>
    <s v="PCH"/>
    <n v="1"/>
    <s v="BND"/>
    <n v="1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26T00:00:00"/>
    <m/>
    <s v="Lama"/>
    <s v="Sama"/>
    <s v="Aktif"/>
    <s v="IDR"/>
    <s v="20400"/>
    <s v="400ML"/>
    <m/>
    <m/>
    <s v="KRT"/>
    <s v="GD01"/>
    <n v="11611"/>
    <n v="11612"/>
    <m/>
    <n v="1"/>
    <s v="PT. FOKUS RITEL NUSAPRIMA"/>
  </r>
  <r>
    <s v="F40711060400111"/>
    <n v="1"/>
    <n v="135"/>
    <x v="153"/>
    <s v="ZEN"/>
    <s v="ZEN BCL Shiso &amp; Sulphur Ref 24x400Ml (1PCS) &amp; ZEN Shiso &amp; JB 15Ml (1PCS)"/>
    <x v="1"/>
    <n v="8992946532143"/>
    <x v="1"/>
    <s v="ZEN BCL"/>
    <s v="F4071"/>
    <x v="153"/>
    <n v="14"/>
    <s v="ZEN BCL REF SHISO &amp; SULPHUR 400ML X 24 PCH BND"/>
    <n v="46"/>
    <m/>
    <s v="F4"/>
    <s v="ZEN"/>
    <s v="07"/>
    <s v="BCL"/>
    <n v="1"/>
    <s v="REF"/>
    <s v="1"/>
    <s v="SHISO &amp; SULPHUR"/>
    <s v="06"/>
    <s v="400ML"/>
    <s v="0400"/>
    <s v="PCH"/>
    <n v="1"/>
    <s v="BND"/>
    <n v="1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26T00:00:00"/>
    <m/>
    <s v="Lama"/>
    <s v="Sama"/>
    <s v="Aktif"/>
    <s v="IDR"/>
    <s v="20400"/>
    <s v="400ML"/>
    <m/>
    <m/>
    <s v="KRT"/>
    <s v="GD01"/>
    <n v="11611"/>
    <n v="11612"/>
    <m/>
    <n v="1"/>
    <s v="PT. FOKUS RITEL NUSAPRIMA"/>
  </r>
  <r>
    <s v="F40711030380101"/>
    <n v="1"/>
    <m/>
    <x v="154"/>
    <s v="ZEN"/>
    <s v="ZEN BCL SHISO &amp; SANDALWOOD REF 24X380ML"/>
    <x v="1"/>
    <m/>
    <x v="1"/>
    <s v="ZEN BCL"/>
    <s v="F4071"/>
    <x v="154"/>
    <n v="14"/>
    <s v="ZEN BCL SHISO &amp; SANDALWOOD 380ML X 24 PCH"/>
    <n v="41"/>
    <m/>
    <s v="F4"/>
    <s v="ZEN"/>
    <s v="07"/>
    <s v="BCL"/>
    <n v="1"/>
    <m/>
    <s v="1"/>
    <s v="SHISO &amp; SANDALWOOD"/>
    <s v="03"/>
    <s v="380ML"/>
    <s v="0380"/>
    <s v="PCH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380"/>
    <s v="380ML"/>
    <m/>
    <m/>
    <s v="KRT"/>
    <s v="GD01"/>
    <n v="11611"/>
    <n v="11612"/>
    <m/>
    <n v="1"/>
    <m/>
  </r>
  <r>
    <s v="F40711040380101"/>
    <n v="1"/>
    <m/>
    <x v="155"/>
    <s v="ZEN"/>
    <s v="ZEN BCL SHISO &amp; SEA SALT REF 24X380ML"/>
    <x v="1"/>
    <m/>
    <x v="1"/>
    <s v="ZEN BCL"/>
    <s v="F4071"/>
    <x v="155"/>
    <n v="14"/>
    <s v="ZEN BCL SHISO &amp; SEA SALT 380ML X 24 PCH"/>
    <n v="39"/>
    <m/>
    <s v="F4"/>
    <s v="ZEN"/>
    <s v="07"/>
    <s v="BCL"/>
    <n v="1"/>
    <m/>
    <s v="1"/>
    <s v="SHISO &amp; SEA SALT"/>
    <s v="04"/>
    <s v="380ML"/>
    <s v="0380"/>
    <s v="PCH"/>
    <n v="1"/>
    <m/>
    <n v="0"/>
    <m/>
    <m/>
    <m/>
    <s v="LITER"/>
    <n v="2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20380"/>
    <s v="380ML"/>
    <m/>
    <m/>
    <s v="KRT"/>
    <s v="GD01"/>
    <n v="11611"/>
    <n v="11612"/>
    <m/>
    <n v="1"/>
    <m/>
  </r>
  <r>
    <s v="F40721010400101"/>
    <n v="1"/>
    <n v="136"/>
    <x v="156"/>
    <s v="ZEN"/>
    <s v="BodyWash ZEN Shiso&amp;Sandalwood Ref 24x400Ml"/>
    <x v="1"/>
    <n v="8992946532108"/>
    <x v="1"/>
    <s v="ZEN BODY WSH"/>
    <s v="F4072"/>
    <x v="156"/>
    <n v="14"/>
    <s v="ZEN BODY WSH REF SHISO &amp; SANDALWOOD 400ML X 24 PCH"/>
    <n v="50"/>
    <m/>
    <s v="F4"/>
    <s v="ZEN"/>
    <s v="07"/>
    <s v="BODY WSH"/>
    <n v="2"/>
    <s v="REF"/>
    <s v="1"/>
    <s v="SHISO &amp; SANDALWOOD"/>
    <s v="01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21020400101"/>
    <n v="1"/>
    <n v="137"/>
    <x v="157"/>
    <s v="ZEN"/>
    <s v="BodyWash ZEN Shiso&amp;SeaSalt Ref 24x400Ml"/>
    <x v="1"/>
    <n v="8992946532139"/>
    <x v="1"/>
    <s v="ZEN BODY WSH"/>
    <s v="F4072"/>
    <x v="157"/>
    <n v="14"/>
    <s v="ZEN BODY WSH REF SHISO &amp; SEA SALT 400ML X 24 PCH"/>
    <n v="48"/>
    <m/>
    <s v="F4"/>
    <s v="ZEN"/>
    <s v="07"/>
    <s v="BODY WSH"/>
    <n v="2"/>
    <s v="REF"/>
    <s v="1"/>
    <s v="SHISO &amp; SEA SALT"/>
    <s v="02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21030400101"/>
    <n v="1"/>
    <n v="138"/>
    <x v="158"/>
    <s v="ZEN"/>
    <s v="BodyWash ZEN Shiso&amp;Sulphur Ref 24x400Ml"/>
    <x v="1"/>
    <n v="8992946532146"/>
    <x v="1"/>
    <s v="ZEN BODY WSH"/>
    <s v="F4072"/>
    <x v="158"/>
    <n v="14"/>
    <s v="ZEN BODY WSH REF SHISO &amp; SULPHUR 400ML X 24 PCH"/>
    <n v="47"/>
    <m/>
    <s v="F4"/>
    <s v="ZEN"/>
    <s v="07"/>
    <s v="BODY WSH"/>
    <n v="2"/>
    <s v="REF"/>
    <s v="1"/>
    <s v="SHISO &amp; SULPHUR"/>
    <s v="03"/>
    <s v="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5-07-10T00:00:00"/>
    <m/>
    <s v="Lama"/>
    <s v="Sama"/>
    <s v="Aktif"/>
    <s v="IDR"/>
    <s v="20400"/>
    <s v="400ML"/>
    <s v="S-FRN"/>
    <s v="45MIX"/>
    <s v="KRT"/>
    <s v="GD01"/>
    <n v="11611"/>
    <n v="11612"/>
    <s v="0101"/>
    <n v="1"/>
    <s v="PT. FOKUS RITEL NUSAPRIMA"/>
  </r>
  <r>
    <s v="F40721030400101"/>
    <n v="1"/>
    <n v="138"/>
    <x v="159"/>
    <s v="ZEN"/>
    <s v="BodyWash ZEN Shiso&amp;Sulphur Ref 24x400Ml"/>
    <x v="1"/>
    <n v="8992946532146"/>
    <x v="1"/>
    <s v="ZEN BODY WSH"/>
    <s v="F4072"/>
    <x v="158"/>
    <n v="14"/>
    <s v="ZEN BODY WSH REF SHISO &amp; SULPHUR 380/400ML X 24 PCH"/>
    <n v="51"/>
    <m/>
    <s v="F4"/>
    <s v="ZEN"/>
    <s v="07"/>
    <s v="BODY WSH"/>
    <n v="2"/>
    <s v="REF"/>
    <s v="1"/>
    <s v="SHISO &amp; SULPHUR"/>
    <s v="03"/>
    <s v="380/400ML"/>
    <s v="0400"/>
    <s v="PCH"/>
    <n v="1"/>
    <m/>
    <n v="0"/>
    <m/>
    <m/>
    <m/>
    <s v="LITER"/>
    <n v="2"/>
    <m/>
    <n v="18351.171171171172"/>
    <n v="440428.10810810816"/>
    <n v="20369.800000000003"/>
    <n v="488875.20000000013"/>
    <n v="19819.819819819819"/>
    <n v="475675.67567567562"/>
    <n v="22000"/>
    <n v="528000"/>
    <m/>
    <n v="0"/>
    <n v="0"/>
    <n v="0"/>
    <n v="7.4099999999999888E-2"/>
    <d v="2026-01-22T00:00:00"/>
    <m/>
    <s v="Lama"/>
    <s v="Sama"/>
    <m/>
    <s v="IDR"/>
    <s v="20400"/>
    <s v="380/400ML"/>
    <m/>
    <m/>
    <s v="KRT"/>
    <s v="GD01"/>
    <n v="11611"/>
    <n v="11612"/>
    <m/>
    <n v="1"/>
    <m/>
  </r>
  <r>
    <s v="F40720010480201"/>
    <n v="1"/>
    <n v="139"/>
    <x v="160"/>
    <s v="ZEN"/>
    <s v="BodyWash ZEN Shiso&amp;Sandalwood Btl 24x480Ml"/>
    <x v="1"/>
    <s v="8992946531316"/>
    <x v="2"/>
    <s v="ZEN BODY WSH"/>
    <s v="F4072"/>
    <x v="159"/>
    <n v="14"/>
    <s v="ZEN BODY WSH SHISO &amp; SANDALWOOD 480ML X 24 PUMP"/>
    <n v="47"/>
    <m/>
    <s v="F4"/>
    <s v="ZEN"/>
    <s v="07"/>
    <s v="BODY WSH"/>
    <n v="2"/>
    <m/>
    <s v="0"/>
    <s v="SHISO &amp; SANDALWOOD"/>
    <s v="01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20020480201"/>
    <n v="1"/>
    <n v="140"/>
    <x v="161"/>
    <s v="ZEN"/>
    <s v="BodyWash ZEN Shiso&amp;SeaSalt 24x480Ml"/>
    <x v="1"/>
    <n v="8992946532085"/>
    <x v="2"/>
    <s v="ZEN BODY WSH"/>
    <s v="F4072"/>
    <x v="160"/>
    <n v="14"/>
    <s v="ZEN BODY WSH SHISO &amp; SEA SALT 480ML X 24 PUMP"/>
    <n v="45"/>
    <m/>
    <s v="F4"/>
    <s v="ZEN"/>
    <s v="07"/>
    <s v="BODY WSH"/>
    <n v="2"/>
    <m/>
    <s v="0"/>
    <s v="SHISO &amp; SEA SALT"/>
    <s v="02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20030480201"/>
    <n v="1"/>
    <n v="141"/>
    <x v="162"/>
    <s v="ZEN"/>
    <s v="BodyWash ZEN Shiso&amp;Sulphur Btl 24x480Ml"/>
    <x v="1"/>
    <n v="8992946532102"/>
    <x v="2"/>
    <s v="ZEN BODY WSH"/>
    <s v="F4072"/>
    <x v="161"/>
    <n v="14"/>
    <s v="ZEN BODY WSH SHISO &amp; SULPHUR 480ML X 24 PUMP"/>
    <n v="44"/>
    <m/>
    <s v="F4"/>
    <s v="ZEN"/>
    <s v="07"/>
    <s v="BODY WSH"/>
    <n v="2"/>
    <m/>
    <s v="0"/>
    <s v="SHISO &amp; SULPHUR"/>
    <s v="03"/>
    <s v="480ML"/>
    <s v="0480"/>
    <s v="PUMP"/>
    <n v="2"/>
    <m/>
    <n v="0"/>
    <m/>
    <m/>
    <m/>
    <s v="LITER"/>
    <n v="2"/>
    <m/>
    <n v="31697.477477477474"/>
    <n v="760739.45945945941"/>
    <n v="35184.199999999997"/>
    <n v="844420.8"/>
    <n v="34234.234234234231"/>
    <n v="821621.62162162154"/>
    <n v="38000"/>
    <n v="912000"/>
    <m/>
    <n v="0"/>
    <n v="0"/>
    <n v="0"/>
    <n v="7.4099999999999999E-2"/>
    <d v="2025-07-10T00:00:00"/>
    <m/>
    <s v="Lama"/>
    <s v="Sama"/>
    <s v="Aktif"/>
    <s v="IDR"/>
    <s v="20480"/>
    <s v="480ML"/>
    <s v="S-FRN"/>
    <s v="45MIX"/>
    <s v="KRT"/>
    <s v="GD01"/>
    <n v="11611"/>
    <n v="11612"/>
    <s v="0101"/>
    <n v="1"/>
    <s v="PT. FOKUS RITEL NUSAPRIMA"/>
  </r>
  <r>
    <s v="F40731010070101"/>
    <n v="1"/>
    <n v="142"/>
    <x v="163"/>
    <s v="ZEN"/>
    <s v="Zen Body Soap Mix 6x12x80Gr (6 Lunchbox)"/>
    <x v="0"/>
    <n v="8992946534188"/>
    <x v="0"/>
    <s v="ZEN SABUN"/>
    <s v="F4073"/>
    <x v="162"/>
    <n v="14"/>
    <s v="ZEN SABUN LUNCH MIX 70G X 6 BOX"/>
    <n v="31"/>
    <m/>
    <s v="F4"/>
    <s v="ZEN"/>
    <s v="07"/>
    <s v="SABUN"/>
    <n v="3"/>
    <s v="LUNCH"/>
    <s v="1"/>
    <s v="MIX"/>
    <s v="01"/>
    <s v="70G"/>
    <s v="0070"/>
    <s v="BOX"/>
    <n v="1"/>
    <m/>
    <n v="0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s v="Aktif"/>
    <s v="IDR"/>
    <s v="10070"/>
    <s v="70G"/>
    <m/>
    <m/>
    <s v="KRT"/>
    <s v="GD01"/>
    <n v="11611"/>
    <n v="11612"/>
    <m/>
    <n v="1"/>
    <m/>
  </r>
  <r>
    <s v="F40731010080102"/>
    <n v="2"/>
    <n v="143"/>
    <x v="97"/>
    <s v="ZEN"/>
    <s v="Zen Body Soap Mix 6x12x80Gr (6 Lunchbox)"/>
    <x v="0"/>
    <n v="8992946534188"/>
    <x v="0"/>
    <s v="ZEN SABUN"/>
    <s v="F4073"/>
    <x v="163"/>
    <n v="14"/>
    <s v="ZEN SABUN LUNCH MIX 80G X 6 BOX"/>
    <n v="31"/>
    <m/>
    <s v="F4"/>
    <s v="ZEN"/>
    <s v="07"/>
    <s v="SABUN"/>
    <n v="3"/>
    <s v="LUNCH"/>
    <s v="1"/>
    <s v="MIX"/>
    <s v="01"/>
    <s v="80G"/>
    <s v="0080"/>
    <s v="BOX"/>
    <n v="1"/>
    <m/>
    <n v="0"/>
    <m/>
    <m/>
    <m/>
    <s v="GRAM"/>
    <n v="1"/>
    <m/>
    <n v="34033.08108108108"/>
    <n v="204198.48648648648"/>
    <n v="37776.720000000001"/>
    <n v="226660.32"/>
    <n v="36756.756756756753"/>
    <n v="220540.54054054053"/>
    <n v="40800"/>
    <n v="244800"/>
    <m/>
    <n v="0"/>
    <n v="0"/>
    <n v="0"/>
    <n v="7.4099999999999944E-2"/>
    <d v="2025-07-10T00:00:00"/>
    <m/>
    <s v="Lama"/>
    <s v="Sama"/>
    <s v="Discontinue"/>
    <s v="IDR"/>
    <s v="10080"/>
    <s v="80G"/>
    <s v="S-FRN"/>
    <s v="45MIX"/>
    <s v="KRT"/>
    <s v="GD01"/>
    <n v="11611"/>
    <n v="11612"/>
    <s v="0101"/>
    <n v="1"/>
    <s v="PT. FOKUS RITEL NUSAPRIMA"/>
  </r>
  <r>
    <s v="F40730020060101"/>
    <n v="1"/>
    <n v="144"/>
    <x v="164"/>
    <s v="ZEN"/>
    <s v="ZEN Body Soap Shiso &amp; Sulphur 72x60Gr"/>
    <x v="2"/>
    <n v="8992946534188"/>
    <x v="3"/>
    <s v="ZEN SABUN"/>
    <s v="F4073"/>
    <x v="164"/>
    <n v="14"/>
    <s v="ZEN SABUN SHINSO &amp; SULPHUR 60G X 72 PCS"/>
    <n v="39"/>
    <m/>
    <s v="F4"/>
    <s v="ZEN"/>
    <s v="07"/>
    <s v="SABUN"/>
    <n v="3"/>
    <m/>
    <s v="0"/>
    <s v="SHINSO &amp; SULPHUR"/>
    <s v="02"/>
    <s v="60G"/>
    <s v="0060"/>
    <s v="PCS"/>
    <n v="1"/>
    <m/>
    <n v="0"/>
    <m/>
    <m/>
    <m/>
    <s v="GRAM"/>
    <n v="1"/>
    <m/>
    <n v="2836.0900900900901"/>
    <n v="204198.48648648648"/>
    <n v="3148.0600000000004"/>
    <n v="226660.32"/>
    <n v="3063.0630630630631"/>
    <n v="220540.54054054053"/>
    <n v="3400.0000000000005"/>
    <n v="244800"/>
    <m/>
    <n v="0"/>
    <n v="0"/>
    <n v="0"/>
    <n v="7.4099999999999985E-2"/>
    <d v="2025-07-10T00:00:00"/>
    <m/>
    <s v="Lama"/>
    <s v="Sama"/>
    <s v="Aktif"/>
    <s v="IDR"/>
    <s v="10060"/>
    <s v="60G"/>
    <s v="S-FRN"/>
    <s v="45MIX"/>
    <s v="KRT"/>
    <s v="GD01"/>
    <n v="11611"/>
    <n v="11612"/>
    <s v="0101"/>
    <n v="1"/>
    <s v="PT. FOKUS RITEL NUSAPRIMA"/>
  </r>
  <r>
    <s v="F40730030070201"/>
    <n v="1"/>
    <n v="145"/>
    <x v="165"/>
    <s v="ZEN"/>
    <s v="Zen Body Soap Shiso &amp; Echinacea 24x3x70Gr (P3)"/>
    <x v="1"/>
    <n v="8992946534921"/>
    <x v="5"/>
    <s v="ZEN SABUN"/>
    <s v="F4073"/>
    <x v="165"/>
    <n v="14"/>
    <s v="ZEN SABUN SHISO &amp; ECHINACEA 70G X 24 PACK"/>
    <n v="41"/>
    <m/>
    <s v="F4"/>
    <s v="ZEN"/>
    <s v="07"/>
    <s v="SABUN"/>
    <n v="3"/>
    <m/>
    <s v="0"/>
    <s v="SHISO &amp; ECHINACEA"/>
    <s v="03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30070202"/>
    <n v="2"/>
    <m/>
    <x v="166"/>
    <s v="ZEN"/>
    <s v="Zen Bar Paket Echinacea 70gr New 24 PKT 1 x 72"/>
    <x v="1"/>
    <n v="8992946534921"/>
    <x v="5"/>
    <s v="ZEN SABUN"/>
    <s v="F4073"/>
    <x v="165"/>
    <n v="14"/>
    <s v="ZEN SABUN SHISO &amp; ECHINACEA 70G X 24 PACK"/>
    <n v="41"/>
    <m/>
    <s v="F4"/>
    <s v="ZEN"/>
    <s v="07"/>
    <s v="SABUN"/>
    <n v="3"/>
    <m/>
    <s v="0"/>
    <s v="SHISO &amp; ECHINACEA"/>
    <s v="03"/>
    <s v="70G"/>
    <s v="0070"/>
    <s v="PACK"/>
    <n v="2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s v="Aktif"/>
    <s v="IDR"/>
    <s v="0070"/>
    <s v="70G"/>
    <m/>
    <m/>
    <s v="KRT"/>
    <s v="GD01"/>
    <n v="11611"/>
    <n v="11612"/>
    <m/>
    <n v="1"/>
    <m/>
  </r>
  <r>
    <s v="F40730040070201"/>
    <n v="1"/>
    <n v="146"/>
    <x v="167"/>
    <s v="ZEN"/>
    <s v="Zen Body Soap Shiso &amp; Juniper Berries 24x3x70Gr (P3)"/>
    <x v="1"/>
    <s v="8992946534478"/>
    <x v="5"/>
    <s v="ZEN SABUN"/>
    <s v="F4073"/>
    <x v="166"/>
    <n v="14"/>
    <s v="ZEN SABUN SHISO &amp; JUNIPER BERRIES 70G X 24 PACK"/>
    <n v="47"/>
    <m/>
    <s v="F4"/>
    <s v="ZEN"/>
    <s v="07"/>
    <s v="SABUN"/>
    <n v="3"/>
    <m/>
    <s v="0"/>
    <s v="SHISO &amp; JUNIPER BERRIES"/>
    <s v="04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40070202"/>
    <n v="2"/>
    <n v="147"/>
    <x v="168"/>
    <s v="ZEN"/>
    <s v="Zen Bar Paket Juniper Berries 70gr New 24 PKT 1 x 72"/>
    <x v="1"/>
    <s v="8992946534478"/>
    <x v="5"/>
    <s v="ZEN SABUN"/>
    <s v="F4073"/>
    <x v="166"/>
    <n v="14"/>
    <s v="ZEN SABUN SHISO &amp; JUNIPER BERRIES 70G X 24 PACK"/>
    <n v="47"/>
    <m/>
    <s v="F4"/>
    <s v="ZEN"/>
    <s v="07"/>
    <s v="SABUN"/>
    <n v="3"/>
    <m/>
    <s v="0"/>
    <s v="SHISO &amp; JUNIPER BERRIES"/>
    <s v="04"/>
    <s v="70G"/>
    <s v="0070"/>
    <s v="PACK"/>
    <n v="2"/>
    <m/>
    <n v="0"/>
    <m/>
    <m/>
    <m/>
    <m/>
    <m/>
    <m/>
    <n v="58723.747747747744"/>
    <n v="1409369.9459459458"/>
    <n v="65183.360000000001"/>
    <n v="1564400.6399999999"/>
    <n v="63423.423423423425"/>
    <n v="1522162.1621621621"/>
    <n v="70400.000000000015"/>
    <n v="1689600"/>
    <m/>
    <n v="0"/>
    <n v="0"/>
    <n v="0"/>
    <n v="7.4100000000000069E-2"/>
    <m/>
    <m/>
    <s v="Lama"/>
    <s v="Sama"/>
    <m/>
    <s v="IDR"/>
    <s v="0070"/>
    <s v="70G"/>
    <m/>
    <m/>
    <s v="KRT"/>
    <s v="GD01"/>
    <n v="11611"/>
    <n v="11612"/>
    <m/>
    <n v="1"/>
    <m/>
  </r>
  <r>
    <s v="F40730040070203"/>
    <n v="3"/>
    <n v="171"/>
    <x v="169"/>
    <s v="ZEN"/>
    <s v="ZEN BAR SHISO &amp; JUNIPER BERRIES 24X3X60GR (P3) UPSIZE 15GR"/>
    <x v="1"/>
    <m/>
    <x v="5"/>
    <s v="ZEN SABUN"/>
    <s v="F4073"/>
    <x v="166"/>
    <n v="14"/>
    <s v="ZEN SABUN SHISO &amp; JUNIPER BERRIES 60+15G X 24 PACK"/>
    <n v="50"/>
    <m/>
    <s v="F4"/>
    <s v="ZEN"/>
    <s v="07"/>
    <s v="SABUN"/>
    <n v="3"/>
    <m/>
    <s v="0"/>
    <s v="SHISO &amp; JUNIPER BERRIES"/>
    <s v="04"/>
    <s v="60+15G"/>
    <s v="0070"/>
    <s v="PACK"/>
    <n v="2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70"/>
    <s v="60+15G"/>
    <m/>
    <m/>
    <s v="KRT"/>
    <s v="GD01"/>
    <n v="11611"/>
    <n v="11612"/>
    <m/>
    <n v="1"/>
    <m/>
  </r>
  <r>
    <s v="F40730050070201"/>
    <n v="1"/>
    <n v="148"/>
    <x v="170"/>
    <s v="ZEN"/>
    <s v="Zen Body Soap Shiso &amp; Sandalwood 24x3x70Gr (P3)"/>
    <x v="1"/>
    <n v="8992946534874"/>
    <x v="5"/>
    <s v="ZEN SABUN"/>
    <s v="F4073"/>
    <x v="167"/>
    <n v="14"/>
    <s v="ZEN SABUN SHISO &amp; SANDALWOOD 70G X 24 PACK"/>
    <n v="42"/>
    <m/>
    <s v="F4"/>
    <s v="ZEN"/>
    <s v="07"/>
    <s v="SABUN"/>
    <n v="3"/>
    <m/>
    <s v="0"/>
    <s v="SHISO &amp; SANDALWOOD"/>
    <s v="05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50070202"/>
    <n v="2"/>
    <n v="149"/>
    <x v="171"/>
    <s v="ZEN"/>
    <s v="Zen Bar Paket Sandalwood 70gr New 24 PKT 1 x 72"/>
    <x v="1"/>
    <n v="8992946534874"/>
    <x v="5"/>
    <s v="ZEN SABUN"/>
    <s v="F4073"/>
    <x v="167"/>
    <n v="14"/>
    <s v="ZEN SABUN SHISO &amp; SANDALWOOD 70G X 24 PACK"/>
    <n v="42"/>
    <m/>
    <s v="F4"/>
    <s v="ZEN"/>
    <s v="07"/>
    <s v="SABUN"/>
    <n v="3"/>
    <m/>
    <s v="0"/>
    <s v="SHISO &amp; SANDALWOOD"/>
    <s v="05"/>
    <s v="70G"/>
    <s v="0070"/>
    <s v="PACK"/>
    <n v="2"/>
    <m/>
    <n v="0"/>
    <m/>
    <m/>
    <m/>
    <m/>
    <m/>
    <m/>
    <n v="58723.747747747744"/>
    <n v="1409369.9459459458"/>
    <n v="65183.360000000001"/>
    <n v="1564400.6399999999"/>
    <n v="63423.423423423425"/>
    <n v="1522162.1621621621"/>
    <n v="70400.000000000015"/>
    <n v="1689600"/>
    <m/>
    <n v="0"/>
    <n v="0"/>
    <n v="0"/>
    <n v="7.4100000000000069E-2"/>
    <m/>
    <m/>
    <s v="Lama"/>
    <s v="Sama"/>
    <m/>
    <s v="IDR"/>
    <s v="0070"/>
    <s v="70G"/>
    <m/>
    <m/>
    <s v="KRT"/>
    <s v="GD01"/>
    <n v="11611"/>
    <n v="11612"/>
    <m/>
    <n v="1"/>
    <m/>
  </r>
  <r>
    <s v="F40730050070203"/>
    <n v="3"/>
    <n v="170"/>
    <x v="172"/>
    <s v="ZEN"/>
    <s v="ZEN BAR SHISO &amp; SANDALWOOD 24X3X60GR (P3) UPSIZE 15GR"/>
    <x v="1"/>
    <m/>
    <x v="5"/>
    <s v="ZEN SABUN"/>
    <s v="F4073"/>
    <x v="167"/>
    <n v="14"/>
    <s v="ZEN SABUN SHISO &amp; SANDALWOOD 60+15G X 24 PACK"/>
    <n v="45"/>
    <m/>
    <s v="F4"/>
    <s v="ZEN"/>
    <s v="07"/>
    <s v="SABUN"/>
    <n v="3"/>
    <m/>
    <s v="0"/>
    <s v="SHISO &amp; SANDALWOOD"/>
    <s v="05"/>
    <s v="60+15G"/>
    <s v="0070"/>
    <s v="PACK"/>
    <n v="2"/>
    <m/>
    <n v="0"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IDR"/>
    <s v="0070"/>
    <s v="60+15G"/>
    <m/>
    <m/>
    <s v="KRT"/>
    <s v="GD01"/>
    <n v="11611"/>
    <n v="11612"/>
    <m/>
    <n v="1"/>
    <m/>
  </r>
  <r>
    <s v="F40730050080101"/>
    <n v="1"/>
    <n v="150"/>
    <x v="173"/>
    <s v="ZEN"/>
    <s v="Sabun Zen Shiso &amp; SANDALWOOD 82X80Gr"/>
    <x v="2"/>
    <n v="8992946532228"/>
    <x v="3"/>
    <s v="ZEN SABUN"/>
    <s v="F4073"/>
    <x v="168"/>
    <n v="14"/>
    <s v="ZEN SABUN SHISO &amp; SANDALWOOD 80G X 72 PCS"/>
    <n v="41"/>
    <m/>
    <s v="F4"/>
    <s v="ZEN"/>
    <s v="07"/>
    <s v="SABUN"/>
    <n v="3"/>
    <m/>
    <s v="0"/>
    <s v="SHISO &amp; SANDALWOOD"/>
    <s v="05"/>
    <s v="80G"/>
    <s v="0080"/>
    <s v="PCS"/>
    <n v="1"/>
    <m/>
    <n v="0"/>
    <m/>
    <m/>
    <m/>
    <s v="GRAM"/>
    <n v="1"/>
    <m/>
    <m/>
    <n v="0"/>
    <n v="0"/>
    <n v="0"/>
    <m/>
    <n v="0"/>
    <n v="0"/>
    <n v="0"/>
    <m/>
    <n v="0"/>
    <n v="0"/>
    <n v="0"/>
    <n v="0"/>
    <m/>
    <m/>
    <s v="Lama"/>
    <s v="Sama"/>
    <m/>
    <s v="IDR"/>
    <s v="10080"/>
    <s v="80G"/>
    <m/>
    <m/>
    <s v="KRT"/>
    <s v="GD01"/>
    <n v="11611"/>
    <n v="11612"/>
    <m/>
    <n v="1"/>
    <m/>
  </r>
  <r>
    <s v="F40730060070201"/>
    <n v="1"/>
    <n v="151"/>
    <x v="174"/>
    <s v="ZEN"/>
    <s v="Zen Body Soap Shiso &amp; Sea Salt 24x3x70Gr (P3)"/>
    <x v="1"/>
    <n v="8992946534891"/>
    <x v="5"/>
    <s v="ZEN SABUN"/>
    <s v="F4073"/>
    <x v="169"/>
    <n v="14"/>
    <s v="ZEN SABUN SHISO &amp; SEA SALT 70G X 24 PACK"/>
    <n v="40"/>
    <m/>
    <s v="F4"/>
    <s v="ZEN"/>
    <s v="07"/>
    <s v="SABUN"/>
    <n v="3"/>
    <m/>
    <s v="0"/>
    <s v="SHISO &amp; SEA SALT"/>
    <s v="06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60070202"/>
    <n v="2"/>
    <n v="152"/>
    <x v="175"/>
    <s v="ZEN"/>
    <s v="Zen Bar Paket Sea Salt 70gr New 24 PKT 1 x 72"/>
    <x v="1"/>
    <n v="8992946534891"/>
    <x v="5"/>
    <s v="ZEN SABUN"/>
    <s v="F4073"/>
    <x v="169"/>
    <n v="14"/>
    <s v="ZEN SABUN SHISO &amp; SEA SALT 70G X 24 PACK"/>
    <n v="40"/>
    <m/>
    <s v="F4"/>
    <s v="ZEN"/>
    <s v="07"/>
    <s v="SABUN"/>
    <n v="3"/>
    <m/>
    <s v="0"/>
    <s v="SHISO &amp; SEA SALT"/>
    <s v="06"/>
    <s v="70G"/>
    <s v="0070"/>
    <s v="PACK"/>
    <n v="2"/>
    <m/>
    <n v="0"/>
    <m/>
    <m/>
    <m/>
    <m/>
    <m/>
    <m/>
    <n v="58723.747747747744"/>
    <n v="1409369.9459459458"/>
    <n v="65183.360000000001"/>
    <n v="1564400.6399999999"/>
    <n v="63423.423423423425"/>
    <n v="1522162.1621621621"/>
    <n v="70400.000000000015"/>
    <n v="1689600"/>
    <m/>
    <n v="0"/>
    <n v="0"/>
    <n v="0"/>
    <n v="7.4100000000000069E-2"/>
    <m/>
    <m/>
    <s v="Lama"/>
    <s v="Sama"/>
    <m/>
    <s v="IDR"/>
    <s v="0070"/>
    <s v="70G"/>
    <m/>
    <m/>
    <s v="KRT"/>
    <s v="GD01"/>
    <n v="11611"/>
    <n v="11612"/>
    <m/>
    <n v="1"/>
    <m/>
  </r>
  <r>
    <s v="F40730070070201"/>
    <n v="1"/>
    <n v="153"/>
    <x v="176"/>
    <s v="ZEN"/>
    <s v="Zen Body Soap Shiso &amp; Sulphur 24x3x70Gr (P3)"/>
    <x v="1"/>
    <n v="8992946534898"/>
    <x v="5"/>
    <s v="ZEN SABUN"/>
    <s v="F4073"/>
    <x v="170"/>
    <n v="14"/>
    <s v="ZEN SABUN SHISO &amp; SULPHUR 70G X 24 PACK"/>
    <n v="39"/>
    <m/>
    <s v="F4"/>
    <s v="ZEN"/>
    <s v="07"/>
    <s v="SABUN"/>
    <n v="3"/>
    <m/>
    <s v="0"/>
    <s v="SHISO &amp; SULPHUR"/>
    <s v="07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70070202"/>
    <n v="2"/>
    <n v="154"/>
    <x v="177"/>
    <s v="ZEN"/>
    <s v="Zen Bar Paket Sulphur 70gr New 24 PKT 1 x 72"/>
    <x v="1"/>
    <n v="8992946534898"/>
    <x v="5"/>
    <s v="ZEN SABUN"/>
    <s v="F4073"/>
    <x v="170"/>
    <n v="14"/>
    <s v="ZEN SABUN SHISO &amp; SULPHUR 70G X 24 PACK"/>
    <n v="39"/>
    <m/>
    <s v="F4"/>
    <s v="ZEN"/>
    <s v="07"/>
    <s v="SABUN"/>
    <n v="3"/>
    <m/>
    <s v="0"/>
    <s v="SHISO &amp; SULPHUR"/>
    <s v="07"/>
    <s v="70G"/>
    <s v="0070"/>
    <s v="PACK"/>
    <n v="2"/>
    <m/>
    <n v="0"/>
    <m/>
    <m/>
    <m/>
    <m/>
    <m/>
    <m/>
    <n v="58723.747747747744"/>
    <n v="1409369.9459459458"/>
    <n v="65183.360000000001"/>
    <n v="1564400.6399999999"/>
    <n v="63423.423423423425"/>
    <n v="1522162.1621621621"/>
    <n v="70400.000000000015"/>
    <n v="1689600"/>
    <m/>
    <n v="0"/>
    <n v="0"/>
    <n v="0"/>
    <n v="7.4100000000000069E-2"/>
    <m/>
    <m/>
    <s v="Lama"/>
    <s v="Sama"/>
    <m/>
    <s v="IDR"/>
    <s v="0070"/>
    <s v="70G"/>
    <m/>
    <m/>
    <s v="KRT"/>
    <s v="GD01"/>
    <n v="11611"/>
    <n v="11612"/>
    <m/>
    <n v="1"/>
    <m/>
  </r>
  <r>
    <s v="F40730080070201"/>
    <n v="1"/>
    <n v="155"/>
    <x v="178"/>
    <s v="ZEN"/>
    <s v="Zen Body Soap Shiso &amp; Tea Tree 24x3x70Gr (P3)"/>
    <x v="1"/>
    <n v="8992946534904"/>
    <x v="5"/>
    <s v="ZEN SABUN"/>
    <s v="F4073"/>
    <x v="171"/>
    <n v="14"/>
    <s v="ZEN SABUN SHISO &amp; TEA TREE 70G X 24 PACK"/>
    <n v="40"/>
    <m/>
    <s v="F4"/>
    <s v="ZEN"/>
    <s v="07"/>
    <s v="SABUN"/>
    <n v="3"/>
    <m/>
    <s v="0"/>
    <s v="SHISO &amp; TEA TREE "/>
    <s v="08"/>
    <s v="70G"/>
    <s v="0070"/>
    <s v="PACK"/>
    <n v="2"/>
    <m/>
    <n v="0"/>
    <m/>
    <m/>
    <m/>
    <s v="GRAM"/>
    <n v="1"/>
    <m/>
    <n v="7340.468468468468"/>
    <n v="176171.24324324323"/>
    <n v="8147.92"/>
    <n v="195550.07999999999"/>
    <n v="7927.9279279279281"/>
    <n v="190270.27027027027"/>
    <n v="8800.0000000000018"/>
    <n v="211200"/>
    <m/>
    <n v="0"/>
    <n v="0"/>
    <n v="0"/>
    <n v="7.4100000000000069E-2"/>
    <d v="2025-07-10T00:00:00"/>
    <m/>
    <s v="Lama"/>
    <s v="Sama"/>
    <s v="Aktif"/>
    <s v="IDR"/>
    <s v="10070"/>
    <s v="70G"/>
    <s v="S-FRN"/>
    <s v="45MIX"/>
    <s v="KRT"/>
    <s v="GD01"/>
    <n v="11611"/>
    <n v="11612"/>
    <s v="0101"/>
    <n v="1"/>
    <s v="PT. FOKUS RITEL NUSAPRIMA"/>
  </r>
  <r>
    <s v="F40730080070202"/>
    <n v="2"/>
    <n v="156"/>
    <x v="179"/>
    <s v="ZEN"/>
    <s v="Zen Bar Paket Tea Tree 70gr New 24 PKT 1 x 72"/>
    <x v="1"/>
    <n v="8992946534904"/>
    <x v="5"/>
    <s v="ZEN SABUN"/>
    <s v="F4073"/>
    <x v="171"/>
    <n v="14"/>
    <s v="ZEN SABUN SHISO &amp; TEA TREE 70G X 24 PACK"/>
    <n v="40"/>
    <m/>
    <s v="F4"/>
    <s v="ZEN"/>
    <s v="07"/>
    <s v="SABUN"/>
    <n v="3"/>
    <m/>
    <s v="0"/>
    <s v="SHISO &amp; TEA TREE "/>
    <s v="08"/>
    <s v="70G"/>
    <s v="0070"/>
    <s v="PACK"/>
    <n v="2"/>
    <m/>
    <n v="0"/>
    <m/>
    <m/>
    <m/>
    <m/>
    <m/>
    <m/>
    <n v="58723.747747747744"/>
    <n v="1409369.9459459458"/>
    <n v="65183.360000000001"/>
    <n v="1564400.6399999999"/>
    <n v="63423.423423423425"/>
    <n v="1522162.1621621621"/>
    <n v="70400.000000000015"/>
    <n v="1689600"/>
    <m/>
    <n v="0"/>
    <n v="0"/>
    <n v="0"/>
    <n v="7.4100000000000069E-2"/>
    <m/>
    <m/>
    <s v="Lama"/>
    <s v="Sama"/>
    <m/>
    <s v="IDR"/>
    <s v="0070"/>
    <s v="70G"/>
    <m/>
    <m/>
    <s v="KRT"/>
    <s v="GD01"/>
    <n v="11611"/>
    <n v="11612"/>
    <m/>
    <n v="1"/>
    <m/>
  </r>
  <r>
    <s v="F40732080070201"/>
    <n v="1"/>
    <n v="157"/>
    <x v="180"/>
    <s v="ZEN"/>
    <s v="Sabun Zen Shiso &amp; Tea Tree 18x4x70Gr (P4)"/>
    <x v="10"/>
    <n v="8992946533508"/>
    <x v="5"/>
    <s v="ZEN SABUN"/>
    <s v="F4073"/>
    <x v="172"/>
    <n v="14"/>
    <s v="ZEN SABUN 4P SHISO &amp; TEA TREE 70G X 18 PACK"/>
    <n v="43"/>
    <m/>
    <s v="F4"/>
    <s v="ZEN"/>
    <s v="07"/>
    <s v="SABUN"/>
    <n v="3"/>
    <s v="4P"/>
    <s v="2"/>
    <s v="SHISO &amp; TEA TREE "/>
    <s v="08"/>
    <s v="70G"/>
    <s v="0070"/>
    <s v="PACK"/>
    <n v="2"/>
    <m/>
    <n v="0"/>
    <m/>
    <m/>
    <m/>
    <s v="GRAM"/>
    <n v="1"/>
    <m/>
    <n v="9342.4144144144138"/>
    <n v="168163.45945945944"/>
    <n v="10370.08"/>
    <n v="186661.44"/>
    <n v="10090.090090090089"/>
    <n v="181621.6216216216"/>
    <n v="11200"/>
    <n v="201600"/>
    <m/>
    <n v="0"/>
    <n v="0"/>
    <n v="0"/>
    <n v="7.409999999999993E-2"/>
    <d v="2025-07-26T00:00:00"/>
    <m/>
    <s v="Lama"/>
    <s v="Sama"/>
    <s v="Aktif"/>
    <s v="IDR"/>
    <s v="10070"/>
    <s v="70G"/>
    <m/>
    <m/>
    <s v="KRT"/>
    <s v="GD01"/>
    <n v="11611"/>
    <n v="11612"/>
    <m/>
    <n v="1"/>
    <s v="PT. FOKUS RITEL NUSAPRIMA"/>
  </r>
  <r>
    <s v="F40732080070202"/>
    <n v="2"/>
    <n v="158"/>
    <x v="181"/>
    <s v="ZEN"/>
    <s v="Zen Bar Soap Shiso &amp; Tea Tree 18x4x70Gr (P4) Geger"/>
    <x v="10"/>
    <n v="8992946533508"/>
    <x v="5"/>
    <s v="ZEN SABUN"/>
    <s v="F4073"/>
    <x v="172"/>
    <n v="14"/>
    <s v="ZEN SABUN 4P SHISO &amp; TEA TREE 70G X 18 PACK"/>
    <n v="43"/>
    <m/>
    <s v="F4"/>
    <s v="ZEN"/>
    <s v="07"/>
    <s v="SABUN"/>
    <n v="3"/>
    <s v="4P"/>
    <s v="2"/>
    <s v="SHISO &amp; TEA TREE "/>
    <s v="08"/>
    <s v="70G"/>
    <s v="0070"/>
    <s v="PACK"/>
    <n v="2"/>
    <m/>
    <n v="0"/>
    <m/>
    <m/>
    <m/>
    <s v="GRAM"/>
    <n v="1"/>
    <m/>
    <n v="9342.4144144144138"/>
    <n v="168163.45945945944"/>
    <n v="10370.08"/>
    <n v="186661.44"/>
    <n v="10090.090090090089"/>
    <n v="181621.6216216216"/>
    <n v="11200"/>
    <n v="201600"/>
    <m/>
    <n v="0"/>
    <n v="0"/>
    <n v="0"/>
    <n v="7.409999999999993E-2"/>
    <d v="2025-07-26T00:00:00"/>
    <m/>
    <s v="Lama"/>
    <s v="Sama"/>
    <s v="Aktif"/>
    <s v="IDR"/>
    <s v="10070"/>
    <s v="70G"/>
    <m/>
    <m/>
    <s v="KRT"/>
    <s v="GD01"/>
    <n v="11611"/>
    <n v="11612"/>
    <m/>
    <n v="1"/>
    <s v="PT. FOKUS RITEL NUSAPRIMA"/>
  </r>
  <r>
    <s v="F40732080060203"/>
    <n v="3"/>
    <n v="159"/>
    <x v="182"/>
    <s v="ZEN"/>
    <s v="Zen Bar Soap Shiso &amp; Tea Tree 18x4x60Gr (P4) Geger"/>
    <x v="10"/>
    <n v="8992946533508"/>
    <x v="5"/>
    <s v="ZEN SABUN"/>
    <s v="F4073"/>
    <x v="173"/>
    <n v="14"/>
    <s v="ZEN SABUN 4P SHISO &amp; TEA TREE 60G X 18 PACK"/>
    <n v="43"/>
    <m/>
    <s v="F4"/>
    <s v="ZEN"/>
    <s v="07"/>
    <s v="SABUN"/>
    <n v="3"/>
    <s v="4P"/>
    <s v="2"/>
    <s v="SHISO &amp; TEA TREE "/>
    <s v="08"/>
    <s v="60G"/>
    <s v="0060"/>
    <s v="PACK"/>
    <n v="2"/>
    <m/>
    <n v="0"/>
    <m/>
    <m/>
    <m/>
    <s v="GRAM"/>
    <n v="1"/>
    <m/>
    <n v="8675.0990990990995"/>
    <n v="156151.78378378379"/>
    <n v="9629.36"/>
    <n v="173328.48"/>
    <n v="9369.3693693693695"/>
    <n v="168648.64864864864"/>
    <n v="10400.000000000002"/>
    <n v="187200"/>
    <m/>
    <n v="0"/>
    <n v="0"/>
    <n v="0"/>
    <n v="7.4099999999999971E-2"/>
    <d v="2025-07-26T00:00:00"/>
    <m/>
    <s v="Lama"/>
    <s v="Sama"/>
    <s v="Aktif"/>
    <s v="IDR"/>
    <s v="10060"/>
    <s v="60G"/>
    <m/>
    <m/>
    <s v="KRT"/>
    <s v="GD01"/>
    <n v="11611"/>
    <n v="11612"/>
    <m/>
    <n v="1"/>
    <s v="PT. FOKUS RITEL NUSAPRIMA"/>
  </r>
  <r>
    <s v="F40731010070101"/>
    <n v="1"/>
    <n v="160"/>
    <x v="97"/>
    <s v="ZEN "/>
    <s v="Zen Body Soap Mix 6x12x70Gr Upsize (6 Lunchbox)"/>
    <x v="5"/>
    <n v="8992946534819"/>
    <x v="0"/>
    <s v="ZEN SABUN"/>
    <s v="F4073"/>
    <x v="162"/>
    <n v="14"/>
    <s v="ZEN SABUN LUNCH MIX 70G X 12 BOX"/>
    <n v="32"/>
    <m/>
    <s v="F4"/>
    <s v="ZEN"/>
    <s v="07"/>
    <s v="SABUN"/>
    <n v="3"/>
    <s v="LUNCH"/>
    <s v="1"/>
    <s v="MIX"/>
    <s v="01"/>
    <s v="70G"/>
    <s v="0070"/>
    <s v="BOX"/>
    <n v="1"/>
    <m/>
    <n v="0"/>
    <m/>
    <m/>
    <m/>
    <s v="GRAM"/>
    <n v="1"/>
    <m/>
    <n v="17016.54054054054"/>
    <n v="204198.48648648648"/>
    <n v="18888.36"/>
    <n v="226660.32"/>
    <n v="18378.378378378377"/>
    <n v="220540.54054054053"/>
    <n v="20400"/>
    <n v="244800"/>
    <m/>
    <n v="0"/>
    <n v="0"/>
    <n v="0"/>
    <n v="7.4099999999999944E-2"/>
    <m/>
    <m/>
    <s v="Lama"/>
    <s v="Sama"/>
    <s v="Discontinue"/>
    <s v="IDR"/>
    <s v="10070"/>
    <s v="70G"/>
    <m/>
    <m/>
    <s v="KRT"/>
    <s v="GD01"/>
    <n v="11611"/>
    <n v="11612"/>
    <m/>
    <n v="1"/>
    <m/>
  </r>
  <r>
    <s v="F4073101007010N1"/>
    <n v="1"/>
    <n v="161"/>
    <x v="183"/>
    <s v="ZEN "/>
    <s v="Zen Body Soap Mix 6x12x70Gr Upsize (6 Lunchbox)"/>
    <x v="0"/>
    <n v="8992946534819"/>
    <x v="0"/>
    <s v="ZEN SABUN"/>
    <s v="F4073"/>
    <x v="174"/>
    <n v="15"/>
    <s v="ZEN SABUN LUNCH MIX 70G X 6 BOX"/>
    <n v="31"/>
    <m/>
    <s v="F4"/>
    <s v="ZEN"/>
    <s v="07"/>
    <s v="SABUN"/>
    <n v="3"/>
    <s v="LUNCH"/>
    <s v="1"/>
    <s v="MIX"/>
    <s v="01"/>
    <s v="70G"/>
    <s v="0070"/>
    <s v="BOX"/>
    <n v="1"/>
    <m/>
    <n v="0"/>
    <m/>
    <m/>
    <m/>
    <s v="GRAM"/>
    <n v="1"/>
    <s v="N"/>
    <n v="34033.08108108108"/>
    <n v="204198.48648648648"/>
    <n v="37776.720000000001"/>
    <n v="226660.32"/>
    <n v="36756.756756756753"/>
    <n v="220540.54054054053"/>
    <n v="40800"/>
    <n v="244800"/>
    <m/>
    <n v="0"/>
    <n v="0"/>
    <n v="0"/>
    <n v="7.4099999999999944E-2"/>
    <d v="2025-07-26T00:00:00"/>
    <m/>
    <s v="Lama"/>
    <s v="Sama"/>
    <s v="Aktif"/>
    <s v="IDR"/>
    <s v="10070"/>
    <s v="70G"/>
    <m/>
    <m/>
    <s v="KRT"/>
    <s v="GD01"/>
    <n v="11611"/>
    <n v="11612"/>
    <m/>
    <n v="1"/>
    <s v="PT. FOKUS RITEL NUSAPRIMA"/>
  </r>
  <r>
    <s v=""/>
    <m/>
    <m/>
    <x v="97"/>
    <m/>
    <s v="SHZ B.LTN MYORI/M 48X210 ML"/>
    <x v="7"/>
    <m/>
    <x v="13"/>
    <s v=""/>
    <s v=""/>
    <x v="175"/>
    <n v="0"/>
    <s v="X"/>
    <n v="1"/>
    <m/>
    <m/>
    <m/>
    <m/>
    <m/>
    <m/>
    <m/>
    <m/>
    <m/>
    <m/>
    <m/>
    <m/>
    <m/>
    <m/>
    <m/>
    <m/>
    <m/>
    <m/>
    <m/>
    <m/>
    <m/>
    <m/>
    <m/>
    <n v="0"/>
    <n v="0"/>
    <n v="0"/>
    <m/>
    <n v="0"/>
    <n v="0"/>
    <n v="0"/>
    <m/>
    <n v="0"/>
    <n v="0"/>
    <n v="0"/>
    <n v="0"/>
    <m/>
    <m/>
    <s v="Lama"/>
    <s v="Sama"/>
    <m/>
    <s v=""/>
    <s v=""/>
    <n v="0"/>
    <m/>
    <m/>
    <s v="KRT"/>
    <s v="GD01"/>
    <n v="11611"/>
    <n v="11612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3:E195" firstHeaderRow="1" firstDataRow="1" firstDataCol="4"/>
  <pivotFields count="67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15">
        <item m="1" x="827"/>
        <item m="1" x="874"/>
        <item m="1" x="898"/>
        <item m="1" x="921"/>
        <item m="1" x="931"/>
        <item m="1" x="945"/>
        <item m="1" x="965"/>
        <item m="1" x="977"/>
        <item m="1" x="1002"/>
        <item m="1" x="1043"/>
        <item m="1" x="1062"/>
        <item m="1" x="1083"/>
        <item m="1" x="1113"/>
        <item m="1" x="1124"/>
        <item m="1" x="1138"/>
        <item m="1" x="1191"/>
        <item m="1" x="1198"/>
        <item m="1" x="1205"/>
        <item m="1" x="1210"/>
        <item m="1" x="1231"/>
        <item m="1" x="1237"/>
        <item m="1" x="1247"/>
        <item m="1" x="1252"/>
        <item m="1" x="1263"/>
        <item m="1" x="1308"/>
        <item m="1" x="1314"/>
        <item m="1" x="192"/>
        <item m="1" x="203"/>
        <item m="1" x="211"/>
        <item m="1" x="330"/>
        <item m="1" x="336"/>
        <item m="1" x="343"/>
        <item m="1" x="363"/>
        <item m="1" x="320"/>
        <item m="1" x="328"/>
        <item m="1" x="359"/>
        <item m="1" x="401"/>
        <item m="1" x="406"/>
        <item m="1" x="1125"/>
        <item m="1" x="1139"/>
        <item m="1" x="1159"/>
        <item m="1" x="1171"/>
        <item m="1" x="323"/>
        <item m="1" x="460"/>
        <item m="1" x="471"/>
        <item m="1" x="476"/>
        <item m="1" x="486"/>
        <item m="1" x="493"/>
        <item m="1" x="504"/>
        <item m="1" x="511"/>
        <item m="1" x="522"/>
        <item m="1" x="463"/>
        <item m="1" x="622"/>
        <item m="1" x="665"/>
        <item m="1" x="684"/>
        <item m="1" x="773"/>
        <item m="1" x="781"/>
        <item m="1" x="793"/>
        <item m="1" x="796"/>
        <item m="1" x="817"/>
        <item m="1" x="826"/>
        <item m="1" x="832"/>
        <item m="1" x="835"/>
        <item m="1" x="843"/>
        <item m="1" x="846"/>
        <item m="1" x="850"/>
        <item m="1" x="862"/>
        <item m="1" x="872"/>
        <item m="1" x="882"/>
        <item m="1" x="890"/>
        <item m="1" x="891"/>
        <item m="1" x="896"/>
        <item m="1" x="903"/>
        <item m="1" x="907"/>
        <item m="1" x="912"/>
        <item m="1" x="917"/>
        <item m="1" x="930"/>
        <item m="1" x="943"/>
        <item m="1" x="948"/>
        <item m="1" x="954"/>
        <item m="1" x="960"/>
        <item m="1" x="964"/>
        <item m="1" x="968"/>
        <item m="1" x="976"/>
        <item m="1" x="983"/>
        <item m="1" x="989"/>
        <item m="1" x="1001"/>
        <item m="1" x="1031"/>
        <item m="1" x="1039"/>
        <item m="1" x="1058"/>
        <item m="1" x="1070"/>
        <item m="1" x="1077"/>
        <item m="1" x="1079"/>
        <item m="1" x="1107"/>
        <item m="1" x="1112"/>
        <item m="1" x="1119"/>
        <item m="1" x="1130"/>
        <item m="1" x="1157"/>
        <item m="1" x="1177"/>
        <item m="1" x="1185"/>
        <item m="1" x="1190"/>
        <item m="1" x="1193"/>
        <item m="1" x="1197"/>
        <item m="1" x="1201"/>
        <item m="1" x="1218"/>
        <item m="1" x="1220"/>
        <item m="1" x="1221"/>
        <item m="1" x="306"/>
        <item m="1" x="311"/>
        <item m="1" x="322"/>
        <item m="1" x="325"/>
        <item m="1" x="399"/>
        <item m="1" x="403"/>
        <item m="1" x="534"/>
        <item m="1" x="539"/>
        <item m="1" x="1037"/>
        <item m="1" x="1046"/>
        <item m="1" x="1095"/>
        <item m="1" x="1116"/>
        <item m="1" x="1122"/>
        <item m="1" x="1135"/>
        <item m="1" x="999"/>
        <item m="1" x="1010"/>
        <item m="1" x="1017"/>
        <item m="1" x="1021"/>
        <item m="1" x="1036"/>
        <item m="1" x="1044"/>
        <item m="1" x="1050"/>
        <item m="1" x="1061"/>
        <item m="1" x="1080"/>
        <item m="1" x="1093"/>
        <item m="1" x="1099"/>
        <item m="1" x="1134"/>
        <item m="1" x="581"/>
        <item m="1" x="586"/>
        <item m="1" x="587"/>
        <item m="1" x="589"/>
        <item m="1" x="590"/>
        <item m="1" x="592"/>
        <item m="1" x="597"/>
        <item m="1" x="599"/>
        <item m="1" x="606"/>
        <item m="1" x="608"/>
        <item m="1" x="610"/>
        <item m="1" x="611"/>
        <item m="1" x="278"/>
        <item m="1" x="284"/>
        <item m="1" x="292"/>
        <item m="1" x="299"/>
        <item m="1" x="413"/>
        <item m="1" x="418"/>
        <item m="1" x="419"/>
        <item m="1" x="427"/>
        <item m="1" x="431"/>
        <item m="1" x="646"/>
        <item m="1" x="651"/>
        <item m="1" x="653"/>
        <item m="1" x="656"/>
        <item m="1" x="657"/>
        <item m="1" x="659"/>
        <item m="1" x="662"/>
        <item m="1" x="664"/>
        <item m="1" x="671"/>
        <item m="1" x="688"/>
        <item m="1" x="691"/>
        <item m="1" x="696"/>
        <item m="1" x="699"/>
        <item m="1" x="706"/>
        <item m="1" x="709"/>
        <item m="1" x="714"/>
        <item m="1" x="719"/>
        <item m="1" x="720"/>
        <item m="1" x="724"/>
        <item m="1" x="728"/>
        <item m="1" x="729"/>
        <item m="1" x="733"/>
        <item m="1" x="738"/>
        <item m="1" x="740"/>
        <item m="1" x="1258"/>
        <item m="1" x="1264"/>
        <item m="1" x="1269"/>
        <item m="1" x="865"/>
        <item m="1" x="867"/>
        <item m="1" x="869"/>
        <item m="1" x="871"/>
        <item m="1" x="875"/>
        <item m="1" x="877"/>
        <item m="1" x="923"/>
        <item m="1" x="928"/>
        <item m="1" x="934"/>
        <item m="1" x="935"/>
        <item m="1" x="938"/>
        <item m="1" x="942"/>
        <item m="1" x="979"/>
        <item m="1" x="985"/>
        <item m="1" x="990"/>
        <item m="1" x="995"/>
        <item m="1" x="1000"/>
        <item m="1" x="762"/>
        <item m="1" x="765"/>
        <item m="1" x="767"/>
        <item m="1" x="769"/>
        <item m="1" x="772"/>
        <item m="1" x="774"/>
        <item m="1" x="440"/>
        <item m="1" x="446"/>
        <item m="1" x="1182"/>
        <item m="1" x="746"/>
        <item m="1" x="675"/>
        <item m="1" x="456"/>
        <item m="1" x="396"/>
        <item m="1" x="1059"/>
        <item m="1" x="462"/>
        <item m="1" x="290"/>
        <item m="1" x="444"/>
        <item m="1" x="495"/>
        <item m="1" x="457"/>
        <item m="1" x="371"/>
        <item m="1" x="475"/>
        <item m="1" x="388"/>
        <item m="1" x="432"/>
        <item m="1" x="293"/>
        <item m="1" x="348"/>
        <item m="1" x="498"/>
        <item m="1" x="1250"/>
        <item m="1" x="655"/>
        <item m="1" x="1246"/>
        <item m="1" x="453"/>
        <item m="1" x="1003"/>
        <item m="1" x="545"/>
        <item m="1" x="1293"/>
        <item m="1" x="833"/>
        <item m="1" x="1155"/>
        <item m="1" x="676"/>
        <item m="1" x="273"/>
        <item m="1" x="978"/>
        <item m="1" x="537"/>
        <item m="1" x="1281"/>
        <item m="1" x="698"/>
        <item m="1" x="806"/>
        <item m="1" x="670"/>
        <item m="1" x="271"/>
        <item m="1" x="974"/>
        <item m="1" x="1091"/>
        <item m="1" x="352"/>
        <item m="1" x="1297"/>
        <item m="1" x="737"/>
        <item m="1" x="1087"/>
        <item m="1" x="953"/>
        <item m="1" x="971"/>
        <item m="1" x="951"/>
        <item m="1" x="994"/>
        <item m="1" x="1187"/>
        <item m="1" x="551"/>
        <item m="1" x="715"/>
        <item m="1" x="272"/>
        <item m="1" x="1272"/>
        <item m="1" x="650"/>
        <item m="1" x="335"/>
        <item sd="0" m="1" x="1024"/>
        <item m="1" x="679"/>
        <item m="1" x="819"/>
        <item m="1" x="682"/>
        <item m="1" x="672"/>
        <item m="1" x="1238"/>
        <item m="1" x="368"/>
        <item m="1" x="526"/>
        <item m="1" x="991"/>
        <item m="1" x="1141"/>
        <item m="1" x="837"/>
        <item m="1" x="1162"/>
        <item m="1" x="687"/>
        <item m="1" x="792"/>
        <item m="1" x="362"/>
        <item m="1" x="1098"/>
        <item m="1" x="805"/>
        <item m="1" x="376"/>
        <item m="1" x="1118"/>
        <item m="1" x="1270"/>
        <item m="1" x="626"/>
        <item m="1" x="238"/>
        <item m="1" x="922"/>
        <item m="1" x="309"/>
        <item m="1" x="1137"/>
        <item m="1" x="1115"/>
        <item m="1" x="259"/>
        <item m="1" x="639"/>
        <item m="1" x="959"/>
        <item m="1" x="1267"/>
        <item m="1" x="500"/>
        <item m="1" x="1145"/>
        <item m="1" x="717"/>
        <item m="1" x="261"/>
        <item m="1" x="658"/>
        <item m="1" x="392"/>
        <item m="1" x="1283"/>
        <item m="1" x="411"/>
        <item m="1" x="489"/>
        <item m="1" x="1164"/>
        <item m="1" x="771"/>
        <item m="1" x="735"/>
        <item m="1" x="686"/>
        <item m="1" x="389"/>
        <item m="1" x="1066"/>
        <item m="1" x="546"/>
        <item m="1" x="677"/>
        <item m="1" x="929"/>
        <item m="1" x="595"/>
        <item m="1" x="274"/>
        <item m="1" x="1004"/>
        <item m="1" x="1295"/>
        <item m="1" x="327"/>
        <item m="1" x="469"/>
        <item m="1" x="572"/>
        <item m="1" x="747"/>
        <item m="1" x="1101"/>
        <item m="1" x="801"/>
        <item m="1" x="1261"/>
        <item m="1" x="1173"/>
        <item m="1" x="981"/>
        <item m="1" x="420"/>
        <item m="1" x="1156"/>
        <item m="1" x="1048"/>
        <item m="1" x="474"/>
        <item m="1" x="1081"/>
        <item m="1" x="876"/>
        <item m="1" x="577"/>
        <item m="1" x="199"/>
        <item m="1" x="868"/>
        <item m="1" x="997"/>
        <item m="1" x="1149"/>
        <item m="1" x="394"/>
        <item m="1" x="366"/>
        <item m="1" x="497"/>
        <item m="1" x="736"/>
        <item m="1" x="1144"/>
        <item m="1" x="266"/>
        <item m="1" x="1202"/>
        <item m="1" x="1241"/>
        <item m="1" x="275"/>
        <item m="1" x="984"/>
        <item m="1" x="540"/>
        <item m="1" x="962"/>
        <item m="1" x="523"/>
        <item m="1" x="1268"/>
        <item m="1" x="1126"/>
        <item m="1" x="268"/>
        <item m="1" x="255"/>
        <item m="1" x="1106"/>
        <item m="1" x="1287"/>
        <item m="1" x="993"/>
        <item m="1" x="505"/>
        <item m="1" x="282"/>
        <item m="1" x="398"/>
        <item m="1" x="708"/>
        <item m="1" x="468"/>
        <item m="1" x="1289"/>
        <item m="1" x="667"/>
        <item m="1" x="1060"/>
        <item m="1" x="1178"/>
        <item m="1" x="723"/>
        <item m="1" x="1216"/>
        <item m="1" x="996"/>
        <item m="1" x="1148"/>
        <item m="1" x="585"/>
        <item m="1" x="702"/>
        <item m="1" x="313"/>
        <item m="1" x="382"/>
        <item m="1" x="269"/>
        <item m="1" x="660"/>
        <item m="1" x="828"/>
        <item m="1" x="972"/>
        <item m="1" x="262"/>
        <item m="1" x="422"/>
        <item m="1" x="349"/>
        <item m="1" x="449"/>
        <item m="1" x="296"/>
        <item m="1" x="1166"/>
        <item m="1" x="415"/>
        <item m="1" x="433"/>
        <item m="1" x="860"/>
        <item m="1" x="402"/>
        <item m="1" x="1129"/>
        <item m="1" x="400"/>
        <item m="1" x="553"/>
        <item m="1" x="1167"/>
        <item m="1" x="556"/>
        <item m="1" x="1280"/>
        <item m="1" x="1121"/>
        <item m="1" x="1092"/>
        <item m="1" x="970"/>
        <item m="1" x="1169"/>
        <item m="1" x="1132"/>
        <item m="1" x="947"/>
        <item m="1" x="648"/>
        <item m="1" x="764"/>
        <item m="1" x="680"/>
        <item m="1" x="452"/>
        <item m="1" x="1127"/>
        <item m="1" x="785"/>
        <item m="1" x="210"/>
        <item m="1" x="858"/>
        <item m="1" x="1076"/>
        <item m="1" x="563"/>
        <item m="1" x="713"/>
        <item m="1" x="821"/>
        <item m="1" x="795"/>
        <item m="1" x="933"/>
        <item m="1" x="669"/>
        <item m="1" x="1143"/>
        <item m="1" x="1176"/>
        <item m="1" x="779"/>
        <item m="1" x="1168"/>
        <item m="1" x="302"/>
        <item m="1" x="840"/>
        <item m="1" x="187"/>
        <item m="1" x="831"/>
        <item m="1" x="673"/>
        <item m="1" x="384"/>
        <item m="1" x="543"/>
        <item m="1" x="711"/>
        <item m="1" x="544"/>
        <item m="1" x="1192"/>
        <item m="1" x="528"/>
        <item m="1" x="257"/>
        <item m="1" x="1147"/>
        <item m="1" x="1301"/>
        <item m="1" x="283"/>
        <item m="1" x="1018"/>
        <item m="1" x="533"/>
        <item m="1" x="377"/>
        <item m="1" x="357"/>
        <item m="1" x="529"/>
        <item m="1" x="690"/>
        <item m="1" x="387"/>
        <item m="1" x="253"/>
        <item m="1" x="784"/>
        <item m="1" x="548"/>
        <item m="1" x="1204"/>
        <item m="1" x="329"/>
        <item m="1" x="973"/>
        <item m="1" x="1240"/>
        <item m="1" x="409"/>
        <item m="1" x="1160"/>
        <item m="1" x="885"/>
        <item m="1" x="428"/>
        <item m="1" x="568"/>
        <item m="1" x="186"/>
        <item m="1" x="542"/>
        <item m="1" x="825"/>
        <item m="1" x="1286"/>
        <item m="1" x="383"/>
        <item m="1" x="450"/>
        <item m="1" x="350"/>
        <item m="1" x="780"/>
        <item m="1" x="813"/>
        <item m="1" x="558"/>
        <item m="1" x="237"/>
        <item m="1" x="678"/>
        <item m="1" x="1200"/>
        <item m="1" x="1006"/>
        <item m="1" x="461"/>
        <item m="1" x="270"/>
        <item m="1" x="491"/>
        <item m="1" x="600"/>
        <item m="1" x="894"/>
        <item m="1" x="1015"/>
        <item m="1" x="538"/>
        <item m="1" x="235"/>
        <item m="1" x="578"/>
        <item m="1" x="200"/>
        <item m="1" x="1235"/>
        <item m="1" x="477"/>
        <item m="1" x="1227"/>
        <item m="1" x="483"/>
        <item m="1" x="353"/>
        <item m="1" x="617"/>
        <item m="1" x="514"/>
        <item m="1" x="1013"/>
        <item m="1" x="555"/>
        <item m="1" x="185"/>
        <item m="1" x="241"/>
        <item m="1" x="859"/>
        <item m="1" x="643"/>
        <item m="1" x="1165"/>
        <item m="1" x="1256"/>
        <item m="1" x="416"/>
        <item m="1" x="620"/>
        <item m="1" x="230"/>
        <item m="1" x="448"/>
        <item m="1" x="1199"/>
        <item m="1" x="878"/>
        <item m="1" x="761"/>
        <item m="1" x="914"/>
        <item m="1" x="751"/>
        <item m="1" x="344"/>
        <item m="1" x="202"/>
        <item m="1" x="900"/>
        <item m="1" x="616"/>
        <item m="1" x="1214"/>
        <item m="1" x="768"/>
        <item m="1" x="582"/>
        <item m="1" x="219"/>
        <item m="1" x="231"/>
        <item m="1" x="812"/>
        <item m="1" x="1209"/>
        <item m="1" x="750"/>
        <item m="1" x="829"/>
        <item m="1" x="300"/>
        <item m="1" x="386"/>
        <item m="1" x="494"/>
        <item m="1" x="1114"/>
        <item m="1" x="936"/>
        <item m="1" x="638"/>
        <item m="1" x="1183"/>
        <item m="1" x="1117"/>
        <item m="1" x="641"/>
        <item m="1" x="870"/>
        <item m="1" x="1075"/>
        <item m="1" x="879"/>
        <item m="1" x="1026"/>
        <item m="1" x="232"/>
        <item m="1" x="341"/>
        <item m="1" x="666"/>
        <item m="1" x="1259"/>
        <item m="1" x="530"/>
        <item m="1" x="380"/>
        <item m="1" x="512"/>
        <item m="1" x="1277"/>
        <item m="1" x="531"/>
        <item m="1" x="217"/>
        <item m="1" x="443"/>
        <item m="1" x="1179"/>
        <item m="1" x="1089"/>
        <item m="1" x="482"/>
        <item m="1" x="298"/>
        <item m="1" x="915"/>
        <item m="1" x="851"/>
        <item m="1" x="605"/>
        <item m="1" x="509"/>
        <item m="1" x="1282"/>
        <item m="1" x="920"/>
        <item m="1" x="321"/>
        <item m="1" x="339"/>
        <item m="1" x="234"/>
        <item m="1" x="689"/>
        <item m="1" x="853"/>
        <item m="1" x="438"/>
        <item m="1" x="1151"/>
        <item m="1" x="1288"/>
        <item m="1" x="1011"/>
        <item m="1" x="308"/>
        <item m="1" x="975"/>
        <item m="1" x="808"/>
        <item m="1" x="950"/>
        <item m="1" x="1086"/>
        <item m="1" x="1056"/>
        <item m="1" x="1233"/>
        <item m="1" x="451"/>
        <item m="1" x="1073"/>
        <item m="1" x="331"/>
        <item m="1" x="410"/>
        <item m="1" x="1278"/>
        <item m="1" x="1276"/>
        <item m="1" x="836"/>
        <item m="1" x="372"/>
        <item m="1" x="760"/>
        <item m="1" x="1299"/>
        <item m="1" x="532"/>
        <item m="1" x="629"/>
        <item m="1" x="1225"/>
        <item m="1" x="815"/>
        <item m="1" x="260"/>
        <item m="1" x="385"/>
        <item m="1" x="414"/>
        <item m="1" x="1306"/>
        <item m="1" x="816"/>
        <item m="1" x="642"/>
        <item m="1" x="285"/>
        <item m="1" x="652"/>
        <item m="1" x="508"/>
        <item m="1" x="941"/>
        <item m="1" x="1042"/>
        <item m="1" x="375"/>
        <item m="1" x="221"/>
        <item m="1" x="902"/>
        <item m="1" x="603"/>
        <item m="1" x="1074"/>
        <item m="1" x="932"/>
        <item m="1" x="1128"/>
        <item m="1" x="925"/>
        <item m="1" x="1223"/>
        <item m="1" x="1189"/>
        <item m="1" x="701"/>
        <item m="1" x="254"/>
        <item m="1" x="980"/>
        <item m="1" x="624"/>
        <item m="1" x="1047"/>
        <item m="1" x="197"/>
        <item m="1" x="573"/>
        <item m="1" x="1217"/>
        <item m="1" x="988"/>
        <item m="1" x="1035"/>
        <item m="1" x="759"/>
        <item m="1" x="503"/>
        <item m="1" x="1251"/>
        <item m="1" x="790"/>
        <item m="1" x="705"/>
        <item m="1" x="1131"/>
        <item m="1" x="739"/>
        <item m="1" x="892"/>
        <item m="1" x="458"/>
        <item m="1" x="842"/>
        <item m="1" x="857"/>
        <item m="1" x="408"/>
        <item m="1" x="277"/>
        <item m="1" x="204"/>
        <item m="1" x="297"/>
        <item m="1" x="1022"/>
        <item m="1" x="437"/>
        <item m="1" x="1303"/>
        <item m="1" x="1097"/>
        <item m="1" x="447"/>
        <item m="1" x="625"/>
        <item m="1" x="730"/>
        <item m="1" x="236"/>
        <item m="1" x="1028"/>
        <item m="1" x="233"/>
        <item m="1" x="791"/>
        <item m="1" x="361"/>
        <item m="1" x="1110"/>
        <item m="1" x="787"/>
        <item m="1" x="700"/>
        <item m="1" x="1300"/>
        <item m="1" x="294"/>
        <item m="1" x="421"/>
        <item m="1" x="276"/>
        <item m="1" x="987"/>
        <item m="1" x="249"/>
        <item m="1" x="873"/>
        <item m="1" x="704"/>
        <item m="1" x="632"/>
        <item m="1" x="847"/>
        <item m="1" x="397"/>
        <item m="1" x="823"/>
        <item m="1" x="661"/>
        <item m="1" x="264"/>
        <item m="1" x="966"/>
        <item m="1" x="797"/>
        <item m="1" x="245"/>
        <item m="1" x="191"/>
        <item m="1" x="899"/>
        <item m="1" x="967"/>
        <item m="1" x="267"/>
        <item m="1" x="429"/>
        <item m="1" x="1184"/>
        <item m="1" x="492"/>
        <item m="1" x="1243"/>
        <item m="1" x="1150"/>
        <item m="1" x="1266"/>
        <item m="1" x="803"/>
        <item m="1" x="310"/>
        <item m="1" x="834"/>
        <item m="1" x="405"/>
        <item m="1" x="360"/>
        <item m="1" x="1094"/>
        <item m="1" x="215"/>
        <item m="1" x="895"/>
        <item m="1" x="488"/>
        <item m="1" x="1236"/>
        <item m="1" x="1082"/>
        <item m="1" x="1063"/>
        <item m="1" x="927"/>
        <item m="1" x="863"/>
        <item m="1" x="681"/>
        <item m="1" x="1102"/>
        <item m="1" x="631"/>
        <item m="1" x="766"/>
        <item m="1" x="926"/>
        <item m="1" x="634"/>
        <item m="1" x="908"/>
        <item m="1" x="1103"/>
        <item m="1" x="570"/>
        <item m="1" x="518"/>
        <item m="1" x="223"/>
        <item m="1" x="367"/>
        <item m="1" x="1038"/>
        <item m="1" x="315"/>
        <item m="1" x="442"/>
        <item m="1" x="1195"/>
        <item m="1" x="1025"/>
        <item m="1" x="244"/>
        <item m="1" x="561"/>
        <item m="1" x="591"/>
        <item m="1" x="1310"/>
        <item m="1" x="213"/>
        <item m="1" x="848"/>
        <item m="1" x="893"/>
        <item m="1" x="1175"/>
        <item m="1" x="909"/>
        <item m="1" x="295"/>
        <item m="1" x="225"/>
        <item m="1" x="567"/>
        <item m="1" x="593"/>
        <item m="1" x="1064"/>
        <item m="1" x="205"/>
        <item m="1" x="604"/>
        <item m="1" x="370"/>
        <item m="1" x="218"/>
        <item m="1" x="220"/>
        <item m="1" x="1105"/>
        <item m="1" x="1161"/>
        <item m="1" x="901"/>
        <item m="1" x="814"/>
        <item m="1" x="1215"/>
        <item m="1" x="381"/>
        <item m="1" x="752"/>
        <item m="1" x="247"/>
        <item m="1" x="1057"/>
        <item m="1" x="635"/>
        <item m="1" x="583"/>
        <item m="1" x="800"/>
        <item m="1" x="467"/>
        <item m="1" x="1279"/>
        <item m="1" x="484"/>
        <item m="1" x="818"/>
        <item m="1" x="1136"/>
        <item m="1" x="654"/>
        <item m="1" x="957"/>
        <item m="1" x="861"/>
        <item m="1" x="1307"/>
        <item m="1" x="337"/>
        <item m="1" x="588"/>
        <item m="1" x="291"/>
        <item m="1" x="1067"/>
        <item m="1" x="596"/>
        <item m="1" x="1053"/>
        <item m="1" x="354"/>
        <item m="1" x="786"/>
        <item m="1" x="924"/>
        <item m="1" x="490"/>
        <item m="1" x="1239"/>
        <item m="1" x="778"/>
        <item m="1" x="242"/>
        <item m="1" x="627"/>
        <item m="1" x="212"/>
        <item m="1" x="1311"/>
        <item m="1" x="849"/>
        <item m="1" x="423"/>
        <item m="1" x="340"/>
        <item m="1" x="1065"/>
        <item m="1" x="1298"/>
        <item m="1" x="550"/>
        <item m="1" x="685"/>
        <item m="1" x="911"/>
        <item m="1" x="479"/>
        <item m="1" x="1230"/>
        <item m="1" x="763"/>
        <item m="1" x="342"/>
        <item m="1" x="1069"/>
        <item m="1" x="198"/>
        <item m="1" x="227"/>
        <item m="1" x="404"/>
        <item m="1" x="674"/>
        <item m="1" x="937"/>
        <item m="1" x="499"/>
        <item m="1" x="248"/>
        <item m="1" x="535"/>
        <item m="1" x="906"/>
        <item m="1" x="206"/>
        <item m="1" x="1152"/>
        <item m="1" x="258"/>
        <item m="1" x="956"/>
        <item m="1" x="519"/>
        <item m="1" x="439"/>
        <item m="1" x="250"/>
        <item m="1" x="944"/>
        <item m="1" x="506"/>
        <item m="1" x="1253"/>
        <item m="1" x="794"/>
        <item m="1" x="364"/>
        <item m="1" x="1100"/>
        <item m="1" x="628"/>
        <item m="1" x="243"/>
        <item m="1" x="884"/>
        <item m="1" x="552"/>
        <item m="1" x="887"/>
        <item m="1" x="1007"/>
        <item m="1" x="560"/>
        <item m="1" x="1041"/>
        <item m="1" x="566"/>
        <item m="1" x="229"/>
        <item m="1" x="1232"/>
        <item m="1" x="1045"/>
        <item m="1" x="424"/>
        <item m="1" x="1234"/>
        <item m="1" x="770"/>
        <item m="1" x="913"/>
        <item m="1" x="576"/>
        <item m="1" x="345"/>
        <item m="1" x="1249"/>
        <item m="1" x="195"/>
        <item m="1" x="727"/>
        <item m="1" x="619"/>
        <item m="1" x="788"/>
        <item m="1" x="557"/>
        <item m="1" x="1312"/>
        <item m="1" x="318"/>
        <item m="1" x="417"/>
        <item m="1" x="1170"/>
        <item m="1" x="692"/>
        <item m="1" x="286"/>
        <item m="1" x="998"/>
        <item m="1" x="332"/>
        <item m="1" x="602"/>
        <item m="1" x="883"/>
        <item m="1" x="1284"/>
        <item m="1" x="820"/>
        <item m="1" x="393"/>
        <item m="1" x="1142"/>
        <item m="1" x="1085"/>
        <item m="1" x="615"/>
        <item m="1" x="209"/>
        <item m="1" x="378"/>
        <item m="1" x="521"/>
        <item m="1" x="1014"/>
        <item m="1" x="1123"/>
        <item m="1" x="304"/>
        <item m="1" x="683"/>
        <item m="1" x="841"/>
        <item m="1" x="279"/>
        <item m="1" x="554"/>
        <item m="1" x="707"/>
        <item m="1" x="190"/>
        <item m="1" x="1163"/>
        <item m="1" x="1302"/>
        <item m="1" x="1019"/>
        <item m="1" x="731"/>
        <item m="1" x="1207"/>
        <item m="1" x="952"/>
        <item m="1" x="1213"/>
        <item m="1" x="1186"/>
        <item m="1" x="281"/>
        <item m="1" x="598"/>
        <item m="1" x="455"/>
        <item m="1" x="510"/>
        <item m="1" x="1084"/>
        <item m="1" x="697"/>
        <item m="1" x="571"/>
        <item m="1" x="216"/>
        <item m="1" x="441"/>
        <item m="1" x="614"/>
        <item m="1" x="1040"/>
        <item m="1" x="799"/>
        <item m="1" x="744"/>
        <item m="1" x="369"/>
        <item m="1" x="326"/>
        <item m="1" x="949"/>
        <item m="1" x="193"/>
        <item m="1" x="1206"/>
        <item m="1" x="1255"/>
        <item m="1" x="1108"/>
        <item m="1" x="516"/>
        <item m="1" x="802"/>
        <item m="1" x="955"/>
        <item m="1" x="1265"/>
        <item m="1" x="373"/>
        <item m="1" x="725"/>
        <item m="1" x="478"/>
        <item m="1" x="314"/>
        <item m="1" x="1229"/>
        <item m="1" x="722"/>
        <item m="1" x="351"/>
        <item m="1" x="1023"/>
        <item m="1" x="910"/>
        <item m="1" x="316"/>
        <item m="1" x="1029"/>
        <item m="1" x="852"/>
        <item m="1" x="1146"/>
        <item m="1" x="430"/>
        <item m="1" x="1188"/>
        <item m="1" x="1032"/>
        <item m="1" x="565"/>
        <item m="1" x="1054"/>
        <item m="1" x="734"/>
        <item m="1" x="811"/>
        <item m="1" x="580"/>
        <item m="1" x="881"/>
        <item m="1" x="435"/>
        <item m="1" x="1068"/>
        <item m="1" x="1275"/>
        <item m="1" x="256"/>
        <item m="1" x="1260"/>
        <item m="1" x="356"/>
        <item m="1" x="789"/>
        <item m="1" x="663"/>
        <item m="1" x="564"/>
        <item m="1" x="338"/>
        <item m="1" x="459"/>
        <item m="1" x="758"/>
        <item m="1" x="822"/>
        <item m="1" x="395"/>
        <item m="1" x="513"/>
        <item m="1" x="201"/>
        <item m="1" x="880"/>
        <item m="1" x="1104"/>
        <item m="1" x="226"/>
        <item m="1" x="897"/>
        <item m="1" x="1313"/>
        <item m="1" x="783"/>
        <item m="1" x="712"/>
        <item m="1" x="854"/>
        <item m="1" x="436"/>
        <item m="1" x="649"/>
        <item m="1" x="317"/>
        <item m="1" x="480"/>
        <item m="1" x="465"/>
        <item m="1" x="196"/>
        <item m="1" x="487"/>
        <item m="1" x="473"/>
        <item m="1" x="520"/>
        <item m="1" x="502"/>
        <item m="1" x="753"/>
        <item m="1" x="721"/>
        <item m="1" x="741"/>
        <item m="1" x="695"/>
        <item m="1" x="958"/>
        <item m="1" x="1020"/>
        <item m="1" x="940"/>
        <item m="1" x="305"/>
        <item m="1" x="287"/>
        <item m="1" x="637"/>
        <item m="1" x="621"/>
        <item m="1" x="1012"/>
        <item m="1" x="607"/>
        <item m="1" x="916"/>
        <item m="1" x="982"/>
        <item m="1" x="992"/>
        <item m="1" x="969"/>
        <item m="1" x="609"/>
        <item m="1" x="623"/>
        <item m="1" x="1055"/>
        <item m="1" x="1034"/>
        <item m="1" x="1016"/>
        <item m="1" x="777"/>
        <item m="1" x="640"/>
        <item m="1" x="703"/>
        <item m="1" x="726"/>
        <item m="1" x="748"/>
        <item m="1" x="757"/>
        <item m="1" x="732"/>
        <item m="1" x="710"/>
        <item m="1" x="301"/>
        <item m="1" x="303"/>
        <item m="1" x="466"/>
        <item m="1" x="754"/>
        <item m="1" x="756"/>
        <item m="1" x="525"/>
        <item m="1" x="1005"/>
        <item m="1" x="1211"/>
        <item m="1" x="866"/>
        <item m="1" x="804"/>
        <item m="1" x="1052"/>
        <item m="1" x="1030"/>
        <item m="1" x="1219"/>
        <item m="1" x="1292"/>
        <item m="1" x="1285"/>
        <item m="1" x="1271"/>
        <item m="1" x="1196"/>
        <item m="1" x="630"/>
        <item m="1" x="1181"/>
        <item m="1" x="569"/>
        <item m="1" x="647"/>
        <item m="1" x="1228"/>
        <item m="1" x="1245"/>
        <item m="1" x="1222"/>
        <item m="1" x="549"/>
        <item m="1" x="434"/>
        <item m="1" x="1140"/>
        <item m="1" x="1212"/>
        <item m="1" x="889"/>
        <item m="1" x="963"/>
        <item m="1" x="324"/>
        <item m="1" x="214"/>
        <item m="1" x="307"/>
        <item m="1" x="454"/>
        <item m="1" x="562"/>
        <item m="1" x="636"/>
        <item m="1" x="946"/>
        <item m="1" x="470"/>
        <item m="1" x="579"/>
        <item m="1" x="365"/>
        <item m="1" x="845"/>
        <item m="1" x="1262"/>
        <item m="1" x="1294"/>
        <item m="1" x="1078"/>
        <item m="1" x="412"/>
        <item m="1" x="547"/>
        <item m="1" x="1158"/>
        <item m="1" x="288"/>
        <item m="1" x="798"/>
        <item m="1" x="485"/>
        <item m="1" x="1248"/>
        <item m="1" x="374"/>
        <item m="1" x="407"/>
        <item m="1" x="574"/>
        <item m="1" x="347"/>
        <item m="1" x="939"/>
        <item m="1" x="426"/>
        <item m="1" x="575"/>
        <item m="1" x="263"/>
        <item m="1" x="280"/>
        <item m="1" x="391"/>
        <item m="1" x="594"/>
        <item m="1" x="464"/>
        <item m="1" x="333"/>
        <item m="1" x="986"/>
        <item m="1" x="1224"/>
        <item m="1" x="807"/>
        <item m="1" x="644"/>
        <item m="1" x="633"/>
        <item m="1" x="613"/>
        <item m="1" x="645"/>
        <item m="1" x="1088"/>
        <item m="1" x="1254"/>
        <item m="1" x="251"/>
        <item m="1" x="1109"/>
        <item m="1" x="222"/>
        <item m="1" x="239"/>
        <item m="1" x="1071"/>
        <item m="1" x="1027"/>
        <item m="1" x="1049"/>
        <item m="1" x="1304"/>
        <item m="1" x="612"/>
        <item m="1" x="668"/>
        <item m="1" x="1226"/>
        <item m="1" x="1257"/>
        <item m="1" x="905"/>
        <item m="1" x="1274"/>
        <item m="1" x="1244"/>
        <item m="1" x="1291"/>
        <item m="1" x="1051"/>
        <item m="1" x="1174"/>
        <item m="1" x="1305"/>
        <item m="1" x="1154"/>
        <item m="1" x="1008"/>
        <item m="1" x="319"/>
        <item m="1" x="334"/>
        <item m="1" x="188"/>
        <item m="1" x="1273"/>
        <item m="1" x="207"/>
        <item m="1" x="1290"/>
        <item m="1" x="358"/>
        <item m="1" x="1180"/>
        <item m="1" x="501"/>
        <item m="1" x="1309"/>
        <item m="1" x="844"/>
        <item m="1" x="246"/>
        <item m="1" x="524"/>
        <item m="1" x="618"/>
        <item m="1" x="1009"/>
        <item m="1" x="1111"/>
        <item m="1" x="886"/>
        <item m="1" x="515"/>
        <item m="1" x="496"/>
        <item m="1" x="536"/>
        <item m="1" x="888"/>
        <item m="1" x="1090"/>
        <item m="1" x="904"/>
        <item m="1" x="1242"/>
        <item m="1" x="742"/>
        <item m="1" x="855"/>
        <item m="1" x="918"/>
        <item m="1" x="481"/>
        <item m="1" x="559"/>
        <item m="1" x="189"/>
        <item m="1" x="265"/>
        <item m="1" x="390"/>
        <item m="1" x="961"/>
        <item m="1" x="517"/>
        <item m="1" x="856"/>
        <item m="1" x="1072"/>
        <item m="1" x="1133"/>
        <item m="1" x="716"/>
        <item m="1" x="425"/>
        <item m="1" x="1153"/>
        <item m="1" x="1172"/>
        <item m="1" x="1194"/>
        <item m="1" x="1208"/>
        <item m="1" x="1096"/>
        <item m="1" x="584"/>
        <item m="1" x="445"/>
        <item m="1" x="240"/>
        <item m="1" x="252"/>
        <item m="1" x="838"/>
        <item m="1" x="693"/>
        <item m="1" x="224"/>
        <item m="1" x="775"/>
        <item m="1" x="1296"/>
        <item m="1" x="1033"/>
        <item m="1" x="194"/>
        <item m="1" x="228"/>
        <item m="1" x="289"/>
        <item m="1" x="810"/>
        <item m="1" x="830"/>
        <item m="1" x="745"/>
        <item m="1" x="782"/>
        <item m="1" x="694"/>
        <item m="1" x="312"/>
        <item m="1" x="864"/>
        <item m="1" x="208"/>
        <item m="1" x="755"/>
        <item m="1" x="776"/>
        <item m="1" x="919"/>
        <item m="1" x="824"/>
        <item m="1" x="718"/>
        <item m="1" x="743"/>
        <item m="1" x="809"/>
        <item m="1" x="839"/>
        <item m="1" x="601"/>
        <item m="1" x="541"/>
        <item m="1" x="472"/>
        <item m="1" x="346"/>
        <item m="1" x="379"/>
        <item m="1" x="1120"/>
        <item m="1" x="1203"/>
        <item m="1" x="507"/>
        <item m="1" x="527"/>
        <item m="1" x="7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9"/>
        <item x="40"/>
        <item x="41"/>
        <item x="42"/>
        <item x="43"/>
        <item x="44"/>
        <item x="45"/>
        <item x="48"/>
        <item x="49"/>
        <item x="50"/>
        <item x="51"/>
        <item x="60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90"/>
        <item x="92"/>
        <item x="93"/>
        <item x="94"/>
        <item x="96"/>
        <item x="104"/>
        <item x="105"/>
        <item x="106"/>
        <item x="107"/>
        <item x="108"/>
        <item x="109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8"/>
        <item x="139"/>
        <item x="142"/>
        <item x="144"/>
        <item x="146"/>
        <item x="147"/>
        <item x="148"/>
        <item x="149"/>
        <item x="150"/>
        <item x="156"/>
        <item x="157"/>
        <item x="158"/>
        <item x="160"/>
        <item x="161"/>
        <item x="162"/>
        <item x="183"/>
        <item x="164"/>
        <item x="165"/>
        <item x="167"/>
        <item x="170"/>
        <item x="174"/>
        <item x="176"/>
        <item x="178"/>
        <item x="22"/>
        <item x="35"/>
        <item x="36"/>
        <item x="37"/>
        <item x="38"/>
        <item x="46"/>
        <item x="47"/>
        <item x="52"/>
        <item x="53"/>
        <item x="54"/>
        <item x="55"/>
        <item x="56"/>
        <item x="57"/>
        <item x="59"/>
        <item x="82"/>
        <item x="83"/>
        <item x="84"/>
        <item x="85"/>
        <item x="86"/>
        <item x="95"/>
        <item x="99"/>
        <item x="101"/>
        <item x="110"/>
        <item x="111"/>
        <item x="143"/>
        <item x="145"/>
        <item x="152"/>
        <item x="153"/>
        <item x="163"/>
        <item x="97"/>
        <item x="168"/>
        <item x="171"/>
        <item x="173"/>
        <item x="175"/>
        <item x="177"/>
        <item x="179"/>
        <item x="180"/>
        <item x="181"/>
        <item x="182"/>
        <item x="58"/>
        <item x="87"/>
        <item x="98"/>
        <item x="141"/>
        <item x="166"/>
        <item x="68"/>
        <item x="88"/>
        <item x="89"/>
        <item x="91"/>
        <item m="1" x="355"/>
        <item x="103"/>
        <item x="112"/>
        <item x="113"/>
        <item x="136"/>
        <item x="137"/>
        <item x="140"/>
        <item m="1" x="184"/>
        <item x="154"/>
        <item x="155"/>
        <item x="159"/>
        <item x="69"/>
        <item x="100"/>
        <item x="134"/>
        <item x="169"/>
        <item x="172"/>
        <item x="102"/>
        <item x="1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9">
        <item m="1" x="27"/>
        <item x="0"/>
        <item m="1" x="28"/>
        <item m="1" x="34"/>
        <item x="5"/>
        <item m="1" x="24"/>
        <item x="1"/>
        <item m="1" x="36"/>
        <item m="1" x="12"/>
        <item x="3"/>
        <item m="1" x="26"/>
        <item m="1" x="11"/>
        <item x="8"/>
        <item x="2"/>
        <item x="9"/>
        <item x="10"/>
        <item m="1" x="22"/>
        <item m="1" x="23"/>
        <item m="1" x="38"/>
        <item m="1" x="15"/>
        <item x="6"/>
        <item m="1" x="35"/>
        <item m="1" x="20"/>
        <item m="1" x="31"/>
        <item m="1" x="17"/>
        <item m="1" x="19"/>
        <item m="1" x="33"/>
        <item m="1" x="18"/>
        <item m="1" x="21"/>
        <item m="1" x="14"/>
        <item m="1" x="30"/>
        <item m="1" x="29"/>
        <item m="1" x="16"/>
        <item m="1" x="32"/>
        <item m="1" x="13"/>
        <item m="1" x="25"/>
        <item m="1" x="37"/>
        <item x="4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13"/>
        <item x="3"/>
        <item x="0"/>
        <item x="1"/>
        <item x="2"/>
        <item x="4"/>
        <item x="5"/>
        <item x="6"/>
        <item x="8"/>
        <item x="9"/>
        <item x="10"/>
        <item x="11"/>
        <item x="7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42">
        <item m="1" x="929"/>
        <item m="1" x="953"/>
        <item m="1" x="1042"/>
        <item m="1" x="1142"/>
        <item m="1" x="1264"/>
        <item m="1" x="883"/>
        <item m="1" x="1080"/>
        <item m="1" x="880"/>
        <item m="1" x="1024"/>
        <item m="1" x="1500"/>
        <item m="1" x="1428"/>
        <item m="1" x="1011"/>
        <item m="1" x="889"/>
        <item m="1" x="949"/>
        <item m="1" x="434"/>
        <item m="1" x="331"/>
        <item m="1" x="830"/>
        <item m="1" x="320"/>
        <item m="1" x="354"/>
        <item m="1" x="558"/>
        <item m="1" x="512"/>
        <item m="1" x="583"/>
        <item m="1" x="840"/>
        <item m="1" x="913"/>
        <item m="1" x="854"/>
        <item m="1" x="630"/>
        <item m="1" x="1103"/>
        <item m="1" x="677"/>
        <item m="1" x="794"/>
        <item m="1" x="706"/>
        <item m="1" x="853"/>
        <item m="1" x="1318"/>
        <item m="1" x="1464"/>
        <item m="1" x="1621"/>
        <item m="1" x="1757"/>
        <item m="1" x="1345"/>
        <item m="1" x="1792"/>
        <item m="1" x="229"/>
        <item m="1" x="1127"/>
        <item m="1" x="1088"/>
        <item m="1" x="1067"/>
        <item m="1" x="1239"/>
        <item m="1" x="1295"/>
        <item m="1" x="1444"/>
        <item m="1" x="1164"/>
        <item m="1" x="1389"/>
        <item m="1" x="1534"/>
        <item m="1" x="1686"/>
        <item m="1" x="1828"/>
        <item m="1" x="289"/>
        <item m="1" x="404"/>
        <item m="1" x="1498"/>
        <item m="1" x="1658"/>
        <item m="1" x="1525"/>
        <item m="1" x="1677"/>
        <item m="1" x="1819"/>
        <item m="1" x="280"/>
        <item m="1" x="397"/>
        <item m="1" x="479"/>
        <item m="1" x="541"/>
        <item m="1" x="502"/>
        <item m="1" x="471"/>
        <item m="1" x="613"/>
        <item m="1" x="543"/>
        <item m="1" x="1115"/>
        <item m="1" x="779"/>
        <item m="1" x="692"/>
        <item m="1" x="838"/>
        <item m="1" x="1337"/>
        <item m="1" x="807"/>
        <item m="1" x="544"/>
        <item m="1" x="580"/>
        <item m="1" x="972"/>
        <item m="1" x="494"/>
        <item m="1" x="493"/>
        <item m="1" x="456"/>
        <item m="1" x="850"/>
        <item m="1" x="940"/>
        <item m="1" x="1184"/>
        <item m="1" x="1126"/>
        <item m="1" x="1168"/>
        <item m="1" x="1114"/>
        <item m="1" x="1195"/>
        <item m="1" x="1291"/>
        <item m="1" x="1246"/>
        <item m="1" x="1319"/>
        <item m="1" x="1388"/>
        <item m="1" x="1465"/>
        <item m="1" x="1533"/>
        <item m="1" x="1622"/>
        <item m="1" x="1685"/>
        <item m="1" x="1758"/>
        <item m="1" x="965"/>
        <item m="1" x="815"/>
        <item m="1" x="701"/>
        <item m="1" x="1182"/>
        <item m="1" x="1508"/>
        <item m="1" x="1190"/>
        <item m="1" x="395"/>
        <item m="1" x="1193"/>
        <item m="1" x="728"/>
        <item m="1" x="849"/>
        <item m="1" x="1778"/>
        <item m="1" x="243"/>
        <item m="1" x="369"/>
        <item m="1" x="1317"/>
        <item m="1" x="533"/>
        <item m="1" x="1338"/>
        <item m="1" x="1816"/>
        <item m="1" x="1019"/>
        <item m="1" x="1054"/>
        <item m="1" x="1771"/>
        <item m="1" x="1701"/>
        <item m="1" x="1007"/>
        <item m="1" x="1770"/>
        <item m="1" x="966"/>
        <item m="1" x="1744"/>
        <item m="1" x="1552"/>
        <item m="1" x="1647"/>
        <item m="1" x="1059"/>
        <item m="1" x="876"/>
        <item m="1" x="496"/>
        <item m="1" x="396"/>
        <item m="1" x="1249"/>
        <item m="1" x="1288"/>
        <item m="1" x="366"/>
        <item m="1" x="301"/>
        <item m="1" x="1229"/>
        <item m="1" x="364"/>
        <item m="1" x="1159"/>
        <item m="1" x="341"/>
        <item m="1" x="247"/>
        <item m="1" x="572"/>
        <item m="1" x="530"/>
        <item m="1" x="606"/>
        <item m="1" x="570"/>
        <item m="1" x="681"/>
        <item m="1" x="643"/>
        <item m="1" x="768"/>
        <item m="1" x="766"/>
        <item m="1" x="652"/>
        <item m="1" x="734"/>
        <item m="1" x="811"/>
        <item m="1" x="676"/>
        <item m="1" x="744"/>
        <item m="1" x="1611"/>
        <item m="1" x="454"/>
        <item m="1" x="1223"/>
        <item m="1" x="1175"/>
        <item m="1" x="1353"/>
        <item m="1" x="1309"/>
        <item m="1" x="1499"/>
        <item m="1" x="1458"/>
        <item m="1" x="1279"/>
        <item m="1" x="1240"/>
        <item m="1" x="1426"/>
        <item m="1" x="1381"/>
        <item m="1" x="1265"/>
        <item m="1" x="1554"/>
        <item m="1" x="1293"/>
        <item m="1" x="1441"/>
        <item m="1" x="1597"/>
        <item m="1" x="1738"/>
        <item m="1" x="212"/>
        <item m="1" x="338"/>
        <item m="1" x="437"/>
        <item m="1" x="517"/>
        <item m="1" x="589"/>
        <item m="1" x="1170"/>
        <item m="1" x="1300"/>
        <item m="1" x="1451"/>
        <item m="1" x="1603"/>
        <item m="1" x="1745"/>
        <item m="1" x="219"/>
        <item m="1" x="342"/>
        <item m="1" x="442"/>
        <item m="1" x="522"/>
        <item m="1" x="594"/>
        <item m="1" x="1178"/>
        <item m="1" x="1312"/>
        <item m="1" x="1460"/>
        <item m="1" x="1614"/>
        <item m="1" x="1377"/>
        <item m="1" x="1400"/>
        <item m="1" x="1472"/>
        <item m="1" x="1545"/>
        <item m="1" x="1401"/>
        <item m="1" x="1435"/>
        <item m="1" x="1477"/>
        <item m="1" x="1637"/>
        <item m="1" x="1620"/>
        <item m="1" x="1555"/>
        <item m="1" x="1755"/>
        <item m="1" x="1705"/>
        <item m="1" x="227"/>
        <item m="1" x="182"/>
        <item m="1" x="309"/>
        <item m="1" x="417"/>
        <item m="1" x="1539"/>
        <item m="1" x="1503"/>
        <item m="1" x="1696"/>
        <item m="1" x="1663"/>
        <item m="1" x="1838"/>
        <item m="1" x="1804"/>
        <item m="1" x="267"/>
        <item m="1" x="440"/>
        <item m="1" x="515"/>
        <item m="1" x="520"/>
        <item m="1" x="591"/>
        <item m="1" x="546"/>
        <item m="1" x="620"/>
        <item m="1" x="697"/>
        <item m="1" x="1683"/>
        <item m="1" x="897"/>
        <item m="1" x="1825"/>
        <item m="1" x="994"/>
        <item m="1" x="285"/>
        <item m="1" x="1093"/>
        <item m="1" x="400"/>
        <item m="1" x="1209"/>
        <item m="1" x="740"/>
        <item m="1" x="821"/>
        <item m="1" x="900"/>
        <item m="1" x="996"/>
        <item m="1" x="1098"/>
        <item m="1" x="1213"/>
        <item m="1" x="1346"/>
        <item m="1" x="179"/>
        <item m="1" x="307"/>
        <item m="1" x="416"/>
        <item m="1" x="495"/>
        <item m="1" x="571"/>
        <item m="1" x="644"/>
        <item m="1" x="204"/>
        <item m="1" x="1736"/>
        <item m="1" x="1082"/>
        <item m="1" x="1437"/>
        <item m="1" x="1592"/>
        <item m="1" x="1735"/>
        <item m="1" x="209"/>
        <item m="1" x="335"/>
        <item m="1" x="435"/>
        <item m="1" x="516"/>
        <item m="1" x="588"/>
        <item m="1" x="1488"/>
        <item m="1" x="1783"/>
        <item m="1" x="1665"/>
        <item m="1" x="245"/>
        <item m="1" x="1805"/>
        <item m="1" x="371"/>
        <item m="1" x="268"/>
        <item m="1" x="461"/>
        <item m="1" x="272"/>
        <item m="1" x="387"/>
        <item m="1" x="1749"/>
        <item m="1" x="1827"/>
        <item m="1" x="223"/>
        <item m="1" x="288"/>
        <item m="1" x="346"/>
        <item m="1" x="402"/>
        <item m="1" x="523"/>
        <item m="1" x="1760"/>
        <item m="1" x="230"/>
        <item m="1" x="356"/>
        <item m="1" x="449"/>
        <item m="1" x="1702"/>
        <item m="1" x="176"/>
        <item m="1" x="1367"/>
        <item m="1" x="1800"/>
        <item m="1" x="1514"/>
        <item m="1" x="263"/>
        <item m="1" x="869"/>
        <item m="1" x="1812"/>
        <item m="1" x="474"/>
        <item m="1" x="275"/>
        <item m="1" x="394"/>
        <item m="1" x="477"/>
        <item m="1" x="695"/>
        <item m="1" x="552"/>
        <item m="1" x="787"/>
        <item m="1" x="603"/>
        <item m="1" x="1281"/>
        <item m="1" x="1414"/>
        <item m="1" x="1285"/>
        <item m="1" x="1562"/>
        <item m="1" x="1433"/>
        <item m="1" x="438"/>
        <item m="1" x="513"/>
        <item m="1" x="518"/>
        <item m="1" x="587"/>
        <item m="1" x="590"/>
        <item m="1" x="659"/>
        <item m="1" x="1245"/>
        <item m="1" x="1162"/>
        <item m="1" x="1387"/>
        <item m="1" x="1294"/>
        <item m="1" x="1531"/>
        <item m="1" x="1442"/>
        <item m="1" x="1684"/>
        <item m="1" x="1598"/>
        <item m="1" x="1826"/>
        <item m="1" x="1739"/>
        <item m="1" x="286"/>
        <item m="1" x="213"/>
        <item m="1" x="401"/>
        <item m="1" x="339"/>
        <item m="1" x="482"/>
        <item m="1" x="439"/>
        <item m="1" x="556"/>
        <item m="1" x="519"/>
        <item m="1" x="1197"/>
        <item m="1" x="1330"/>
        <item m="1" x="1325"/>
        <item m="1" x="708"/>
        <item m="1" x="1470"/>
        <item m="1" x="795"/>
        <item m="1" x="1629"/>
        <item m="1" x="855"/>
        <item m="1" x="1767"/>
        <item m="1" x="951"/>
        <item m="1" x="780"/>
        <item m="1" x="727"/>
        <item m="1" x="839"/>
        <item m="1" x="804"/>
        <item m="1" x="928"/>
        <item m="1" x="868"/>
        <item m="1" x="1017"/>
        <item m="1" x="968"/>
        <item m="1" x="711"/>
        <item m="1" x="798"/>
        <item m="1" x="857"/>
        <item m="1" x="954"/>
        <item m="1" x="1044"/>
        <item m="1" x="1257"/>
        <item m="1" x="1403"/>
        <item m="1" x="1313"/>
        <item m="1" x="1461"/>
        <item m="1" x="1615"/>
        <item m="1" x="1752"/>
        <item m="1" x="1336"/>
        <item m="1" x="1385"/>
        <item m="1" x="1530"/>
        <item m="1" x="1682"/>
        <item m="1" x="1532"/>
        <item m="1" x="1438"/>
        <item m="1" x="1588"/>
        <item m="1" x="1593"/>
        <item m="1" x="1731"/>
        <item m="1" x="1612"/>
        <item m="1" x="1750"/>
        <item m="1" x="224"/>
        <item m="1" x="347"/>
        <item m="1" x="444"/>
        <item m="1" x="521"/>
        <item m="1" x="1606"/>
        <item m="1" x="1747"/>
        <item m="1" x="221"/>
        <item m="1" x="344"/>
        <item m="1" x="443"/>
        <item m="1" x="1540"/>
        <item m="1" x="1733"/>
        <item m="1" x="1586"/>
        <item m="1" x="207"/>
        <item m="1" x="1840"/>
        <item m="1" x="206"/>
        <item m="1" x="432"/>
        <item m="1" x="411"/>
        <item m="1" x="330"/>
        <item m="1" x="1543"/>
        <item m="1" x="514"/>
        <item m="1" x="490"/>
        <item m="1" x="568"/>
        <item m="1" x="684"/>
        <item m="1" x="767"/>
        <item m="1" x="770"/>
        <item m="1" x="832"/>
        <item m="1" x="303"/>
        <item m="1" x="745"/>
        <item m="1" x="724"/>
        <item m="1" x="656"/>
        <item m="1" x="810"/>
        <item m="1" x="1490"/>
        <item m="1" x="1645"/>
        <item m="1" x="1776"/>
        <item m="1" x="848"/>
        <item m="1" x="1443"/>
        <item m="1" x="1404"/>
        <item m="1" x="1287"/>
        <item m="1" x="1582"/>
        <item m="1" x="1547"/>
        <item m="1" x="1740"/>
        <item m="1" x="1703"/>
        <item m="1" x="177"/>
        <item m="1" x="340"/>
        <item m="1" x="304"/>
        <item m="1" x="1638"/>
        <item m="1" x="1777"/>
        <item m="1" x="242"/>
        <item m="1" x="368"/>
        <item m="1" x="458"/>
        <item m="1" x="531"/>
        <item m="1" x="607"/>
        <item m="1" x="1756"/>
        <item m="1" x="946"/>
        <item m="1" x="228"/>
        <item m="1" x="1036"/>
        <item m="1" x="353"/>
        <item m="1" x="1147"/>
        <item m="1" x="447"/>
        <item m="1" x="1270"/>
        <item m="1" x="525"/>
        <item m="1" x="1419"/>
        <item m="1" x="596"/>
        <item m="1" x="1569"/>
        <item m="1" x="665"/>
        <item m="1" x="1717"/>
        <item m="1" x="974"/>
        <item m="1" x="1066"/>
        <item m="1" x="1179"/>
        <item m="1" x="1314"/>
        <item m="1" x="537"/>
        <item m="1" x="488"/>
        <item m="1" x="1616"/>
        <item m="1" x="687"/>
        <item m="1" x="637"/>
        <item m="1" x="776"/>
        <item m="1" x="721"/>
        <item m="1" x="350"/>
        <item m="1" x="873"/>
        <item m="1" x="365"/>
        <item m="1" x="180"/>
        <item m="1" x="1548"/>
        <item m="1" x="1633"/>
        <item m="1" x="1813"/>
        <item m="1" x="178"/>
        <item m="1" x="305"/>
        <item m="1" x="413"/>
        <item m="1" x="1699"/>
        <item m="1" x="1594"/>
        <item m="1" x="1631"/>
        <item m="1" x="1768"/>
        <item m="1" x="239"/>
        <item m="1" x="361"/>
        <item m="1" x="1697"/>
        <item m="1" x="1839"/>
        <item m="1" x="298"/>
        <item m="1" x="410"/>
        <item m="1" x="489"/>
        <item m="1" x="567"/>
        <item m="1" x="638"/>
        <item m="1" x="1789"/>
        <item m="1" x="1714"/>
        <item m="1" x="252"/>
        <item m="1" x="190"/>
        <item m="1" x="376"/>
        <item m="1" x="314"/>
        <item m="1" x="1150"/>
        <item m="1" x="1273"/>
        <item m="1" x="1422"/>
        <item m="1" x="1218"/>
        <item m="1" x="1139"/>
        <item m="1" x="1027"/>
        <item m="1" x="622"/>
        <item m="1" x="1271"/>
        <item m="1" x="1280"/>
        <item m="1" x="1202"/>
        <item m="1" x="660"/>
        <item m="1" x="1301"/>
        <item m="1" x="828"/>
        <item m="1" x="1420"/>
        <item m="1" x="914"/>
        <item m="1" x="1571"/>
        <item m="1" x="1006"/>
        <item m="1" x="1720"/>
        <item m="1" x="1110"/>
        <item m="1" x="194"/>
        <item m="1" x="1227"/>
        <item m="1" x="317"/>
        <item m="1" x="1362"/>
        <item m="1" x="421"/>
        <item m="1" x="1506"/>
        <item m="1" x="500"/>
        <item m="1" x="1492"/>
        <item m="1" x="1408"/>
        <item m="1" x="1651"/>
        <item m="1" x="1553"/>
        <item m="1" x="1790"/>
        <item m="1" x="1704"/>
        <item m="1" x="253"/>
        <item m="1" x="181"/>
        <item m="1" x="377"/>
        <item m="1" x="308"/>
        <item m="1" x="1493"/>
        <item m="1" x="1652"/>
        <item m="1" x="1791"/>
        <item m="1" x="254"/>
        <item m="1" x="378"/>
        <item m="1" x="463"/>
        <item m="1" x="538"/>
        <item m="1" x="611"/>
        <item m="1" x="863"/>
        <item m="1" x="963"/>
        <item m="1" x="1511"/>
        <item m="1" x="1670"/>
        <item m="1" x="1808"/>
        <item m="1" x="273"/>
        <item m="1" x="391"/>
        <item m="1" x="475"/>
        <item m="1" x="549"/>
        <item m="1" x="624"/>
        <item m="1" x="936"/>
        <item m="1" x="1022"/>
        <item m="1" x="1133"/>
        <item m="1" x="1679"/>
        <item m="1" x="1821"/>
        <item m="1" x="282"/>
        <item m="1" x="398"/>
        <item m="1" x="480"/>
        <item m="1" x="1710"/>
        <item m="1" x="186"/>
        <item m="1" x="1479"/>
        <item m="1" x="1623"/>
        <item m="1" x="997"/>
        <item m="1" x="1099"/>
        <item m="1" x="1214"/>
        <item m="1" x="448"/>
        <item m="1" x="467"/>
        <item m="1" x="1728"/>
        <item m="1" x="1640"/>
        <item m="1" x="201"/>
        <item m="1" x="1780"/>
        <item m="1" x="664"/>
        <item m="1" x="750"/>
        <item m="1" x="752"/>
        <item m="1" x="819"/>
        <item m="1" x="631"/>
        <item m="1" x="661"/>
        <item m="1" x="709"/>
        <item m="1" x="796"/>
        <item m="1" x="816"/>
        <item m="1" x="856"/>
        <item m="1" x="651"/>
        <item m="1" x="733"/>
        <item m="1" x="666"/>
        <item m="1" x="753"/>
        <item m="1" x="822"/>
        <item m="1" x="901"/>
        <item m="1" x="1174"/>
        <item m="1" x="1306"/>
        <item m="1" x="1255"/>
        <item m="1" x="1402"/>
        <item m="1" x="1546"/>
        <item m="1" x="1356"/>
        <item m="1" x="1263"/>
        <item m="1" x="1235"/>
        <item m="1" x="1501"/>
        <item m="1" x="1415"/>
        <item m="1" x="1373"/>
        <item m="1" x="1661"/>
        <item m="1" x="1563"/>
        <item m="1" x="1519"/>
        <item m="1" x="1801"/>
        <item m="1" x="1709"/>
        <item m="1" x="1674"/>
        <item m="1" x="264"/>
        <item m="1" x="185"/>
        <item m="1" x="1814"/>
        <item m="1" x="386"/>
        <item m="1" x="312"/>
        <item m="1" x="278"/>
        <item m="1" x="1340"/>
        <item m="1" x="1482"/>
        <item m="1" x="1646"/>
        <item m="1" x="1784"/>
        <item m="1" x="246"/>
        <item m="1" x="372"/>
        <item m="1" x="1416"/>
        <item m="1" x="1374"/>
        <item m="1" x="1564"/>
        <item m="1" x="1520"/>
        <item m="1" x="1452"/>
        <item m="1" x="1604"/>
        <item m="1" x="1483"/>
        <item m="1" x="1375"/>
        <item m="1" x="1497"/>
        <item m="1" x="1538"/>
        <item m="1" x="1376"/>
        <item m="1" x="1657"/>
        <item m="1" x="1691"/>
        <item m="1" x="1521"/>
        <item m="1" x="1729"/>
        <item m="1" x="1761"/>
        <item m="1" x="1605"/>
        <item m="1" x="231"/>
        <item m="1" x="1746"/>
        <item m="1" x="328"/>
        <item m="1" x="357"/>
        <item m="1" x="220"/>
        <item m="1" x="450"/>
        <item m="1" x="343"/>
        <item m="1" x="1764"/>
        <item m="1" x="1794"/>
        <item m="1" x="1641"/>
        <item m="1" x="235"/>
        <item m="1" x="257"/>
        <item m="1" x="1781"/>
        <item m="1" x="1795"/>
        <item m="1" x="1831"/>
        <item m="1" x="1675"/>
        <item m="1" x="1154"/>
        <item m="1" x="619"/>
        <item m="1" x="696"/>
        <item m="1" x="1427"/>
        <item m="1" x="788"/>
        <item m="1" x="1580"/>
        <item m="1" x="846"/>
        <item m="1" x="934"/>
        <item m="1" x="199"/>
        <item m="1" x="1021"/>
        <item m="1" x="1199"/>
        <item m="1" x="1332"/>
        <item m="1" x="1635"/>
        <item m="1" x="1775"/>
        <item m="1" x="1252"/>
        <item m="1" x="801"/>
        <item m="1" x="861"/>
        <item m="1" x="962"/>
        <item m="1" x="1050"/>
        <item m="1" x="1157"/>
        <item m="1" x="1282"/>
        <item m="1" x="1430"/>
        <item m="1" x="1585"/>
        <item m="1" x="642"/>
        <item m="1" x="726"/>
        <item m="1" x="803"/>
        <item m="1" x="866"/>
        <item m="1" x="967"/>
        <item m="1" x="1053"/>
        <item m="1" x="1160"/>
        <item m="1" x="1286"/>
        <item m="1" x="1307"/>
        <item m="1" x="1457"/>
        <item m="1" x="1610"/>
        <item m="1" x="1476"/>
        <item m="1" x="1636"/>
        <item m="1" x="1423"/>
        <item m="1" x="1574"/>
        <item m="1" x="843"/>
        <item m="1" x="1258"/>
        <item m="1" x="932"/>
        <item m="1" x="1405"/>
        <item m="1" x="1550"/>
        <item m="1" x="824"/>
        <item m="1" x="907"/>
        <item m="1" x="1000"/>
        <item m="1" x="833"/>
        <item m="1" x="917"/>
        <item m="1" x="1008"/>
        <item m="1" x="1113"/>
        <item m="1" x="1741"/>
        <item m="1" x="214"/>
        <item m="1" x="1407"/>
        <item m="1" x="1551"/>
        <item m="1" x="826"/>
        <item m="1" x="1626"/>
        <item m="1" x="1003"/>
        <item m="1" x="1106"/>
        <item m="1" x="1224"/>
        <item m="1" x="1357"/>
        <item m="1" x="1502"/>
        <item m="1" x="1662"/>
        <item m="1" x="1802"/>
        <item m="1" x="763"/>
        <item m="1" x="829"/>
        <item m="1" x="915"/>
        <item m="1" x="1823"/>
        <item m="1" x="279"/>
        <item m="1" x="284"/>
        <item m="1" x="399"/>
        <item m="1" x="478"/>
        <item m="1" x="550"/>
        <item m="1" x="481"/>
        <item m="1" x="553"/>
        <item m="1" x="625"/>
        <item m="1" x="937"/>
        <item m="1" x="877"/>
        <item m="1" x="1625"/>
        <item m="1" x="1537"/>
        <item m="1" x="1023"/>
        <item m="1" x="983"/>
        <item m="1" x="1762"/>
        <item m="1" x="1690"/>
        <item m="1" x="1134"/>
        <item m="1" x="1079"/>
        <item m="1" x="233"/>
        <item m="1" x="1830"/>
        <item m="1" x="1806"/>
        <item m="1" x="1480"/>
        <item m="1" x="890"/>
        <item m="1" x="269"/>
        <item m="1" x="1642"/>
        <item m="1" x="988"/>
        <item m="1" x="390"/>
        <item m="1" x="1782"/>
        <item m="1" x="1086"/>
        <item m="1" x="1724"/>
        <item m="1" x="1655"/>
        <item m="1" x="195"/>
        <item m="1" x="1798"/>
        <item m="1" x="323"/>
        <item m="1" x="256"/>
        <item m="1" x="422"/>
        <item m="1" x="424"/>
        <item m="1" x="380"/>
        <item m="1" x="501"/>
        <item m="1" x="505"/>
        <item m="1" x="468"/>
        <item m="1" x="575"/>
        <item m="1" x="1016"/>
        <item m="1" x="1056"/>
        <item m="1" x="1087"/>
        <item m="1" x="1228"/>
        <item m="1" x="1076"/>
        <item m="1" x="977"/>
        <item m="1" x="1094"/>
        <item m="1" x="1032"/>
        <item m="1" x="989"/>
        <item m="1" x="943"/>
        <item m="1" x="938"/>
        <item m="1" x="882"/>
        <item m="1" x="1145"/>
        <item m="1" x="1121"/>
        <item m="1" x="1382"/>
        <item m="1" x="1166"/>
        <item m="1" x="1397"/>
        <item m="1" x="1392"/>
        <item m="1" x="1617"/>
        <item m="1" x="1333"/>
        <item m="1" x="1256"/>
        <item m="1" x="1028"/>
        <item m="1" x="1131"/>
        <item m="1" x="623"/>
        <item m="1" x="1163"/>
        <item m="1" x="1630"/>
        <item m="1" x="1772"/>
        <item m="1" x="1693"/>
        <item m="1" x="1660"/>
        <item m="1" x="1835"/>
        <item m="1" x="1797"/>
        <item m="1" x="295"/>
        <item m="1" x="262"/>
        <item m="1" x="385"/>
        <item m="1" x="618"/>
        <item m="1" x="693"/>
        <item m="1" x="785"/>
        <item m="1" x="302"/>
        <item m="1" x="415"/>
        <item m="1" x="492"/>
        <item m="1" x="569"/>
        <item m="1" x="641"/>
        <item m="1" x="725"/>
        <item m="1" x="1694"/>
        <item m="1" x="205"/>
        <item m="1" x="1727"/>
        <item m="1" x="329"/>
        <item m="1" x="296"/>
        <item m="1" x="326"/>
        <item m="1" x="510"/>
        <item m="1" x="487"/>
        <item m="1" x="425"/>
        <item m="1" x="1695"/>
        <item m="1" x="585"/>
        <item m="1" x="565"/>
        <item m="1" x="636"/>
        <item m="1" x="911"/>
        <item m="1" x="1004"/>
        <item m="1" x="408"/>
        <item m="1" x="814"/>
        <item m="1" x="799"/>
        <item m="1" x="735"/>
        <item m="1" x="240"/>
        <item m="1" x="939"/>
        <item m="1" x="1590"/>
        <item m="1" x="1541"/>
        <item m="1" x="1432"/>
        <item m="1" x="1698"/>
        <item m="1" x="208"/>
        <item m="1" x="1841"/>
        <item m="1" x="299"/>
        <item m="1" x="433"/>
        <item m="1" x="412"/>
        <item m="1" x="409"/>
        <item m="1" x="1769"/>
        <item m="1" x="1678"/>
        <item m="1" x="1549"/>
        <item m="1" x="535"/>
        <item m="1" x="742"/>
        <item m="1" x="881"/>
        <item m="1" x="1148"/>
        <item m="1" x="1510"/>
        <item m="1" x="682"/>
        <item m="1" x="769"/>
        <item m="1" x="1485"/>
        <item m="1" x="1668"/>
        <item m="1" x="621"/>
        <item m="1" x="1254"/>
        <item m="1" x="548"/>
        <item m="1" x="1837"/>
        <item m="1" x="1398"/>
        <item m="1" x="1542"/>
        <item m="1" x="1700"/>
        <item m="1" x="835"/>
        <item m="1" x="920"/>
        <item m="1" x="310"/>
        <item m="1" x="249"/>
        <item m="1" x="436"/>
        <item m="1" x="1034"/>
        <item m="1" x="336"/>
        <item m="1" x="1068"/>
        <item m="1" x="1359"/>
        <item m="1" x="969"/>
        <item m="1" x="392"/>
        <item m="1" x="459"/>
        <item m="1" x="1149"/>
        <item m="1" x="1329"/>
        <item m="1" x="1272"/>
        <item m="1" x="1421"/>
        <item m="1" x="1572"/>
        <item m="1" x="196"/>
        <item m="1" x="418"/>
        <item m="1" x="321"/>
        <item m="1" x="1183"/>
        <item m="1" x="1210"/>
        <item m="1" x="1137"/>
        <item m="1" x="1215"/>
        <item m="1" x="1289"/>
        <item m="1" x="1211"/>
        <item m="1" x="1344"/>
        <item m="1" x="1591"/>
        <item m="1" x="1491"/>
        <item m="1" x="1734"/>
        <item m="1" x="1650"/>
        <item m="1" x="1788"/>
        <item m="1" x="334"/>
        <item m="1" x="1200"/>
        <item m="1" x="1335"/>
        <item m="1" x="1473"/>
        <item m="1" x="1269"/>
        <item m="1" x="1406"/>
        <item m="1" x="1418"/>
        <item m="1" x="1347"/>
        <item m="1" x="1494"/>
        <item m="1" x="1390"/>
        <item m="1" x="1369"/>
        <item m="1" x="1409"/>
        <item m="1" x="1366"/>
        <item m="1" x="1292"/>
        <item m="1" x="1434"/>
        <item m="1" x="1474"/>
        <item m="1" x="1512"/>
        <item m="1" x="1439"/>
        <item m="1" x="1475"/>
        <item m="1" x="1440"/>
        <item m="1" x="1589"/>
        <item m="1" x="1445"/>
        <item m="1" x="1365"/>
        <item m="1" x="1478"/>
        <item m="1" x="1721"/>
        <item m="1" x="1639"/>
        <item m="1" x="1779"/>
        <item m="1" x="322"/>
        <item m="1" x="244"/>
        <item m="1" x="370"/>
        <item m="1" x="503"/>
        <item m="1" x="460"/>
        <item m="1" x="576"/>
        <item m="1" x="532"/>
        <item m="1" x="1654"/>
        <item m="1" x="1556"/>
        <item m="1" x="1793"/>
        <item m="1" x="1706"/>
        <item m="1" x="1040"/>
        <item m="1" x="1151"/>
        <item m="1" x="1274"/>
        <item m="1" x="1204"/>
        <item m="1" x="1424"/>
        <item m="1" x="1718"/>
        <item m="1" x="1723"/>
        <item m="1" x="1643"/>
        <item m="1" x="1074"/>
        <item m="1" x="991"/>
        <item m="1" x="1361"/>
        <item m="1" x="1230"/>
        <item m="1" x="1509"/>
        <item m="1" x="1513"/>
        <item m="1" x="1671"/>
        <item m="1" x="1809"/>
        <item m="1" x="1817"/>
        <item m="1" x="393"/>
        <item m="1" x="547"/>
        <item m="1" x="476"/>
        <item m="1" x="551"/>
        <item m="1" x="1221"/>
        <item m="1" x="1140"/>
        <item m="1" x="1116"/>
        <item m="1" x="1260"/>
        <item m="1" x="1496"/>
        <item m="1" x="1410"/>
        <item m="1" x="1370"/>
        <item m="1" x="1656"/>
        <item m="1" x="1558"/>
        <item m="1" x="1516"/>
        <item m="1" x="1248"/>
        <item m="1" x="1169"/>
        <item m="1" x="1393"/>
        <item m="1" x="1298"/>
        <item m="1" x="847"/>
        <item m="1" x="1536"/>
        <item m="1" x="1447"/>
        <item m="1" x="1688"/>
        <item m="1" x="1599"/>
        <item m="1" x="1026"/>
        <item m="1" x="1201"/>
        <item m="1" x="1031"/>
        <item m="1" x="987"/>
        <item m="1" x="1038"/>
        <item m="1" x="944"/>
        <item m="1" x="1025"/>
        <item m="1" x="935"/>
        <item m="1" x="1135"/>
        <item m="1" x="1063"/>
        <item m="1" x="1055"/>
        <item m="1" x="1261"/>
        <item m="1" x="1232"/>
        <item m="1" x="1371"/>
        <item m="1" x="1559"/>
        <item m="1" x="1517"/>
        <item m="1" x="1707"/>
        <item m="1" x="183"/>
        <item m="1" x="311"/>
        <item m="1" x="277"/>
        <item m="1" x="215"/>
        <item m="1" x="1429"/>
        <item m="1" x="786"/>
        <item m="1" x="1348"/>
        <item m="1" x="1584"/>
        <item m="1" x="844"/>
        <item m="1" x="1495"/>
        <item m="1" x="715"/>
        <item m="1" x="1247"/>
        <item m="1" x="1411"/>
        <item m="1" x="1372"/>
        <item m="1" x="1436"/>
        <item m="1" x="1111"/>
        <item m="1" x="1448"/>
        <item m="1" x="1575"/>
        <item m="1" x="1481"/>
        <item m="1" x="1560"/>
        <item m="1" x="1708"/>
        <item m="1" x="1043"/>
        <item m="1" x="686"/>
        <item m="1" x="774"/>
        <item m="1" x="834"/>
        <item m="1" x="1102"/>
        <item m="1" x="1033"/>
        <item m="1" x="1222"/>
        <item m="1" x="1143"/>
        <item m="1" x="1118"/>
        <item m="1" x="1352"/>
        <item m="1" x="1267"/>
        <item m="1" x="1130"/>
        <item m="1" x="1060"/>
        <item m="1" x="1394"/>
        <item m="1" x="1304"/>
        <item m="1" x="1152"/>
        <item m="1" x="1092"/>
        <item m="1" x="1061"/>
        <item m="1" x="1277"/>
        <item m="1" x="1207"/>
        <item m="1" x="1171"/>
        <item m="1" x="1185"/>
        <item m="1" x="1577"/>
        <item m="1" x="1487"/>
        <item m="1" x="1412"/>
        <item m="1" x="1454"/>
        <item m="1" x="1466"/>
        <item m="1" x="662"/>
        <item m="1" x="1188"/>
        <item m="1" x="680"/>
        <item m="1" x="1119"/>
        <item m="1" x="1089"/>
        <item m="1" x="1100"/>
        <item m="1" x="747"/>
        <item m="1" x="1321"/>
        <item m="1" x="764"/>
        <item m="1" x="1237"/>
        <item m="1" x="1205"/>
        <item m="1" x="1216"/>
        <item m="1" x="817"/>
        <item m="1" x="1467"/>
        <item m="1" x="831"/>
        <item m="1" x="1378"/>
        <item m="1" x="1339"/>
        <item m="1" x="1349"/>
        <item m="1" x="1522"/>
        <item m="1" x="1144"/>
        <item m="1" x="1120"/>
        <item m="1" x="1268"/>
        <item m="1" x="1238"/>
        <item m="1" x="1417"/>
        <item m="1" x="1379"/>
        <item m="1" x="1566"/>
        <item m="1" x="1523"/>
        <item m="1" x="1250"/>
        <item m="1" x="1172"/>
        <item m="1" x="1141"/>
        <item m="1" x="1395"/>
        <item m="1" x="1305"/>
        <item m="1" x="1455"/>
        <item m="1" x="1283"/>
        <item m="1" x="749"/>
        <item m="1" x="1431"/>
        <item m="1" x="1581"/>
        <item m="1" x="818"/>
        <item m="1" x="885"/>
        <item m="1" x="820"/>
        <item m="1" x="888"/>
        <item m="1" x="1730"/>
        <item m="1" x="200"/>
        <item m="1" x="986"/>
        <item m="1" x="1084"/>
        <item m="1" x="993"/>
        <item m="1" x="1196"/>
        <item m="1" x="1124"/>
        <item m="1" x="852"/>
        <item m="1" x="1328"/>
        <item m="1" x="945"/>
        <item m="1" x="1471"/>
        <item m="1" x="1284"/>
        <item m="1" x="1208"/>
        <item m="1" x="1290"/>
        <item m="1" x="1324"/>
        <item m="1" x="1468"/>
        <item m="1" x="1351"/>
        <item m="1" x="1275"/>
        <item m="1" x="1380"/>
        <item m="1" x="862"/>
        <item m="1" x="1363"/>
        <item m="1" x="1524"/>
        <item m="1" x="1596"/>
        <item m="1" x="1796"/>
        <item m="1" x="1128"/>
        <item m="1" x="1712"/>
        <item m="1" x="1676"/>
        <item m="1" x="1600"/>
        <item m="1" x="1810"/>
        <item m="1" x="1644"/>
        <item m="1" x="1051"/>
        <item m="1" x="1601"/>
        <item m="1" x="1667"/>
        <item m="1" x="1505"/>
        <item m="1" x="259"/>
        <item m="1" x="188"/>
        <item m="1" x="1818"/>
        <item m="1" x="211"/>
        <item m="1" x="1557"/>
        <item m="1" x="1456"/>
        <item m="1" x="1673"/>
        <item m="1" x="1449"/>
        <item m="1" x="1602"/>
        <item m="1" x="1578"/>
        <item m="1" x="1692"/>
        <item m="1" x="1725"/>
        <item m="1" x="1833"/>
        <item m="1" x="293"/>
        <item m="1" x="325"/>
        <item m="1" x="1308"/>
        <item m="1" x="507"/>
        <item m="1" x="557"/>
        <item m="1" x="578"/>
        <item m="1" x="1576"/>
        <item m="1" x="895"/>
        <item m="1" x="992"/>
        <item m="1" x="1090"/>
        <item m="1" x="358"/>
        <item m="1" x="452"/>
        <item m="1" x="506"/>
        <item m="1" x="1484"/>
        <item m="1" x="1628"/>
        <item m="1" x="1765"/>
        <item m="1" x="1689"/>
        <item m="1" x="970"/>
        <item m="1" x="1058"/>
        <item m="1" x="1167"/>
        <item m="1" x="1297"/>
        <item m="1" x="1567"/>
        <item m="1" x="1713"/>
        <item m="1" x="189"/>
        <item m="1" x="1078"/>
        <item m="1" x="1035"/>
        <item m="1" x="1189"/>
        <item m="1" x="1096"/>
        <item m="1" x="1146"/>
        <item m="1" x="1064"/>
        <item m="1" x="1176"/>
        <item m="1" x="1342"/>
        <item m="1" x="1310"/>
        <item m="1" x="1627"/>
        <item m="1" x="1568"/>
        <item m="1" x="1070"/>
        <item m="1" x="1180"/>
        <item m="1" x="647"/>
        <item m="1" x="730"/>
        <item m="1" x="805"/>
        <item m="1" x="871"/>
        <item m="1" x="975"/>
        <item m="1" x="1069"/>
        <item m="1" x="1153"/>
        <item m="1" x="1299"/>
        <item m="1" x="1278"/>
        <item m="1" x="1450"/>
        <item m="1" x="1535"/>
        <item m="1" x="1579"/>
        <item m="1" x="1820"/>
        <item m="1" x="1726"/>
        <item m="1" x="218"/>
        <item m="1" x="1198"/>
        <item m="1" x="1331"/>
        <item m="1" x="1242"/>
        <item m="1" x="1383"/>
        <item m="1" x="1527"/>
        <item m="1" x="1715"/>
        <item m="1" x="1680"/>
        <item m="1" x="1742"/>
        <item m="1" x="191"/>
        <item m="1" x="1822"/>
        <item m="1" x="216"/>
        <item m="1" x="1343"/>
        <item m="1" x="1489"/>
        <item m="1" x="1648"/>
        <item m="1" x="1528"/>
        <item m="1" x="250"/>
        <item m="1" x="375"/>
        <item m="1" x="283"/>
        <item m="1" x="536"/>
        <item m="1" x="610"/>
        <item m="1" x="1219"/>
        <item m="1" x="1350"/>
        <item m="1" x="800"/>
        <item m="1" x="1573"/>
        <item m="1" x="860"/>
        <item m="1" x="1722"/>
        <item m="1" x="961"/>
        <item m="1" x="197"/>
        <item m="1" x="1570"/>
        <item m="1" x="1719"/>
        <item m="1" x="193"/>
        <item m="1" x="316"/>
        <item m="1" x="420"/>
        <item m="1" x="499"/>
        <item m="1" x="573"/>
        <item m="1" x="648"/>
        <item m="1" x="941"/>
        <item m="1" x="1811"/>
        <item m="1" x="271"/>
        <item m="1" x="1029"/>
        <item m="1" x="1136"/>
        <item m="1" x="1716"/>
        <item m="1" x="184"/>
        <item m="1" x="1073"/>
        <item m="1" x="1138"/>
        <item m="1" x="1155"/>
        <item m="1" x="192"/>
        <item m="1" x="1259"/>
        <item m="1" x="1399"/>
        <item m="1" x="315"/>
        <item m="1" x="419"/>
        <item m="1" x="1544"/>
        <item m="1" x="976"/>
        <item m="1" x="1081"/>
        <item m="1" x="922"/>
        <item m="1" x="1071"/>
        <item m="1" x="1192"/>
        <item m="1" x="1012"/>
        <item m="1" x="1117"/>
        <item m="1" x="1057"/>
        <item m="1" x="958"/>
        <item m="1" x="1181"/>
        <item m="1" x="1233"/>
        <item m="1" x="1316"/>
        <item m="1" x="1462"/>
        <item m="1" x="1518"/>
        <item m="1" x="1754"/>
        <item m="1" x="225"/>
        <item m="1" x="352"/>
        <item m="1" x="455"/>
        <item m="1" x="906"/>
        <item m="1" x="874"/>
        <item m="1" x="985"/>
        <item m="1" x="870"/>
        <item m="1" x="981"/>
        <item m="1" x="1083"/>
        <item m="1" x="984"/>
        <item m="1" x="927"/>
        <item m="1" x="1013"/>
        <item m="1" x="973"/>
        <item m="1" x="864"/>
        <item m="1" x="1101"/>
        <item m="1" x="1075"/>
        <item m="1" x="1194"/>
        <item m="1" x="1122"/>
        <item m="1" x="1062"/>
        <item m="1" x="1187"/>
        <item m="1" x="1326"/>
        <item m="1" x="1129"/>
        <item m="1" x="1243"/>
        <item m="1" x="1173"/>
        <item m="1" x="1052"/>
        <item m="1" x="731"/>
        <item m="1" x="1072"/>
        <item m="1" x="1262"/>
        <item m="1" x="1413"/>
        <item m="1" x="1463"/>
        <item m="1" x="1561"/>
        <item m="1" x="1065"/>
        <item m="1" x="1177"/>
        <item m="1" x="1311"/>
        <item m="1" x="1459"/>
        <item m="1" x="1123"/>
        <item m="1" x="1244"/>
        <item m="1" x="1384"/>
        <item m="1" x="1234"/>
        <item m="1" x="1529"/>
        <item m="1" x="1681"/>
        <item m="1" x="1669"/>
        <item m="1" x="654"/>
        <item m="1" x="739"/>
        <item m="1" x="813"/>
        <item m="1" x="1186"/>
        <item m="1" x="1315"/>
        <item m="1" x="1165"/>
        <item m="1" x="1296"/>
        <item m="1" x="1587"/>
        <item m="1" x="1446"/>
        <item m="1" x="1217"/>
        <item m="1" x="1320"/>
        <item m="1" x="1358"/>
        <item m="1" x="1391"/>
        <item m="1" x="1526"/>
        <item m="1" x="1624"/>
        <item m="1" x="1687"/>
        <item m="1" x="1829"/>
        <item m="1" x="281"/>
        <item m="1" x="266"/>
        <item m="1" x="290"/>
        <item m="1" x="405"/>
        <item m="1" x="484"/>
        <item m="1" x="555"/>
        <item m="1" x="1045"/>
        <item m="1" x="858"/>
        <item m="1" x="1048"/>
        <item m="1" x="1010"/>
        <item m="1" x="1112"/>
        <item m="1" x="626"/>
        <item m="1" x="560"/>
        <item m="1" x="1030"/>
        <item m="1" x="979"/>
        <item m="1" x="971"/>
        <item m="1" x="791"/>
        <item m="1" x="1609"/>
        <item m="1" x="757"/>
        <item m="1" x="808"/>
        <item m="1" x="809"/>
        <item m="1" x="717"/>
        <item m="1" x="722"/>
        <item m="1" x="905"/>
        <item m="1" x="926"/>
        <item m="1" x="908"/>
        <item m="1" x="930"/>
        <item m="1" x="884"/>
        <item m="1" x="887"/>
        <item m="1" x="891"/>
        <item m="1" x="859"/>
        <item m="1" x="865"/>
        <item m="1" x="669"/>
        <item m="1" x="670"/>
        <item m="1" x="674"/>
        <item m="1" x="702"/>
        <item m="1" x="703"/>
        <item m="1" x="707"/>
        <item m="1" x="614"/>
        <item m="1" x="616"/>
        <item m="1" x="713"/>
        <item m="1" x="719"/>
        <item m="1" x="710"/>
        <item m="1" x="950"/>
        <item m="1" x="955"/>
        <item m="1" x="952"/>
        <item m="1" x="918"/>
        <item m="1" x="924"/>
        <item m="1" x="921"/>
        <item m="1" x="758"/>
        <item m="1" x="639"/>
        <item m="1" x="1001"/>
        <item m="1" x="1002"/>
        <item m="1" x="1104"/>
        <item m="1" x="956"/>
        <item m="1" x="1041"/>
        <item m="1" x="960"/>
        <item m="1" x="1046"/>
        <item m="1" x="964"/>
        <item m="1" x="1049"/>
        <item m="1" x="982"/>
        <item m="1" x="793"/>
        <item m="1" x="898"/>
        <item m="1" x="1091"/>
        <item m="1" x="904"/>
        <item m="1" x="691"/>
        <item m="1" x="879"/>
        <item m="1" x="886"/>
        <item m="1" x="746"/>
        <item m="1" x="732"/>
        <item m="1" x="720"/>
        <item m="1" x="700"/>
        <item m="1" x="699"/>
        <item m="1" x="698"/>
        <item m="1" x="673"/>
        <item m="1" x="658"/>
        <item m="1" x="1085"/>
        <item m="1" x="1425"/>
        <item m="1" x="427"/>
        <item m="1" x="581"/>
        <item m="1" x="737"/>
        <item m="1" x="1047"/>
        <item m="1" x="1583"/>
        <item m="1" x="1132"/>
        <item m="1" x="716"/>
        <item m="1" x="1619"/>
        <item m="1" x="226"/>
        <item m="1" x="1018"/>
        <item m="1" x="1203"/>
        <item m="1" x="1386"/>
        <item m="1" x="748"/>
        <item m="1" x="1595"/>
        <item m="1" x="1334"/>
        <item m="1" x="1618"/>
        <item m="1" x="1014"/>
        <item m="1" x="1649"/>
        <item m="1" x="251"/>
        <item m="1" x="1220"/>
        <item m="1" x="867"/>
        <item m="1" x="1161"/>
        <item m="1" x="491"/>
        <item m="1" x="1824"/>
        <item m="1" x="628"/>
        <item m="1" x="765"/>
        <item m="1" x="430"/>
        <item m="1" x="584"/>
        <item m="1" x="738"/>
        <item m="1" x="812"/>
        <item m="1" x="878"/>
        <item m="1" x="1732"/>
        <item m="1" x="332"/>
        <item m="1" x="431"/>
        <item m="1" x="511"/>
        <item m="1" x="586"/>
        <item m="1" x="657"/>
        <item m="1" x="743"/>
        <item m="1" x="238"/>
        <item m="1" x="445"/>
        <item m="1" x="902"/>
        <item m="1" x="694"/>
        <item m="1" x="789"/>
        <item m="1" x="294"/>
        <item m="1" x="561"/>
        <item m="1" x="297"/>
        <item m="1" x="718"/>
        <item m="1" x="836"/>
        <item m="1" x="1039"/>
        <item m="1" x="980"/>
        <item m="1" x="504"/>
        <item m="1" x="577"/>
        <item m="1" x="508"/>
        <item m="1" x="579"/>
        <item m="1" x="653"/>
        <item m="1" x="292"/>
        <item m="1" x="903"/>
        <item m="1" x="566"/>
        <item m="1" x="362"/>
        <item m="1" x="667"/>
        <item m="1" x="300"/>
        <item m="1" x="629"/>
        <item m="1" x="457"/>
        <item m="1" x="754"/>
        <item m="1" x="414"/>
        <item m="1" x="562"/>
        <item m="1" x="705"/>
        <item m="1" x="714"/>
        <item m="1" x="678"/>
        <item m="1" x="998"/>
        <item m="1" x="640"/>
        <item m="1" x="683"/>
        <item m="1" x="318"/>
        <item m="1" x="1009"/>
        <item m="1" x="649"/>
        <item m="1" x="685"/>
        <item m="1" x="959"/>
        <item m="1" x="978"/>
        <item m="1" x="355"/>
        <item m="1" x="1077"/>
        <item m="1" x="1613"/>
        <item m="1" x="497"/>
        <item m="1" x="1156"/>
        <item m="1" x="258"/>
        <item m="1" x="232"/>
        <item m="1" x="1743"/>
        <item m="1" x="383"/>
        <item m="1" x="451"/>
        <item m="1" x="542"/>
        <item m="1" x="526"/>
        <item m="1" x="441"/>
        <item m="1" x="597"/>
        <item m="1" x="668"/>
        <item m="1" x="781"/>
        <item m="1" x="755"/>
        <item m="1" x="663"/>
        <item m="1" x="892"/>
        <item m="1" x="563"/>
        <item m="1" x="255"/>
        <item m="1" x="379"/>
        <item m="1" x="464"/>
        <item m="1" x="528"/>
        <item m="1" x="617"/>
        <item m="1" x="599"/>
        <item m="1" x="524"/>
        <item m="1" x="593"/>
        <item m="1" x="1832"/>
        <item m="1" x="784"/>
        <item m="1" x="1834"/>
        <item m="1" x="1666"/>
        <item m="1" x="1364"/>
        <item m="1" x="1807"/>
        <item m="1" x="646"/>
        <item m="1" x="1653"/>
        <item m="1" x="782"/>
        <item m="1" x="287"/>
        <item m="1" x="923"/>
        <item m="1" x="381"/>
        <item m="1" x="1759"/>
        <item m="1" x="276"/>
        <item m="1" x="324"/>
        <item m="1" x="783"/>
        <item m="1" x="210"/>
        <item m="1" x="337"/>
        <item m="1" x="1737"/>
        <item m="1" x="406"/>
        <item m="1" x="1020"/>
        <item m="1" x="1659"/>
        <item m="1" x="999"/>
        <item m="1" x="351"/>
        <item m="1" x="1753"/>
        <item m="1" x="1815"/>
        <item m="1" x="545"/>
        <item m="1" x="265"/>
        <item m="1" x="388"/>
        <item m="1" x="403"/>
        <item m="1" x="333"/>
        <item m="1" x="270"/>
        <item m="1" x="363"/>
        <item m="1" x="291"/>
        <item m="1" x="389"/>
        <item m="1" x="319"/>
        <item m="1" x="948"/>
        <item m="1" x="1037"/>
        <item m="1" x="348"/>
        <item m="1" x="1773"/>
        <item m="1" x="1276"/>
        <item m="1" x="1786"/>
        <item m="1" x="771"/>
        <item m="1" x="1105"/>
        <item m="1" x="634"/>
        <item m="1" x="650"/>
        <item m="1" x="426"/>
        <item m="1" x="736"/>
        <item m="1" x="485"/>
        <item m="1" x="690"/>
        <item m="1" x="592"/>
        <item m="1" x="841"/>
        <item m="1" x="823"/>
        <item m="1" x="751"/>
        <item m="1" x="931"/>
        <item m="1" x="1763"/>
        <item m="1" x="260"/>
        <item m="1" x="234"/>
        <item m="1" x="1751"/>
        <item m="1" x="217"/>
        <item m="1" x="1251"/>
        <item m="1" x="472"/>
        <item m="1" x="1253"/>
        <item m="1" x="1507"/>
        <item m="1" x="916"/>
        <item m="1" x="345"/>
        <item m="1" x="797"/>
        <item m="1" x="773"/>
        <item m="1" x="688"/>
        <item m="1" x="469"/>
        <item m="1" x="198"/>
        <item m="1" x="756"/>
        <item m="1" x="947"/>
        <item m="1" x="374"/>
        <item m="1" x="367"/>
        <item m="1" x="851"/>
        <item m="1" x="729"/>
        <item m="1" x="1191"/>
        <item m="1" x="704"/>
        <item m="1" x="1322"/>
        <item m="1" x="1469"/>
        <item m="1" x="540"/>
        <item m="1" x="772"/>
        <item m="1" x="792"/>
        <item m="1" x="1396"/>
        <item m="1" x="1355"/>
        <item m="1" x="559"/>
        <item m="1" x="712"/>
        <item m="1" x="1206"/>
        <item m="1" x="465"/>
        <item m="1" x="1341"/>
        <item m="1" x="539"/>
        <item m="1" x="1486"/>
        <item m="1" x="601"/>
        <item m="1" x="1608"/>
        <item m="1" x="1453"/>
        <item m="1" x="248"/>
        <item m="1" x="837"/>
        <item m="1" x="1607"/>
        <item m="1" x="373"/>
        <item m="1" x="925"/>
        <item m="1" x="1748"/>
        <item m="1" x="462"/>
        <item m="1" x="1015"/>
        <item m="1" x="222"/>
        <item m="1" x="534"/>
        <item m="1" x="1125"/>
        <item m="1" x="806"/>
        <item m="1" x="1097"/>
        <item m="1" x="382"/>
        <item m="1" x="872"/>
        <item m="1" x="1212"/>
        <item m="1" x="470"/>
        <item m="1" x="896"/>
        <item m="1" x="1241"/>
        <item m="1" x="1266"/>
        <item m="1" x="1565"/>
        <item m="1" x="1711"/>
        <item m="1" x="187"/>
        <item m="1" x="313"/>
        <item m="1" x="627"/>
        <item m="1" x="1236"/>
        <item m="1" x="609"/>
        <item m="1" x="1303"/>
        <item m="1" x="645"/>
        <item m="1" x="919"/>
        <item m="1" x="1368"/>
        <item m="1" x="1515"/>
        <item m="1" x="1672"/>
        <item m="1" x="608"/>
        <item m="1" x="600"/>
        <item m="1" x="671"/>
        <item m="1" x="842"/>
        <item m="1" x="775"/>
        <item m="1" x="466"/>
        <item m="1" x="349"/>
        <item m="1" x="554"/>
        <item m="1" x="605"/>
        <item m="1" x="675"/>
        <item m="1" x="760"/>
        <item m="1" x="595"/>
        <item m="1" x="1225"/>
        <item m="1" x="274"/>
        <item m="1" x="423"/>
        <item m="1" x="306"/>
        <item m="1" x="483"/>
        <item m="1" x="446"/>
        <item m="1" x="498"/>
        <item m="1" x="1634"/>
        <item m="1" x="1774"/>
        <item m="1" x="241"/>
        <item m="1" x="633"/>
        <item m="1" x="612"/>
        <item m="1" x="689"/>
        <item m="1" x="778"/>
        <item m="1" x="1302"/>
        <item m="1" x="1785"/>
        <item m="1" x="777"/>
        <item m="1" x="1766"/>
        <item m="1" x="761"/>
        <item m="1" x="236"/>
        <item m="1" x="827"/>
        <item m="1" x="359"/>
        <item m="1" x="202"/>
        <item m="1" x="529"/>
        <item m="1" x="1108"/>
        <item m="1" x="327"/>
        <item m="1" x="602"/>
        <item m="1" x="1226"/>
        <item m="1" x="428"/>
        <item m="1" x="672"/>
        <item m="1" x="1360"/>
        <item m="1" x="509"/>
        <item m="1" x="759"/>
        <item m="1" x="1504"/>
        <item m="1" x="582"/>
        <item m="1" x="825"/>
        <item m="1" x="1664"/>
        <item m="1" x="1158"/>
        <item m="1" x="1632"/>
        <item m="1" x="679"/>
        <item m="1" x="894"/>
        <item m="1" x="429"/>
        <item m="1" x="1323"/>
        <item m="1" x="1803"/>
        <item m="1" x="1836"/>
        <item m="1" x="407"/>
        <item m="1" x="486"/>
        <item m="1" x="564"/>
        <item m="1" x="635"/>
        <item m="1" x="933"/>
        <item m="1" x="1799"/>
        <item m="1" x="910"/>
        <item m="1" x="203"/>
        <item m="1" x="893"/>
        <item m="1" x="990"/>
        <item m="1" x="957"/>
        <item m="1" x="1354"/>
        <item m="1" x="261"/>
        <item m="1" x="384"/>
        <item m="1" x="473"/>
        <item m="1" x="909"/>
        <item m="1" x="1231"/>
        <item m="1" x="1107"/>
        <item m="1" x="762"/>
        <item m="1" x="655"/>
        <item m="1" x="845"/>
        <item m="1" x="899"/>
        <item m="1" x="995"/>
        <item m="1" x="1095"/>
        <item m="1" x="875"/>
        <item m="1" x="1787"/>
        <item m="1" x="615"/>
        <item m="1" x="723"/>
        <item m="1" x="632"/>
        <item m="1" x="790"/>
        <item m="1" x="741"/>
        <item m="1" x="802"/>
        <item m="1" x="453"/>
        <item m="1" x="527"/>
        <item m="1" x="598"/>
        <item m="1" x="942"/>
        <item m="1" x="912"/>
        <item m="1" x="1005"/>
        <item m="1" x="1109"/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8"/>
        <item x="29"/>
        <item x="30"/>
        <item x="31"/>
        <item x="32"/>
        <item x="33"/>
        <item x="34"/>
        <item x="35"/>
        <item x="36"/>
        <item x="41"/>
        <item x="42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4"/>
        <item x="65"/>
        <item x="66"/>
        <item x="67"/>
        <item x="68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91"/>
        <item x="93"/>
        <item x="94"/>
        <item x="95"/>
        <item x="97"/>
        <item x="99"/>
        <item x="103"/>
        <item x="104"/>
        <item x="105"/>
        <item x="106"/>
        <item x="107"/>
        <item x="108"/>
        <item x="115"/>
        <item x="116"/>
        <item x="117"/>
        <item x="118"/>
        <item x="119"/>
        <item m="1" x="237"/>
        <item x="121"/>
        <item m="1" x="360"/>
        <item x="123"/>
        <item x="124"/>
        <item x="125"/>
        <item x="126"/>
        <item x="127"/>
        <item m="1" x="604"/>
        <item x="129"/>
        <item x="130"/>
        <item m="1" x="1327"/>
        <item m="1" x="574"/>
        <item x="133"/>
        <item x="134"/>
        <item x="136"/>
        <item x="139"/>
        <item x="140"/>
        <item x="142"/>
        <item x="144"/>
        <item x="146"/>
        <item x="147"/>
        <item x="148"/>
        <item x="149"/>
        <item x="150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32"/>
        <item x="37"/>
        <item x="38"/>
        <item x="39"/>
        <item x="40"/>
        <item x="48"/>
        <item x="53"/>
        <item x="54"/>
        <item x="55"/>
        <item x="56"/>
        <item x="57"/>
        <item x="58"/>
        <item x="60"/>
        <item x="83"/>
        <item x="84"/>
        <item x="85"/>
        <item x="86"/>
        <item x="87"/>
        <item x="96"/>
        <item x="113"/>
        <item x="114"/>
        <item x="120"/>
        <item x="122"/>
        <item x="128"/>
        <item x="131"/>
        <item x="143"/>
        <item x="145"/>
        <item x="151"/>
        <item x="152"/>
        <item x="153"/>
        <item x="168"/>
        <item x="172"/>
        <item x="173"/>
        <item x="162"/>
        <item x="174"/>
        <item x="9"/>
        <item x="24"/>
        <item x="27"/>
        <item x="59"/>
        <item x="88"/>
        <item x="101"/>
        <item x="109"/>
        <item x="110"/>
        <item x="141"/>
        <item x="69"/>
        <item x="89"/>
        <item x="90"/>
        <item x="92"/>
        <item x="98"/>
        <item x="100"/>
        <item x="102"/>
        <item x="111"/>
        <item x="112"/>
        <item x="137"/>
        <item x="138"/>
        <item x="154"/>
        <item x="155"/>
        <item x="175"/>
        <item x="70"/>
        <item x="1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1"/>
    <field x="8"/>
    <field x="3"/>
    <field x="6"/>
  </rowFields>
  <rowItems count="192">
    <i>
      <x v="1661"/>
      <x v="2"/>
      <x v="1129"/>
      <x v="1"/>
    </i>
    <i>
      <x v="1662"/>
      <x v="3"/>
      <x v="1130"/>
      <x v="6"/>
    </i>
    <i>
      <x v="1663"/>
      <x v="3"/>
      <x v="1131"/>
      <x v="6"/>
    </i>
    <i>
      <x v="1664"/>
      <x v="4"/>
      <x v="1132"/>
      <x v="6"/>
    </i>
    <i>
      <x v="1665"/>
      <x v="4"/>
      <x v="1133"/>
      <x v="6"/>
    </i>
    <i>
      <x v="1666"/>
      <x v="1"/>
      <x v="1134"/>
      <x v="13"/>
    </i>
    <i>
      <x v="1667"/>
      <x v="1"/>
      <x v="1135"/>
      <x v="13"/>
    </i>
    <i>
      <x v="1668"/>
      <x v="1"/>
      <x v="1136"/>
      <x v="13"/>
    </i>
    <i>
      <x v="1669"/>
      <x v="4"/>
      <x v="1137"/>
      <x v="6"/>
    </i>
    <i>
      <x v="1670"/>
      <x v="3"/>
      <x v="1138"/>
      <x v="6"/>
    </i>
    <i>
      <x v="1671"/>
      <x v="3"/>
      <x v="1139"/>
      <x v="6"/>
    </i>
    <i>
      <x v="1672"/>
      <x v="5"/>
      <x v="1140"/>
      <x v="6"/>
    </i>
    <i>
      <x v="1673"/>
      <x v="5"/>
      <x v="1141"/>
      <x v="6"/>
    </i>
    <i>
      <x v="1674"/>
      <x v="4"/>
      <x v="1142"/>
      <x v="6"/>
    </i>
    <i>
      <x v="1675"/>
      <x v="6"/>
      <x v="1143"/>
      <x v="6"/>
    </i>
    <i>
      <x v="1676"/>
      <x v="1"/>
      <x v="1144"/>
      <x v="13"/>
    </i>
    <i>
      <x v="1677"/>
      <x v="6"/>
      <x v="1145"/>
      <x v="6"/>
    </i>
    <i>
      <x v="1678"/>
      <x v="1"/>
      <x v="1146"/>
      <x v="13"/>
    </i>
    <i>
      <x v="1679"/>
      <x v="6"/>
      <x v="1147"/>
      <x v="6"/>
    </i>
    <i>
      <x v="1680"/>
      <x v="1"/>
      <x v="1148"/>
      <x v="13"/>
    </i>
    <i>
      <x v="1681"/>
      <x v="5"/>
      <x v="1149"/>
      <x v="9"/>
    </i>
    <i>
      <x v="1682"/>
      <x v="5"/>
      <x v="1150"/>
      <x v="9"/>
    </i>
    <i>
      <x v="1683"/>
      <x v="7"/>
      <x v="1151"/>
      <x v="9"/>
    </i>
    <i r="2">
      <x v="1249"/>
      <x v="9"/>
    </i>
    <i>
      <x v="1684"/>
      <x v="8"/>
      <x v="1152"/>
      <x v="9"/>
    </i>
    <i>
      <x v="1685"/>
      <x v="7"/>
      <x v="1153"/>
      <x v="9"/>
    </i>
    <i>
      <x v="1686"/>
      <x v="9"/>
      <x v="1154"/>
      <x v="6"/>
    </i>
    <i>
      <x v="1687"/>
      <x v="9"/>
      <x v="1155"/>
      <x v="9"/>
    </i>
    <i>
      <x v="1688"/>
      <x v="9"/>
      <x v="1156"/>
      <x v="9"/>
    </i>
    <i>
      <x v="1689"/>
      <x v="9"/>
      <x v="1157"/>
      <x v="9"/>
    </i>
    <i>
      <x v="1690"/>
      <x v="9"/>
      <x v="1158"/>
      <x v="9"/>
    </i>
    <i>
      <x v="1691"/>
      <x v="9"/>
      <x v="1159"/>
      <x v="9"/>
    </i>
    <i>
      <x v="1692"/>
      <x v="9"/>
      <x v="1160"/>
      <x v="9"/>
    </i>
    <i>
      <x v="1693"/>
      <x v="9"/>
      <x v="1161"/>
      <x v="9"/>
    </i>
    <i>
      <x v="1694"/>
      <x v="9"/>
      <x v="1162"/>
      <x v="9"/>
    </i>
    <i>
      <x v="1695"/>
      <x v="3"/>
      <x v="1163"/>
      <x v="6"/>
    </i>
    <i>
      <x v="1696"/>
      <x v="3"/>
      <x v="1164"/>
      <x v="6"/>
    </i>
    <i>
      <x v="1697"/>
      <x v="3"/>
      <x v="1165"/>
      <x v="6"/>
    </i>
    <i>
      <x v="1698"/>
      <x v="3"/>
      <x v="1166"/>
      <x v="4"/>
    </i>
    <i>
      <x v="1699"/>
      <x v="10"/>
      <x v="1167"/>
      <x v="9"/>
    </i>
    <i>
      <x v="1700"/>
      <x v="3"/>
      <x v="1168"/>
      <x v="6"/>
    </i>
    <i>
      <x v="1701"/>
      <x v="3"/>
      <x v="1169"/>
      <x v="4"/>
    </i>
    <i>
      <x v="1702"/>
      <x v="10"/>
      <x v="1170"/>
      <x v="9"/>
    </i>
    <i>
      <x v="1703"/>
      <x v="3"/>
      <x v="1171"/>
      <x v="6"/>
    </i>
    <i>
      <x v="1704"/>
      <x v="3"/>
      <x v="1172"/>
      <x v="6"/>
    </i>
    <i>
      <x v="1705"/>
      <x v="3"/>
      <x v="1173"/>
      <x v="4"/>
    </i>
    <i>
      <x v="1706"/>
      <x v="5"/>
      <x v="1174"/>
      <x v="9"/>
    </i>
    <i>
      <x v="1707"/>
      <x v="5"/>
      <x v="1175"/>
      <x v="9"/>
    </i>
    <i>
      <x v="1708"/>
      <x v="5"/>
      <x v="1176"/>
      <x v="9"/>
    </i>
    <i>
      <x v="1709"/>
      <x v="5"/>
      <x v="1177"/>
      <x v="9"/>
    </i>
    <i>
      <x v="1710"/>
      <x v="5"/>
      <x v="1178"/>
      <x v="9"/>
    </i>
    <i>
      <x v="1711"/>
      <x v="5"/>
      <x v="1179"/>
      <x v="9"/>
    </i>
    <i>
      <x v="1712"/>
      <x v="5"/>
      <x v="1180"/>
      <x v="9"/>
    </i>
    <i>
      <x v="1713"/>
      <x v="5"/>
      <x v="1181"/>
      <x v="9"/>
    </i>
    <i>
      <x v="1714"/>
      <x v="11"/>
      <x v="1182"/>
      <x v="9"/>
    </i>
    <i>
      <x v="1715"/>
      <x v="11"/>
      <x v="1183"/>
      <x v="9"/>
    </i>
    <i>
      <x v="1716"/>
      <x v="11"/>
      <x v="1184"/>
      <x v="20"/>
    </i>
    <i>
      <x v="1717"/>
      <x v="11"/>
      <x v="1185"/>
      <x v="9"/>
    </i>
    <i>
      <x v="1718"/>
      <x v="11"/>
      <x v="1186"/>
      <x v="20"/>
    </i>
    <i>
      <x v="1719"/>
      <x v="11"/>
      <x v="1187"/>
      <x v="9"/>
    </i>
    <i>
      <x v="1720"/>
      <x v="11"/>
      <x v="1188"/>
      <x v="20"/>
    </i>
    <i>
      <x v="1721"/>
      <x v="11"/>
      <x v="1189"/>
      <x v="9"/>
    </i>
    <i>
      <x v="1722"/>
      <x v="11"/>
      <x v="1190"/>
      <x v="20"/>
    </i>
    <i>
      <x v="1723"/>
      <x v="11"/>
      <x v="1191"/>
      <x v="9"/>
    </i>
    <i>
      <x v="1724"/>
      <x v="11"/>
      <x v="1192"/>
      <x v="20"/>
    </i>
    <i>
      <x v="1725"/>
      <x v="11"/>
      <x v="1193"/>
      <x v="9"/>
    </i>
    <i>
      <x v="1726"/>
      <x v="9"/>
      <x v="1194"/>
      <x v="9"/>
    </i>
    <i>
      <x v="1727"/>
      <x v="9"/>
      <x v="1195"/>
      <x v="9"/>
    </i>
    <i>
      <x v="1728"/>
      <x v="9"/>
      <x v="1196"/>
      <x v="9"/>
    </i>
    <i>
      <x v="1729"/>
      <x v="9"/>
      <x v="1197"/>
      <x v="9"/>
    </i>
    <i>
      <x v="1730"/>
      <x v="9"/>
      <x v="1198"/>
      <x v="9"/>
    </i>
    <i r="2">
      <x v="1290"/>
      <x v="9"/>
    </i>
    <i>
      <x v="1731"/>
      <x v="9"/>
      <x v="1269"/>
      <x v="4"/>
    </i>
    <i>
      <x v="1732"/>
      <x v="1"/>
      <x v="1199"/>
      <x v="14"/>
    </i>
    <i>
      <x v="1733"/>
      <x v="1"/>
      <x v="1200"/>
      <x v="14"/>
    </i>
    <i>
      <x v="1734"/>
      <x v="1"/>
      <x v="1201"/>
      <x v="14"/>
    </i>
    <i>
      <x v="1735"/>
      <x v="1"/>
      <x v="1202"/>
      <x v="14"/>
    </i>
    <i>
      <x v="1736"/>
      <x v="1"/>
      <x v="1203"/>
      <x v="14"/>
    </i>
    <i>
      <x v="1737"/>
      <x v="1"/>
      <x v="1204"/>
      <x v="14"/>
    </i>
    <i>
      <x v="1738"/>
      <x v="3"/>
      <x v="1205"/>
      <x v="9"/>
    </i>
    <i>
      <x v="1739"/>
      <x v="3"/>
      <x v="1206"/>
      <x v="9"/>
    </i>
    <i>
      <x v="1740"/>
      <x v="3"/>
      <x v="1207"/>
      <x v="9"/>
    </i>
    <i>
      <x v="1741"/>
      <x v="3"/>
      <x v="1208"/>
      <x v="9"/>
    </i>
    <i>
      <x v="1742"/>
      <x v="3"/>
      <x v="1209"/>
      <x v="9"/>
    </i>
    <i>
      <x v="1744"/>
      <x v="4"/>
      <x v="1211"/>
      <x v="6"/>
    </i>
    <i>
      <x v="1746"/>
      <x v="4"/>
      <x v="1213"/>
      <x v="6"/>
    </i>
    <i>
      <x v="1747"/>
      <x v="5"/>
      <x v="1214"/>
      <x v="9"/>
    </i>
    <i>
      <x v="1748"/>
      <x v="5"/>
      <x v="1215"/>
      <x v="6"/>
    </i>
    <i>
      <x v="1749"/>
      <x v="5"/>
      <x v="1216"/>
      <x v="9"/>
    </i>
    <i>
      <x v="1750"/>
      <x v="8"/>
      <x v="1217"/>
      <x v="6"/>
    </i>
    <i>
      <x v="1752"/>
      <x v="4"/>
      <x v="1219"/>
      <x v="6"/>
    </i>
    <i>
      <x v="1753"/>
      <x v="3"/>
      <x v="1220"/>
      <x v="9"/>
    </i>
    <i>
      <x v="1756"/>
      <x v="9"/>
      <x v="1223"/>
      <x v="9"/>
    </i>
    <i>
      <x v="1757"/>
      <x v="11"/>
      <x v="1224"/>
      <x v="9"/>
    </i>
    <i>
      <x v="1758"/>
      <x v="9"/>
      <x v="1225"/>
      <x v="9"/>
    </i>
    <i>
      <x v="1759"/>
      <x v="3"/>
      <x v="1226"/>
      <x v="6"/>
    </i>
    <i>
      <x v="1760"/>
      <x v="3"/>
      <x v="1227"/>
      <x v="6"/>
    </i>
    <i r="2">
      <x v="1303"/>
      <x v="6"/>
    </i>
    <i>
      <x v="1761"/>
      <x v="3"/>
      <x v="1228"/>
      <x v="9"/>
    </i>
    <i>
      <x v="1762"/>
      <x v="3"/>
      <x v="1229"/>
      <x v="9"/>
    </i>
    <i>
      <x v="1763"/>
      <x v="3"/>
      <x v="1230"/>
      <x v="6"/>
    </i>
    <i>
      <x v="1764"/>
      <x v="3"/>
      <x v="1231"/>
      <x v="9"/>
    </i>
    <i>
      <x v="1765"/>
      <x v="4"/>
      <x v="1232"/>
      <x v="6"/>
    </i>
    <i>
      <x v="1766"/>
      <x v="4"/>
      <x v="1233"/>
      <x v="6"/>
    </i>
    <i>
      <x v="1767"/>
      <x v="4"/>
      <x v="1234"/>
      <x v="6"/>
    </i>
    <i>
      <x v="1768"/>
      <x v="3"/>
      <x v="1235"/>
      <x v="6"/>
    </i>
    <i>
      <x v="1769"/>
      <x v="3"/>
      <x v="1236"/>
      <x v="6"/>
    </i>
    <i>
      <x v="1770"/>
      <x v="3"/>
      <x v="1237"/>
      <x v="6"/>
    </i>
    <i r="2">
      <x v="1307"/>
      <x v="6"/>
    </i>
    <i>
      <x v="1771"/>
      <x v="4"/>
      <x v="1238"/>
      <x v="6"/>
    </i>
    <i>
      <x v="1772"/>
      <x v="4"/>
      <x v="1239"/>
      <x v="6"/>
    </i>
    <i>
      <x v="1773"/>
      <x v="4"/>
      <x v="1240"/>
      <x v="6"/>
    </i>
    <i>
      <x v="1774"/>
      <x v="2"/>
      <x v="1278"/>
      <x v="1"/>
    </i>
    <i>
      <x v="1775"/>
      <x v="1"/>
      <x v="1242"/>
      <x v="13"/>
    </i>
    <i>
      <x v="1776"/>
      <x v="6"/>
      <x v="1243"/>
      <x v="6"/>
    </i>
    <i r="2">
      <x v="1292"/>
      <x v="6"/>
    </i>
    <i>
      <x v="1777"/>
      <x v="6"/>
      <x v="1244"/>
      <x v="6"/>
    </i>
    <i r="2">
      <x v="1279"/>
      <x v="6"/>
    </i>
    <i r="2">
      <x v="1311"/>
      <x v="6"/>
    </i>
    <i>
      <x v="1778"/>
      <x v="6"/>
      <x v="1245"/>
      <x v="6"/>
    </i>
    <i r="2">
      <x v="1280"/>
      <x v="6"/>
    </i>
    <i r="2">
      <x v="1312"/>
      <x v="6"/>
    </i>
    <i>
      <x v="1779"/>
      <x v="6"/>
      <x v="1246"/>
      <x v="6"/>
    </i>
    <i r="2">
      <x v="1282"/>
      <x v="6"/>
    </i>
    <i>
      <x v="1780"/>
      <x v="6"/>
      <x v="1247"/>
      <x v="6"/>
    </i>
    <i r="2">
      <x v="1283"/>
      <x v="6"/>
    </i>
    <i>
      <x v="1781"/>
      <x v="6"/>
      <x v="1248"/>
      <x v="6"/>
    </i>
    <i r="2">
      <x v="1284"/>
      <x v="6"/>
    </i>
    <i>
      <x v="1782"/>
      <x v="4"/>
      <x v="1222"/>
      <x v="6"/>
    </i>
    <i>
      <x v="1783"/>
      <x v="5"/>
      <x v="1250"/>
      <x v="9"/>
    </i>
    <i>
      <x v="1784"/>
      <x v="5"/>
      <x v="1251"/>
      <x v="9"/>
    </i>
    <i>
      <x v="1785"/>
      <x v="5"/>
      <x v="1252"/>
      <x v="9"/>
    </i>
    <i>
      <x v="1786"/>
      <x v="5"/>
      <x v="1253"/>
      <x v="9"/>
    </i>
    <i>
      <x v="1787"/>
      <x v="3"/>
      <x v="1254"/>
      <x v="4"/>
    </i>
    <i r="2">
      <x v="1255"/>
      <x v="4"/>
    </i>
    <i>
      <x v="1788"/>
      <x v="3"/>
      <x v="1256"/>
      <x v="6"/>
    </i>
    <i>
      <x v="1789"/>
      <x v="3"/>
      <x v="1257"/>
      <x v="6"/>
    </i>
    <i>
      <x v="1790"/>
      <x v="3"/>
      <x v="1258"/>
      <x v="6"/>
    </i>
    <i>
      <x v="1791"/>
      <x v="3"/>
      <x v="1259"/>
      <x v="6"/>
    </i>
    <i>
      <x v="1792"/>
      <x v="3"/>
      <x v="1260"/>
      <x v="6"/>
    </i>
    <i>
      <x v="1793"/>
      <x v="3"/>
      <x v="1261"/>
      <x v="6"/>
    </i>
    <i>
      <x v="1794"/>
      <x v="3"/>
      <x v="1262"/>
      <x v="6"/>
    </i>
    <i>
      <x v="1795"/>
      <x v="11"/>
      <x v="1263"/>
      <x v="9"/>
    </i>
    <i>
      <x v="1796"/>
      <x v="11"/>
      <x v="1264"/>
      <x v="9"/>
    </i>
    <i>
      <x v="1797"/>
      <x v="11"/>
      <x v="1265"/>
      <x v="9"/>
    </i>
    <i>
      <x v="1798"/>
      <x v="11"/>
      <x v="1266"/>
      <x v="9"/>
    </i>
    <i>
      <x v="1799"/>
      <x v="9"/>
      <x v="1267"/>
      <x v="9"/>
    </i>
    <i>
      <x v="1800"/>
      <x v="9"/>
      <x v="1268"/>
      <x v="9"/>
    </i>
    <i>
      <x v="1801"/>
      <x v="1"/>
      <x v="1278"/>
      <x v="13"/>
    </i>
    <i>
      <x v="1802"/>
      <x v="1"/>
      <x v="1278"/>
      <x v="13"/>
    </i>
    <i>
      <x v="1803"/>
      <x v="5"/>
      <x v="1210"/>
      <x v="9"/>
    </i>
    <i>
      <x v="1804"/>
      <x v="5"/>
      <x v="1212"/>
      <x v="9"/>
    </i>
    <i>
      <x v="1805"/>
      <x v="5"/>
      <x v="1218"/>
      <x v="9"/>
    </i>
    <i>
      <x v="1806"/>
      <x v="5"/>
      <x v="1221"/>
      <x v="9"/>
    </i>
    <i>
      <x v="1807"/>
      <x v="3"/>
      <x v="1273"/>
      <x v="6"/>
    </i>
    <i>
      <x v="1808"/>
      <x v="3"/>
      <x v="1274"/>
      <x v="6"/>
    </i>
    <i>
      <x v="1809"/>
      <x v="3"/>
      <x v="1314"/>
      <x v="9"/>
    </i>
    <i>
      <x v="1810"/>
      <x v="3"/>
      <x v="1275"/>
      <x v="6"/>
    </i>
    <i>
      <x v="1811"/>
      <x v="3"/>
      <x v="1276"/>
      <x v="6"/>
    </i>
    <i>
      <x v="1812"/>
      <x v="1"/>
      <x v="1281"/>
      <x v="13"/>
    </i>
    <i>
      <x v="1813"/>
      <x v="6"/>
      <x v="1285"/>
      <x v="15"/>
    </i>
    <i r="2">
      <x v="1286"/>
      <x v="15"/>
    </i>
    <i>
      <x v="1814"/>
      <x v="6"/>
      <x v="1287"/>
      <x v="15"/>
    </i>
    <i>
      <x v="1815"/>
      <x v="2"/>
      <x v="1277"/>
      <x v="1"/>
    </i>
    <i r="2">
      <x v="1278"/>
      <x v="4"/>
    </i>
    <i>
      <x v="1816"/>
      <x v="2"/>
      <x v="1241"/>
      <x v="1"/>
    </i>
    <i>
      <x v="1817"/>
      <x v="3"/>
      <x v="1137"/>
      <x v="6"/>
    </i>
    <i>
      <x v="1818"/>
      <x v="12"/>
      <x v="1151"/>
      <x v="37"/>
    </i>
    <i>
      <x v="1819"/>
      <x v="12"/>
      <x v="1153"/>
      <x v="37"/>
    </i>
    <i>
      <x v="1820"/>
      <x v="3"/>
      <x v="1288"/>
      <x v="1"/>
    </i>
    <i>
      <x v="1821"/>
      <x v="5"/>
      <x v="1289"/>
      <x v="9"/>
    </i>
    <i>
      <x v="1822"/>
      <x v="1"/>
      <x v="1270"/>
      <x v="12"/>
    </i>
    <i r="2">
      <x v="1313"/>
      <x v="12"/>
    </i>
    <i>
      <x v="1823"/>
      <x v="6"/>
      <x v="1271"/>
      <x v="6"/>
    </i>
    <i>
      <x v="1824"/>
      <x v="6"/>
      <x v="1272"/>
      <x v="6"/>
    </i>
    <i>
      <x v="1825"/>
      <x v="3"/>
      <x v="1291"/>
      <x v="4"/>
    </i>
    <i>
      <x v="1826"/>
      <x v="5"/>
      <x v="1293"/>
      <x v="9"/>
    </i>
    <i>
      <x v="1827"/>
      <x v="5"/>
      <x v="1294"/>
      <x v="6"/>
    </i>
    <i>
      <x v="1828"/>
      <x v="5"/>
      <x v="1295"/>
      <x v="9"/>
    </i>
    <i>
      <x v="1829"/>
      <x v="9"/>
      <x v="1296"/>
      <x v="9"/>
    </i>
    <i>
      <x v="1830"/>
      <x v="9"/>
      <x v="1278"/>
      <x v="38"/>
    </i>
    <i>
      <x v="1831"/>
      <x v="13"/>
      <x v="1309"/>
      <x v="4"/>
    </i>
    <i>
      <x v="1832"/>
      <x v="1"/>
      <x v="1298"/>
      <x v="9"/>
    </i>
    <i>
      <x v="1833"/>
      <x v="1"/>
      <x v="1299"/>
      <x v="13"/>
    </i>
    <i>
      <x v="1834"/>
      <x v="6"/>
      <x v="1300"/>
      <x v="6"/>
    </i>
    <i>
      <x v="1835"/>
      <x v="9"/>
      <x v="1301"/>
      <x v="12"/>
    </i>
    <i>
      <x v="1836"/>
      <x v="9"/>
      <x v="1302"/>
      <x v="12"/>
    </i>
    <i>
      <x v="1837"/>
      <x v="3"/>
      <x v="1305"/>
      <x v="6"/>
    </i>
    <i>
      <x v="1838"/>
      <x v="3"/>
      <x v="1306"/>
      <x v="6"/>
    </i>
    <i>
      <x v="1839"/>
      <x/>
      <x v="1278"/>
      <x v="38"/>
    </i>
    <i>
      <x v="1840"/>
      <x v="5"/>
      <x v="1308"/>
      <x v="9"/>
    </i>
    <i>
      <x v="1841"/>
      <x v="11"/>
      <x v="1310"/>
      <x v="20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2CC6B4-C26D-4BD4-9885-EF57EC302D5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Kode Barang Win" tableColumnId="1"/>
      <queryTableField id="2" name="Kode Pcpl" tableColumnId="2"/>
      <queryTableField id="3" name="SATUAN Fix Win" tableColumnId="3"/>
      <queryTableField id="4" name="ISI/CTN" tableColumnId="4"/>
      <queryTableField id="5" name="Kode PCPL yang sama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9092B5B-F9EC-42F9-89DA-09BF95416BA7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KODE BARANG" tableColumnId="1"/>
      <queryTableField id="2" name="NAMA BARANG" tableColumnId="2"/>
      <queryTableField id="3" name="ISI/CTN" tableColumnId="3"/>
      <queryTableField id="4" name="SATUAN" tableColumnId="4"/>
      <queryTableField id="5" name="NAMA KELOMPOK" tableColumnId="5"/>
      <queryTableField id="6" name="Harga Beli Pcs_x000a_(-PPN)" tableColumnId="6"/>
      <queryTableField id="7" name="Harga Beli Krt_x000a_(- PPN)" tableColumnId="7"/>
      <queryTableField id="8" name="Harga Beli Pcs_x000a_(+PPN)" tableColumnId="8"/>
      <queryTableField id="9" name="Harga Beli Krt_x000a_(+PPN)" tableColumnId="9"/>
      <queryTableField id="10" name="Harga Jual Pcs GT_x000a_(-PPN)" tableColumnId="10"/>
      <queryTableField id="11" name="Harga Jual Krt GT_x000a_(- PPN)" tableColumnId="11"/>
      <queryTableField id="12" name="Harga Jual Pcs GT_x000a_(+PPN" tableColumnId="12"/>
      <queryTableField id="13" name="Harga Jual Krt GT_x000a_(+PPN)" tableColumnId="13"/>
      <queryTableField id="14" name="Harga Jual Pcs MT_x000a_(-PPN)" tableColumnId="14"/>
      <queryTableField id="15" name="Harga Jual Krt MT_x000a_(- PPN)" tableColumnId="15"/>
      <queryTableField id="16" name="Harga Jual Pcs MT_x000a_(+PPN)" tableColumnId="16"/>
      <queryTableField id="17" name="Harga Jual Krt MT_x000a_(+PPN)" tableColumnId="17"/>
      <queryTableField id="18" name="NAMA PRINCIPLE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382EFE7-665D-4207-9D54-14A23CF8CDEF}" autoFormatId="16" applyNumberFormats="0" applyBorderFormats="0" applyFontFormats="0" applyPatternFormats="0" applyAlignmentFormats="0" applyWidthHeightFormats="0">
  <queryTableRefresh nextId="14" unboundColumnsRight="5">
    <queryTableFields count="7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G149" totalsRowShown="0" headerRowDxfId="126">
  <autoFilter ref="A3:G149" xr:uid="{3CC4D5B6-B490-422E-8111-BE237D0D794C}"/>
  <tableColumns count="7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125"/>
    <tableColumn id="7" xr3:uid="{F17EF59F-FE6A-4805-A859-F580036F8B9D}" name="HARGA/PCS" dataDxfId="124">
      <calculatedColumnFormula>F4/D4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2AE471-BADF-4A71-971A-ADF79963517B}" name="Pvt_Map_1" displayName="Pvt_Map_1" ref="A1:F193" tableType="queryTable" totalsRowShown="0">
  <autoFilter ref="A1:F193" xr:uid="{0B2AE471-BADF-4A71-971A-ADF79963517B}"/>
  <tableColumns count="6">
    <tableColumn id="1" xr3:uid="{3C66EAAF-A8E6-49E5-B472-031F8E19D876}" uniqueName="1" name="Kode Barang Win" queryTableFieldId="1" dataDxfId="123"/>
    <tableColumn id="2" xr3:uid="{E90739D0-44EC-4A04-9F14-5B7B9E8DF798}" uniqueName="2" name="Kode Pcpl" queryTableFieldId="2"/>
    <tableColumn id="3" xr3:uid="{D15394DC-71D4-4BAF-8718-85E2C3B1B25D}" uniqueName="3" name="SATUAN Fix Win" queryTableFieldId="3"/>
    <tableColumn id="4" xr3:uid="{5BEEBD25-7B13-4E6C-938A-A98C26E15AE1}" uniqueName="4" name="ISI/CTN" queryTableFieldId="4"/>
    <tableColumn id="5" xr3:uid="{06A5CC05-94FB-4549-8C64-3D9AFED020C0}" uniqueName="5" name="Kode PCPL yang sama" queryTableFieldId="5"/>
    <tableColumn id="6" xr3:uid="{44FA2EE1-E3B3-4348-B339-8E2B508A5C92}" uniqueName="6" name="Column1" queryTableFieldId="6" dataDxfId="122">
      <calculatedColumnFormula>Pvt_Map_1[[#This Row],[Kode Barang Win]]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1C1BE3-726F-4E63-B097-9BC7131F7187}" name="Fix_Mapping" displayName="Fix_Mapping" ref="A1:W136" tableType="queryTable" totalsRowShown="0">
  <autoFilter ref="A1:W136" xr:uid="{811C1BE3-726F-4E63-B097-9BC7131F7187}"/>
  <tableColumns count="23">
    <tableColumn id="1" xr3:uid="{B51ACFB8-B19C-419B-88C7-2F078C09C842}" uniqueName="1" name="KODE BARANG" queryTableFieldId="1"/>
    <tableColumn id="2" xr3:uid="{6EF17DCC-5C2C-4824-8658-EC1B628419DF}" uniqueName="2" name="NAMA BARANG" queryTableFieldId="2"/>
    <tableColumn id="3" xr3:uid="{E1B12B30-DCD5-437A-A94F-59F3653F42DC}" uniqueName="3" name="ISI/CTN" queryTableFieldId="3"/>
    <tableColumn id="4" xr3:uid="{CFFA1BD9-1C87-4897-80E0-F6C815299863}" uniqueName="4" name="SATUAN" queryTableFieldId="4"/>
    <tableColumn id="5" xr3:uid="{97A66C1C-0A66-4562-951A-200F93318E66}" uniqueName="5" name="NAMA KELOMPOK" queryTableFieldId="5"/>
    <tableColumn id="6" xr3:uid="{8BF8A8AC-0652-48AB-9E72-941FD9D7B9F0}" uniqueName="6" name="Harga Beli Pcs_x000a_(-PPN)" queryTableFieldId="6"/>
    <tableColumn id="7" xr3:uid="{61AF3CC3-BDC6-47B5-84E6-2ABB6F328B95}" uniqueName="7" name="Harga Beli Krt_x000a_(- PPN)" queryTableFieldId="7"/>
    <tableColumn id="8" xr3:uid="{BC85F8AE-C980-4D68-A376-936990047C2E}" uniqueName="8" name="Harga Beli Pcs_x000a_(+PPN)" queryTableFieldId="8"/>
    <tableColumn id="9" xr3:uid="{922F2695-CE66-47DF-9814-96684A57206D}" uniqueName="9" name="Harga Beli Krt_x000a_(+PPN)" queryTableFieldId="9"/>
    <tableColumn id="10" xr3:uid="{4853B508-48BA-4F89-9C31-A9035F1DD27C}" uniqueName="10" name="Harga Jual Pcs GT_x000a_(-PPN)" queryTableFieldId="10"/>
    <tableColumn id="11" xr3:uid="{2EDB4692-3B18-43E9-A6A9-ED3C1ECA4BCD}" uniqueName="11" name="Harga Jual Krt GT_x000a_(- PPN)" queryTableFieldId="11"/>
    <tableColumn id="12" xr3:uid="{D6B296AB-B2B4-46E0-BB9D-7E33D609EDE4}" uniqueName="12" name="Harga Jual Pcs GT_x000a_(+PPN" queryTableFieldId="12"/>
    <tableColumn id="13" xr3:uid="{60E08FCD-F969-443A-92C9-1549FEF11225}" uniqueName="13" name="Harga Jual Krt GT_x000a_(+PPN)" queryTableFieldId="13"/>
    <tableColumn id="14" xr3:uid="{DB0B0CB7-FE5D-4BDA-B6CD-1CB516E7C266}" uniqueName="14" name="Harga Jual Pcs MT_x000a_(-PPN)" queryTableFieldId="14"/>
    <tableColumn id="15" xr3:uid="{E22FD99C-1BED-46CE-B710-BE6B05392CC8}" uniqueName="15" name="Harga Jual Krt MT_x000a_(- PPN)" queryTableFieldId="15"/>
    <tableColumn id="16" xr3:uid="{3A082FA9-FCDE-4144-A292-1476BF1C7050}" uniqueName="16" name="Harga Jual Pcs MT_x000a_(+PPN)" queryTableFieldId="16"/>
    <tableColumn id="17" xr3:uid="{1C35E3FE-6F47-4D1F-8DEE-B60286927B08}" uniqueName="17" name="Harga Jual Krt MT_x000a_(+PPN)" queryTableFieldId="17"/>
    <tableColumn id="18" xr3:uid="{B823F0A0-B748-4F9E-B700-357456436D05}" uniqueName="18" name="NAMA PRINCIPLE" queryTableFieldId="18"/>
    <tableColumn id="19" xr3:uid="{39E35D26-7C5A-469C-AA2E-98553873CD1A}" uniqueName="19" name="PCPL KODE 1" queryTableFieldId="19" dataDxfId="121">
      <calculatedColumnFormula>IFERROR(VLOOKUP(CONCATENATE(Fix_Mapping[[#This Row],[KODE BARANG]],1),'Form Fix'!$A$6:$F$286,4,0),0)</calculatedColumnFormula>
    </tableColumn>
    <tableColumn id="20" xr3:uid="{15951A06-3936-4471-9EDD-97AEE26AE785}" uniqueName="20" name="PCPL KODE 2" queryTableFieldId="20" dataDxfId="120">
      <calculatedColumnFormula>IFERROR(VLOOKUP(CONCATENATE(Fix_Mapping[[#This Row],[KODE BARANG]],2),'Form Fix'!$A$6:$F$286,4,0),0)</calculatedColumnFormula>
    </tableColumn>
    <tableColumn id="21" xr3:uid="{22032337-950B-4600-898F-248EFF4F2DE2}" uniqueName="21" name="PCPL KODE 3" queryTableFieldId="21" dataDxfId="119">
      <calculatedColumnFormula>IFERROR(VLOOKUP(CONCATENATE(Fix_Mapping[[#This Row],[KODE BARANG]],3),'Form Fix'!$A$6:$F$286,4,0),0)</calculatedColumnFormula>
    </tableColumn>
    <tableColumn id="22" xr3:uid="{32942D54-CB3B-4EA0-9274-A5F561D92755}" uniqueName="22" name="PCPL KODE 4" queryTableFieldId="22" dataDxfId="118">
      <calculatedColumnFormula>IFERROR(VLOOKUP(CONCATENATE(Fix_Mapping[[#This Row],[KODE BARANG]],4),'Form Fix'!$A$6:$F$286,4,0),0)</calculatedColumnFormula>
    </tableColumn>
    <tableColumn id="23" xr3:uid="{A826087C-0EB3-4464-B0AD-854AC2F252F3}" uniqueName="23" name="PCPL KODE 5" queryTableFieldId="23" dataDxfId="117">
      <calculatedColumnFormula>IFERROR(VLOOKUP(CONCATENATE(Fix_Mapping[[#This Row],[KODE BARANG]],5),'Form Fix'!$A$6:$F$286,4,0),0)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G177" tableType="queryTable" totalsRowShown="0" headerRowDxfId="116">
  <autoFilter ref="A1:G177" xr:uid="{DA98434C-26AE-48FD-B3F4-96948A08CD3B}"/>
  <tableColumns count="7">
    <tableColumn id="1" xr3:uid="{31BB9C54-2D8C-473F-9016-82E2E1A6443E}" uniqueName="1" name="Kode BARANG Win2" queryTableFieldId="1" dataDxfId="115"/>
    <tableColumn id="2" xr3:uid="{6A996067-9B57-423B-8632-80C898664E0E}" uniqueName="2" name="Nama Win" queryTableFieldId="2" dataDxfId="114"/>
    <tableColumn id="3" xr3:uid="{69DA0886-20BD-4E67-96D2-3AE6E0780CEE}" uniqueName="3" name="PCPL KODE 1" queryTableFieldId="3" dataDxfId="113">
      <calculatedColumnFormula>IFERROR(VLOOKUP(CONCATENATE(Table43_1[[#This Row],[Kode BARANG Win2]],1),'Form Fix'!$A$6:$F$205,4,0),0)</calculatedColumnFormula>
    </tableColumn>
    <tableColumn id="4" xr3:uid="{D83076C0-D597-4435-ACF4-A22A4A438E13}" uniqueName="4" name="PCPL KODE 2" queryTableFieldId="4" dataDxfId="112">
      <calculatedColumnFormula>IFERROR(VLOOKUP(CONCATENATE(Table43_1[[#This Row],[Kode BARANG Win2]],2),'Form Fix'!$A$6:$F$205,4,0),0)</calculatedColumnFormula>
    </tableColumn>
    <tableColumn id="5" xr3:uid="{595AB651-18CD-4D1D-8C4D-89D5370E9776}" uniqueName="5" name="PCPL KODE 3" queryTableFieldId="5" dataDxfId="111">
      <calculatedColumnFormula>IFERROR(VLOOKUP(CONCATENATE(Table43_1[[#This Row],[Kode BARANG Win2]],3),'Form Fix'!$A$6:$F$205,4,0),0)</calculatedColumnFormula>
    </tableColumn>
    <tableColumn id="6" xr3:uid="{28FEB60B-DF21-48F8-BEA5-48DBC48A5B75}" uniqueName="6" name="PCPL KODE 4" queryTableFieldId="6" dataDxfId="110">
      <calculatedColumnFormula>IFERROR(VLOOKUP(CONCATENATE(Table43_1[[#This Row],[Kode BARANG Win2]],4),'Form Fix'!$A$6:$F$205,4,0),0)</calculatedColumnFormula>
    </tableColumn>
    <tableColumn id="7" xr3:uid="{E4822B09-9A4D-421C-8B71-CFB4D19DA6D5}" uniqueName="7" name="PCPL KODE 5" queryTableFieldId="7" dataDxfId="109">
      <calculatedColumnFormula>IFERROR(VLOOKUP(CONCATENATE(Table43_1[[#This Row],[Kode BARANG Win2]],5),'Form Fix'!$A$6:$F$205,4,0),0)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O205" totalsRowShown="0" headerRowDxfId="108" dataDxfId="107">
  <autoFilter ref="A5:BO205" xr:uid="{54C16BF0-79DE-4AA8-B765-589F6E68603C}"/>
  <tableColumns count="67">
    <tableColumn id="55" xr3:uid="{CB3BF274-8DCE-41BB-9B32-A4A0E5160E9E}" name="CONCATENATE MAPPING" dataDxfId="106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105"/>
    <tableColumn id="1" xr3:uid="{85FE288B-8541-4641-996B-E6A8A5F4A6D2}" name="NO" dataDxfId="104"/>
    <tableColumn id="2" xr3:uid="{4D00D15C-8CB3-45EB-B893-46E3D9DA7E7C}" name="Kode Pcpl" dataDxfId="103"/>
    <tableColumn id="3" xr3:uid="{A6940086-DCF1-4D70-AC15-4DDB5A20527D}" name="Klp Brg Pcpl" dataDxfId="102"/>
    <tableColumn id="4" xr3:uid="{7868B435-2881-44F5-8127-2AC02BB8FF54}" name="Nama Barang Principle" dataDxfId="101"/>
    <tableColumn id="5" xr3:uid="{99EF5EBA-95A5-41BA-B5E2-F4186C4D7900}" name="ISI/CTN" dataDxfId="100"/>
    <tableColumn id="60" xr3:uid="{5958516F-260E-4067-B49A-D1FC7947E931}" name="Ket. Tambahan / Pembantu" dataDxfId="99"/>
    <tableColumn id="6" xr3:uid="{C1544D2E-EA97-44D5-93EC-E4EA2D3EB898}" name="SATUAN Fix Win" dataDxfId="98">
      <calculatedColumnFormula>Table43[[#This Row],[Nama Jenis Kemasan]]</calculatedColumnFormula>
    </tableColumn>
    <tableColumn id="25" xr3:uid="{B5B6B568-DDF2-46D3-84E9-AC1305514F44}" name="Nama Kelompok Win" dataDxfId="97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96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95">
      <calculatedColumnFormula>IF(AG6="",CONCATENATE(Q6,S6,U6,W6,Y6,AA6,AC6,AE6,Table43[[#This Row],[Tanda Kode Revisi]]),CONCATENATE(Q6,S6,U6,W6,Y6,AA6,AC6,AG6))</calculatedColumnFormula>
    </tableColumn>
    <tableColumn id="8" xr3:uid="{2295F7F9-3F13-4C88-A371-F469CABC65C0}" name="LEN 15" dataDxfId="94">
      <calculatedColumnFormula>LEN(L6)</calculatedColumnFormula>
    </tableColumn>
    <tableColumn id="9" xr3:uid="{3A8B9DDC-836C-4F5D-ABE0-9A18704E8F2F}" name="Nama Win" dataDxfId="93">
      <calculatedColumnFormula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calculatedColumnFormula>
    </tableColumn>
    <tableColumn id="10" xr3:uid="{BEE43B47-D690-43AA-8283-32254C2DE99E}" name="LEN 50" dataDxfId="92">
      <calculatedColumnFormula>LEN(N6)</calculatedColumnFormula>
    </tableColumn>
    <tableColumn id="11" xr3:uid="{B9517A5B-A4FE-4920-9655-E18B7E3BE7B3}" name="Nama Pcpl                   " dataDxfId="91"/>
    <tableColumn id="12" xr3:uid="{AF1BD272-63C7-4A44-9EC4-86FD521AC3C0}" name="kode  2 Digit                (hrf+No)" dataDxfId="90"/>
    <tableColumn id="13" xr3:uid="{8C295EE0-F0E2-49B5-A761-589A78DB5AEC}" name="Nama            KLP" dataDxfId="89"/>
    <tableColumn id="14" xr3:uid="{C61799E4-4666-420E-88B5-D408C4D80BD2}" name="kode  2 Digit                (Nomor)" dataDxfId="88"/>
    <tableColumn id="15" xr3:uid="{5CAD4DC6-D575-46B3-9B7D-358D6277FEE6}" name="Nama            Sub KLP" dataDxfId="87"/>
    <tableColumn id="16" xr3:uid="{B8BC8B9E-7657-4472-B25A-8BC91823519D}" name="kode  1 Digit                (Nomor)" dataDxfId="86"/>
    <tableColumn id="43" xr3:uid="{E0F6FDBF-0C58-4435-B37E-8F4982576C03}" name="Nama            Sub KLP2" dataDxfId="85"/>
    <tableColumn id="42" xr3:uid="{BC6E6B7F-CB37-4E76-811E-777A47DBB0FB}" name="kode  1 Digit                (Nomor)5" dataDxfId="84"/>
    <tableColumn id="17" xr3:uid="{CC15E84F-43D6-499C-9B97-7393C2E08DEE}" name="Nama            Aroma/             Rasa" dataDxfId="83"/>
    <tableColumn id="18" xr3:uid="{92F50D0B-B8AF-46C8-8DED-8C4FCA3EAB32}" name="kode  2 Digit                (Nomor)2" dataDxfId="82"/>
    <tableColumn id="19" xr3:uid="{FBD2E431-C8B9-4504-B534-37D23CA8CF4E}" name="Nama            Gramasi atau Jumlah Pack per CTN" dataDxfId="81"/>
    <tableColumn id="20" xr3:uid="{8C441438-C2B9-478E-8C3E-B106D86B98E9}" name="kode  4 Digit                (Nomor)" dataDxfId="80"/>
    <tableColumn id="21" xr3:uid="{FA81B4D2-C91D-48D8-BC87-E2FF2A9C0EAC}" name="Nama Jenis Kemasan" dataDxfId="79"/>
    <tableColumn id="22" xr3:uid="{FE91392F-15C5-40A5-B22B-A44F3233104A}" name="kode  1 Digit                (Nomor)3" dataDxfId="78"/>
    <tableColumn id="23" xr3:uid="{E66B432C-699E-4075-A1B9-59A3F37C2ED1}" name="Nama            Promo" dataDxfId="77"/>
    <tableColumn id="24" xr3:uid="{55D14A62-2546-4E0B-8CD7-497CC4E2EA7C}" name="kode  1 Digit                (Nomor)4" dataDxfId="76"/>
    <tableColumn id="57" xr3:uid="{CF6FE0CF-0631-4633-B8AF-03043297F2FD}" name="Gunakan ini apabila item tersebut sachet" dataDxfId="75"/>
    <tableColumn id="58" xr3:uid="{DC3F0DB1-1038-4591-AB0F-345C6EAA5DC1}" name="kode  1 Digit                (Nomor)32" dataDxfId="74"/>
    <tableColumn id="56" xr3:uid="{DD067543-3BD1-4D38-AA6D-E35DA527C969}" name="KET TAMBAHAN2" dataDxfId="73"/>
    <tableColumn id="63" xr3:uid="{67C5621D-B599-47A5-8B2A-18B8B3857343}" name="KET. GOLONGAN" dataDxfId="72"/>
    <tableColumn id="62" xr3:uid="{AE1DD367-C93E-4186-BDCE-3B52BF67AEC1}" name="kode  1 Digit_x000a_(Nomor)" dataDxfId="71"/>
    <tableColumn id="64" xr3:uid="{50C33980-9678-4F7D-BD39-DDBD132EEB0A}" name="Tanda Kode Revisi" dataDxfId="70"/>
    <tableColumn id="27" xr3:uid="{43E29ECC-C19C-400E-8523-C52F4136D842}" name="Harga Beli Pcs_x000a_(-PPN)" dataDxfId="69"/>
    <tableColumn id="28" xr3:uid="{D3F6C878-9638-485B-BFAE-77D46CA11DC2}" name="Harga Beli Krt_x000a_(- PPN)" dataDxfId="68">
      <calculatedColumnFormula>Table43[[#This Row],[Harga Beli Pcs
(-PPN)]]*Table43[[#This Row],[ISI/CTN]]</calculatedColumnFormula>
    </tableColumn>
    <tableColumn id="29" xr3:uid="{6BE5CD38-736C-4EFB-9026-7BD3DFD3FB0E}" name="Harga Beli Pcs_x000a_(+PPN)" dataDxfId="67">
      <calculatedColumnFormula>Table43[[#This Row],[Harga Beli Pcs
(-PPN)]]*1.11</calculatedColumnFormula>
    </tableColumn>
    <tableColumn id="30" xr3:uid="{B77BDD11-ED64-4F63-9206-D9675922BDB4}" name="Harga Beli Krt_x000a_(+PPN)" dataDxfId="66">
      <calculatedColumnFormula>Table43[[#This Row],[Harga Beli Krt
(- PPN)]]*1.11</calculatedColumnFormula>
    </tableColumn>
    <tableColumn id="31" xr3:uid="{C3E69A61-BD61-48F6-8D18-55EB5DF5AFBC}" name="Harga Jual Pcs GT_x000a_(-PPN)" dataDxfId="65"/>
    <tableColumn id="32" xr3:uid="{5B07EF52-741F-4643-B20A-812423EABCF9}" name="Harga Jual Krt GT_x000a_(- PPN)" dataDxfId="64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63">
      <calculatedColumnFormula>Table43[[#This Row],[Harga Jual Pcs GT
(-PPN)]]*1.11</calculatedColumnFormula>
    </tableColumn>
    <tableColumn id="34" xr3:uid="{0E6414C5-AD77-4BAB-9B8A-BDCF6CC4C0B1}" name="Harga Jual Krt GT_x000a_(+PPN)" dataDxfId="62">
      <calculatedColumnFormula>Table43[[#This Row],[Harga Jual Krt GT
(- PPN)]]*1.11</calculatedColumnFormula>
    </tableColumn>
    <tableColumn id="35" xr3:uid="{B3D28969-A331-4293-BC40-54C14E70428D}" name="Harga Jual Pcs MT_x000a_(-PPN)" dataDxfId="61"/>
    <tableColumn id="36" xr3:uid="{F0A0A596-FB37-4AF0-B84F-70D41FB9F986}" name="Harga Jual Krt MT_x000a_(- PPN)" dataDxfId="60">
      <calculatedColumnFormula>Table43[[#This Row],[Harga Jual Pcs MT
(-PPN)]]*Table43[[#This Row],[ISI/CTN]]</calculatedColumnFormula>
    </tableColumn>
    <tableColumn id="37" xr3:uid="{87A4BECE-CCD9-42F5-BA52-C2CAF9EF9027}" name="Harga Jual Pcs MT_x000a_(+PPN)" dataDxfId="59">
      <calculatedColumnFormula>Table43[[#This Row],[Harga Jual Pcs MT
(-PPN)]]*1.11</calculatedColumnFormula>
    </tableColumn>
    <tableColumn id="38" xr3:uid="{54EE3428-4D28-41F3-82D8-5739689EF53C}" name="Harga Jual Krt MT_x000a_(+PPN)" dataDxfId="58">
      <calculatedColumnFormula>Table43[[#This Row],[Harga Jual Pcs MT
(+PPN)]]*Table43[[#This Row],[ISI/CTN]]</calculatedColumnFormula>
    </tableColumn>
    <tableColumn id="68" xr3:uid="{482F0DC8-C8C9-48E9-BB1C-F0978224C8C9}" name="MARGIN" dataDxfId="57">
      <calculatedColumnFormula>IFERROR((Table43[[#This Row],[Harga Jual Pcs GT
(-PPN)]]-Table43[[#This Row],[Harga Beli Pcs
(-PPN)]])/Table43[[#This Row],[Harga Jual Pcs GT
(-PPN)]],0)</calculatedColumnFormula>
    </tableColumn>
    <tableColumn id="39" xr3:uid="{E06EB49C-38D8-4E02-AC5A-6F862094C95E}" name="Efektif_x000a_Pembuatan" dataDxfId="56"/>
    <tableColumn id="41" xr3:uid="{7110AEF5-00F8-472F-9973-F8BE88DA785A}" name="Efektif Naik Harga" dataDxfId="55"/>
    <tableColumn id="44" xr3:uid="{0F69406A-F478-4BF7-BD19-F56D18C4FC8A}" name="Status_x000a_Pembuatan" dataDxfId="54">
      <calculatedColumnFormula>IF(TODAY()-Table43[[#This Row],[Efektif
Pembuatan]]&gt;60,"Lama","Baru")</calculatedColumnFormula>
    </tableColumn>
    <tableColumn id="47" xr3:uid="{35F46EAF-E490-4324-90D9-53EF4A0476DF}" name="Status_x000a_Harga" dataDxfId="53">
      <calculatedColumnFormula>IF(TODAY()-Table43[[#This Row],[Efektif Naik Harga]]&lt;30,"Naik","Sama")</calculatedColumnFormula>
    </tableColumn>
    <tableColumn id="67" xr3:uid="{ED5ECC77-228E-4FC9-9B92-66FC787F9B8F}" name="Status Barang" dataDxfId="52"/>
    <tableColumn id="45" xr3:uid="{E21CA75C-0180-4056-B79A-CBE7BED6F65B}" name="Mata Uang" dataDxfId="51">
      <calculatedColumnFormula>IF(Table43[[#This Row],[Kode BARANG Win2]]&lt;&gt;"","IDR","")</calculatedColumnFormula>
    </tableColumn>
    <tableColumn id="46" xr3:uid="{E926CFF0-EF62-4403-95B7-24CA3D12C195}" name="Kode_x000a_Golongan" dataDxfId="50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49">
      <calculatedColumnFormula>Table43[[#This Row],[Nama            Gramasi atau Jumlah Pack per CTN]]</calculatedColumnFormula>
    </tableColumn>
    <tableColumn id="48" xr3:uid="{92975CD6-815A-445A-8C23-15D307D7EC58}" name="Kode PCPL To Win" dataDxfId="48"/>
    <tableColumn id="59" xr3:uid="{F44C1E1F-D2BD-4517-8D72-EAECBFE5567D}" name="Kode Jenis Produk" dataDxfId="47"/>
    <tableColumn id="49" xr3:uid="{11501F91-51E4-4C7D-8E98-0DF693090419}" name="SAT BSR" dataDxfId="46">
      <calculatedColumnFormula>IF(Table43[[#This Row],[SATUAN Fix Win]]&lt;&gt;"","KRT")</calculatedColumnFormula>
    </tableColumn>
    <tableColumn id="50" xr3:uid="{8EACBA93-F18B-4F78-ABD5-7BACC7444F4A}" name="GD" dataDxfId="45">
      <calculatedColumnFormula>IF(Table43[[#This Row],[SATUAN Fix Win]]&lt;&gt;"","GD01")</calculatedColumnFormula>
    </tableColumn>
    <tableColumn id="51" xr3:uid="{30FB878C-CFE7-4C65-A919-5818ED52D5FB}" name="Kode PRK" dataDxfId="44">
      <calculatedColumnFormula>IF(Table43[[#This Row],[SATUAN Fix Win]]&lt;&gt;"",11611)</calculatedColumnFormula>
    </tableColumn>
    <tableColumn id="52" xr3:uid="{F08059D0-B0A7-45F8-BD19-C933CD841F0C}" name="Kode PRK SJ" dataDxfId="43">
      <calculatedColumnFormula>IF(Table43[[#This Row],[SATUAN Fix Win]]&lt;&gt;"",11612)</calculatedColumnFormula>
    </tableColumn>
    <tableColumn id="53" xr3:uid="{EE9508A7-8F3E-4D36-8983-7EA9BD849C9E}" name="Kode Job" dataDxfId="42"/>
    <tableColumn id="54" xr3:uid="{78C77ED1-929C-4C56-B83E-7D78EF2AD224}" name="Approval" dataDxfId="41">
      <calculatedColumnFormula>IF(Table43[[#This Row],[SATUAN Fix Win]]&lt;&gt;"",1)</calculatedColumnFormula>
    </tableColumn>
    <tableColumn id="69" xr3:uid="{BA32F7A6-F3CA-4064-AD29-15A76CEC103E}" name="Nama Principle" dataDxfId="4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Form_To_Win" displayName="Form_To_Win" ref="A1:AF177" tableType="queryTable" totalsRowShown="0">
  <autoFilter ref="A1:AF177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 dataDxfId="39"/>
    <tableColumn id="4" xr3:uid="{4339837B-25AE-416F-8A32-BD6D4FF86CEE}" uniqueName="4" name="Klp Brg Pcpl" queryTableFieldId="4" dataDxfId="38"/>
    <tableColumn id="5" xr3:uid="{B0F53A75-DFCD-4240-9696-5D81C9591EA4}" uniqueName="5" name="Nama Barang Principle" queryTableFieldId="5" dataDxfId="37"/>
    <tableColumn id="6" xr3:uid="{888F5ACA-92A0-4279-98E5-035507A9B545}" uniqueName="6" name="ISI/CTN" queryTableFieldId="6"/>
    <tableColumn id="7" xr3:uid="{88E2D5AA-218D-4271-8003-E6B78E7BD80C}" uniqueName="7" name="SATUAN Fix Win" queryTableFieldId="7" dataDxfId="36"/>
    <tableColumn id="8" xr3:uid="{5EFF0F93-3CD4-4D49-ACD0-EC48C04959BB}" uniqueName="8" name="Nama Kelompok Win" queryTableFieldId="8" dataDxfId="35"/>
    <tableColumn id="9" xr3:uid="{A595E7CA-DA20-4EC6-8B1A-F563B1475196}" uniqueName="9" name="Kode Kelompok Win" queryTableFieldId="9" dataDxfId="34"/>
    <tableColumn id="10" xr3:uid="{D196C971-2FE4-4DF0-BC77-37A5DC6E6080}" uniqueName="10" name="Kode BARANG Win2" queryTableFieldId="10" dataDxfId="33"/>
    <tableColumn id="11" xr3:uid="{E9ED0952-7BEE-45E9-850B-722F2D5A2FF3}" uniqueName="11" name="Nama Win" queryTableFieldId="11" dataDxfId="32"/>
    <tableColumn id="12" xr3:uid="{E4D43633-76D1-4479-9C8F-9C8A5B5661AC}" uniqueName="12" name="Harga Beli Pcs_x000a_(-PPN)" queryTableFieldId="12" dataDxfId="31"/>
    <tableColumn id="13" xr3:uid="{B14F65F0-1E40-4952-AA3C-E8537971F043}" uniqueName="13" name="Harga Beli Krt_x000a_(- PPN)" queryTableFieldId="13" dataDxfId="30"/>
    <tableColumn id="14" xr3:uid="{93E12BF1-8BFA-4E1B-B185-8DE635510D64}" uniqueName="14" name="Harga Jual Pcs GT_x000a_(-PPN)" queryTableFieldId="14" dataDxfId="29"/>
    <tableColumn id="15" xr3:uid="{94B7C63D-6711-47AE-9A69-3B3FE6FEE85A}" uniqueName="15" name="Harga Jual Krt GT_x000a_(- PPN)" queryTableFieldId="15" dataDxfId="28"/>
    <tableColumn id="16" xr3:uid="{D61F4D8C-B229-4926-AB62-94034EEA84E9}" uniqueName="16" name="Harga Jual Pcs MT_x000a_(-PPN)" queryTableFieldId="16" dataDxfId="27"/>
    <tableColumn id="17" xr3:uid="{5B3A011A-BA71-4277-9E58-4B18FDD50AC8}" uniqueName="17" name="Harga Jual Krt MT_x000a_(- PPN)" queryTableFieldId="17" dataDxfId="26"/>
    <tableColumn id="18" xr3:uid="{DF9056B3-ED60-4257-AAD6-DBF274EA4118}" uniqueName="18" name="Efektif_x000a_Pembuatan" queryTableFieldId="18" dataDxfId="25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24"/>
    <tableColumn id="21" xr3:uid="{F61C894D-165F-46BC-9020-BF36BCD38322}" uniqueName="21" name="Status_x000a_Harga" queryTableFieldId="21" dataDxfId="23"/>
    <tableColumn id="22" xr3:uid="{F64DD3B8-D46A-4EC3-AF16-85E5816AA426}" uniqueName="22" name="Mata Uang" queryTableFieldId="22" dataDxfId="22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21"/>
    <tableColumn id="26" xr3:uid="{2C5F50FE-4D60-4F8C-8791-2B13EF198CB1}" uniqueName="26" name="Kode Jenis Produk" queryTableFieldId="26" dataDxfId="20"/>
    <tableColumn id="27" xr3:uid="{FC36F7D7-DB67-4E79-B10B-F8DD6CE666B1}" uniqueName="27" name="SAT BSR" queryTableFieldId="27" dataDxfId="19"/>
    <tableColumn id="28" xr3:uid="{4A72BC0F-5F5D-43B1-ACAD-E858683FF259}" uniqueName="28" name="GD" queryTableFieldId="28" dataDxfId="18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30" totalsRowShown="0" headerRowDxfId="17">
  <autoFilter ref="A1:F30" xr:uid="{F875F8DE-CB7C-4308-A691-9E3941D53B3E}"/>
  <tableColumns count="6">
    <tableColumn id="6" xr3:uid="{57DA8C82-ABFB-4A34-9B5F-44B7F0DAEC8F}" name="NO." dataDxfId="16"/>
    <tableColumn id="1" xr3:uid="{B77CF1CA-DDD6-404E-9FD8-B5C684B9DF8E}" name="SM" dataDxfId="15"/>
    <tableColumn id="2" xr3:uid="{58D54B12-50C5-4B06-833A-679BA1CA60EC}" name="GOLONGAN" dataDxfId="14"/>
    <tableColumn id="3" xr3:uid="{87474CC8-BA21-433D-889A-232E06A10667}" name="PRINCIPAL"/>
    <tableColumn id="4" xr3:uid="{D0F69691-FD9B-4704-A53F-FBD77C8C83F9}" name="Nama Pcpl                   " dataDxfId="13"/>
    <tableColumn id="5" xr3:uid="{4098D521-36EB-4C06-8659-70F47E137D16}" name="kode  2 Digit                (hrf+No)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G149"/>
  <sheetViews>
    <sheetView topLeftCell="A34" workbookViewId="0">
      <selection activeCell="A4" sqref="A4:D149"/>
    </sheetView>
  </sheetViews>
  <sheetFormatPr defaultRowHeight="15"/>
  <cols>
    <col min="1" max="1" width="23.85546875" bestFit="1" customWidth="1"/>
    <col min="2" max="2" width="15.28515625" customWidth="1"/>
    <col min="3" max="3" width="61.42578125" bestFit="1" customWidth="1"/>
    <col min="4" max="4" width="12.140625" bestFit="1" customWidth="1"/>
    <col min="5" max="5" width="13" bestFit="1" customWidth="1"/>
    <col min="6" max="6" width="13.28515625" style="40" customWidth="1"/>
    <col min="7" max="7" width="16.5703125" style="40" bestFit="1" customWidth="1"/>
  </cols>
  <sheetData>
    <row r="3" spans="1:7" ht="40.15" customHeight="1">
      <c r="A3" s="29" t="s">
        <v>148</v>
      </c>
      <c r="B3" s="29" t="s">
        <v>2</v>
      </c>
      <c r="C3" s="29" t="s">
        <v>3</v>
      </c>
      <c r="D3" s="29" t="s">
        <v>4</v>
      </c>
      <c r="E3" s="29" t="s">
        <v>1</v>
      </c>
      <c r="F3" s="41" t="s">
        <v>5</v>
      </c>
      <c r="G3" s="41" t="s">
        <v>6</v>
      </c>
    </row>
    <row r="4" spans="1:7">
      <c r="A4" t="s">
        <v>193</v>
      </c>
      <c r="B4">
        <v>10002</v>
      </c>
      <c r="C4" t="s">
        <v>209</v>
      </c>
      <c r="D4">
        <v>1000</v>
      </c>
      <c r="E4" t="s">
        <v>355</v>
      </c>
      <c r="F4" s="40">
        <v>3210000</v>
      </c>
      <c r="G4" s="40">
        <f t="shared" ref="G4:G14" si="0">F4/D4</f>
        <v>3210</v>
      </c>
    </row>
    <row r="5" spans="1:7">
      <c r="A5" t="s">
        <v>193</v>
      </c>
      <c r="B5">
        <v>10063</v>
      </c>
      <c r="C5" t="s">
        <v>210</v>
      </c>
      <c r="D5">
        <v>300</v>
      </c>
      <c r="E5" t="s">
        <v>356</v>
      </c>
      <c r="F5" s="40">
        <v>600000</v>
      </c>
      <c r="G5" s="40">
        <f t="shared" si="0"/>
        <v>2000</v>
      </c>
    </row>
    <row r="6" spans="1:7">
      <c r="A6" t="s">
        <v>193</v>
      </c>
      <c r="B6">
        <v>10074</v>
      </c>
      <c r="C6" t="s">
        <v>211</v>
      </c>
      <c r="D6">
        <v>360</v>
      </c>
      <c r="E6" t="s">
        <v>356</v>
      </c>
      <c r="F6" s="40">
        <v>1116000</v>
      </c>
      <c r="G6" s="40">
        <f t="shared" si="0"/>
        <v>3100</v>
      </c>
    </row>
    <row r="7" spans="1:7">
      <c r="A7" t="s">
        <v>193</v>
      </c>
      <c r="B7">
        <v>10075</v>
      </c>
      <c r="C7" t="s">
        <v>212</v>
      </c>
      <c r="D7">
        <v>360</v>
      </c>
      <c r="E7" t="s">
        <v>356</v>
      </c>
      <c r="F7" s="40">
        <v>1116000</v>
      </c>
      <c r="G7" s="40">
        <f t="shared" si="0"/>
        <v>3100</v>
      </c>
    </row>
    <row r="8" spans="1:7">
      <c r="A8" t="s">
        <v>193</v>
      </c>
      <c r="B8">
        <v>10077</v>
      </c>
      <c r="C8" t="s">
        <v>213</v>
      </c>
      <c r="D8">
        <v>300</v>
      </c>
      <c r="E8" t="s">
        <v>356</v>
      </c>
      <c r="F8" s="40">
        <v>930000</v>
      </c>
      <c r="G8" s="40">
        <f t="shared" si="0"/>
        <v>3100</v>
      </c>
    </row>
    <row r="9" spans="1:7">
      <c r="A9" t="s">
        <v>193</v>
      </c>
      <c r="B9">
        <v>10110</v>
      </c>
      <c r="C9" t="s">
        <v>214</v>
      </c>
      <c r="D9">
        <v>1000</v>
      </c>
      <c r="E9" t="s">
        <v>355</v>
      </c>
      <c r="F9" s="40">
        <v>4036000</v>
      </c>
      <c r="G9" s="40">
        <f t="shared" si="0"/>
        <v>4036</v>
      </c>
    </row>
    <row r="10" spans="1:7">
      <c r="A10" t="s">
        <v>193</v>
      </c>
      <c r="B10">
        <v>10112</v>
      </c>
      <c r="C10" t="s">
        <v>215</v>
      </c>
      <c r="D10">
        <v>360</v>
      </c>
      <c r="E10" t="s">
        <v>356</v>
      </c>
      <c r="F10" s="40">
        <v>1116000</v>
      </c>
      <c r="G10" s="40">
        <f t="shared" si="0"/>
        <v>3100</v>
      </c>
    </row>
    <row r="11" spans="1:7">
      <c r="A11" t="s">
        <v>193</v>
      </c>
      <c r="B11">
        <v>10134</v>
      </c>
      <c r="C11" t="s">
        <v>216</v>
      </c>
      <c r="D11">
        <v>420</v>
      </c>
      <c r="E11" t="s">
        <v>356</v>
      </c>
      <c r="F11" s="40">
        <v>1115998.8</v>
      </c>
      <c r="G11" s="40">
        <f t="shared" si="0"/>
        <v>2657.1400000000003</v>
      </c>
    </row>
    <row r="12" spans="1:7">
      <c r="A12" t="s">
        <v>193</v>
      </c>
      <c r="B12">
        <v>10135</v>
      </c>
      <c r="C12" t="s">
        <v>217</v>
      </c>
      <c r="D12">
        <v>420</v>
      </c>
      <c r="E12" t="s">
        <v>356</v>
      </c>
      <c r="F12" s="40">
        <v>1115998.8</v>
      </c>
      <c r="G12" s="40">
        <f t="shared" si="0"/>
        <v>2657.1400000000003</v>
      </c>
    </row>
    <row r="13" spans="1:7">
      <c r="A13" t="s">
        <v>194</v>
      </c>
      <c r="B13">
        <v>10039</v>
      </c>
      <c r="C13" t="s">
        <v>218</v>
      </c>
      <c r="D13">
        <v>270</v>
      </c>
      <c r="E13" t="s">
        <v>356</v>
      </c>
      <c r="F13" s="40">
        <v>558090</v>
      </c>
      <c r="G13" s="40">
        <f t="shared" si="0"/>
        <v>2067</v>
      </c>
    </row>
    <row r="14" spans="1:7">
      <c r="A14" t="s">
        <v>194</v>
      </c>
      <c r="B14">
        <v>10048</v>
      </c>
      <c r="C14" t="s">
        <v>219</v>
      </c>
      <c r="D14">
        <v>180</v>
      </c>
      <c r="E14" t="s">
        <v>356</v>
      </c>
      <c r="F14" s="40">
        <v>372060</v>
      </c>
      <c r="G14" s="40">
        <f t="shared" si="0"/>
        <v>2067</v>
      </c>
    </row>
    <row r="15" spans="1:7">
      <c r="A15" t="s">
        <v>194</v>
      </c>
      <c r="B15">
        <v>10067</v>
      </c>
      <c r="C15" t="s">
        <v>220</v>
      </c>
      <c r="D15">
        <v>6</v>
      </c>
      <c r="E15" t="s">
        <v>357</v>
      </c>
      <c r="F15" s="40">
        <v>213666</v>
      </c>
      <c r="G15" s="40">
        <f t="shared" ref="G15:G46" si="1">F15/D15</f>
        <v>35611</v>
      </c>
    </row>
    <row r="16" spans="1:7">
      <c r="A16" t="s">
        <v>194</v>
      </c>
      <c r="B16">
        <v>10081</v>
      </c>
      <c r="C16" t="s">
        <v>221</v>
      </c>
      <c r="D16">
        <v>6</v>
      </c>
      <c r="E16" t="s">
        <v>357</v>
      </c>
      <c r="F16" s="40">
        <v>121554</v>
      </c>
      <c r="G16" s="40">
        <f t="shared" si="1"/>
        <v>20259</v>
      </c>
    </row>
    <row r="17" spans="1:7">
      <c r="A17" t="s">
        <v>194</v>
      </c>
      <c r="B17">
        <v>10089</v>
      </c>
      <c r="C17" t="s">
        <v>222</v>
      </c>
      <c r="D17">
        <v>25</v>
      </c>
      <c r="E17" t="s">
        <v>358</v>
      </c>
      <c r="F17" s="40">
        <v>152275</v>
      </c>
      <c r="G17" s="40">
        <f t="shared" si="1"/>
        <v>6091</v>
      </c>
    </row>
    <row r="18" spans="1:7">
      <c r="A18" t="s">
        <v>194</v>
      </c>
      <c r="B18">
        <v>10090</v>
      </c>
      <c r="C18" t="s">
        <v>223</v>
      </c>
      <c r="D18">
        <v>6</v>
      </c>
      <c r="E18" t="s">
        <v>357</v>
      </c>
      <c r="F18" s="40">
        <v>121554</v>
      </c>
      <c r="G18" s="40">
        <f t="shared" si="1"/>
        <v>20259</v>
      </c>
    </row>
    <row r="19" spans="1:7">
      <c r="A19" t="s">
        <v>194</v>
      </c>
      <c r="B19">
        <v>10092</v>
      </c>
      <c r="C19" t="s">
        <v>224</v>
      </c>
      <c r="D19">
        <v>25</v>
      </c>
      <c r="E19" t="s">
        <v>358</v>
      </c>
      <c r="F19" s="40">
        <v>152275</v>
      </c>
      <c r="G19" s="40">
        <f t="shared" si="1"/>
        <v>6091</v>
      </c>
    </row>
    <row r="20" spans="1:7">
      <c r="A20" t="s">
        <v>194</v>
      </c>
      <c r="B20">
        <v>10094</v>
      </c>
      <c r="C20" t="s">
        <v>225</v>
      </c>
      <c r="D20">
        <v>6</v>
      </c>
      <c r="E20" t="s">
        <v>357</v>
      </c>
      <c r="F20" s="40">
        <v>213666</v>
      </c>
      <c r="G20" s="40">
        <f t="shared" si="1"/>
        <v>35611</v>
      </c>
    </row>
    <row r="21" spans="1:7">
      <c r="A21" t="s">
        <v>194</v>
      </c>
      <c r="B21">
        <v>10096</v>
      </c>
      <c r="C21" t="s">
        <v>226</v>
      </c>
      <c r="D21">
        <v>25</v>
      </c>
      <c r="E21" t="s">
        <v>358</v>
      </c>
      <c r="F21" s="40">
        <v>152275</v>
      </c>
      <c r="G21" s="40">
        <f t="shared" si="1"/>
        <v>6091</v>
      </c>
    </row>
    <row r="22" spans="1:7">
      <c r="A22" t="s">
        <v>194</v>
      </c>
      <c r="B22">
        <v>10097</v>
      </c>
      <c r="C22" t="s">
        <v>227</v>
      </c>
      <c r="D22">
        <v>25</v>
      </c>
      <c r="E22" t="s">
        <v>358</v>
      </c>
      <c r="F22" s="40">
        <v>152275</v>
      </c>
      <c r="G22" s="40">
        <f t="shared" si="1"/>
        <v>6091</v>
      </c>
    </row>
    <row r="23" spans="1:7">
      <c r="A23" t="s">
        <v>194</v>
      </c>
      <c r="B23">
        <v>10098</v>
      </c>
      <c r="C23" t="s">
        <v>228</v>
      </c>
      <c r="D23">
        <v>6</v>
      </c>
      <c r="E23" t="s">
        <v>357</v>
      </c>
      <c r="F23" s="40">
        <v>121554</v>
      </c>
      <c r="G23" s="40">
        <f t="shared" si="1"/>
        <v>20259</v>
      </c>
    </row>
    <row r="24" spans="1:7">
      <c r="A24" t="s">
        <v>194</v>
      </c>
      <c r="B24">
        <v>10107</v>
      </c>
      <c r="C24" t="s">
        <v>229</v>
      </c>
      <c r="D24">
        <v>270</v>
      </c>
      <c r="E24" t="s">
        <v>356</v>
      </c>
      <c r="F24" s="40">
        <v>558090</v>
      </c>
      <c r="G24" s="40">
        <f t="shared" si="1"/>
        <v>2067</v>
      </c>
    </row>
    <row r="25" spans="1:7">
      <c r="A25" t="s">
        <v>194</v>
      </c>
      <c r="B25">
        <v>10114</v>
      </c>
      <c r="C25" t="s">
        <v>230</v>
      </c>
      <c r="D25">
        <v>25</v>
      </c>
      <c r="E25" t="s">
        <v>358</v>
      </c>
      <c r="F25" s="40">
        <v>164000</v>
      </c>
      <c r="G25" s="40">
        <f t="shared" si="1"/>
        <v>6560</v>
      </c>
    </row>
    <row r="26" spans="1:7">
      <c r="A26" t="s">
        <v>194</v>
      </c>
      <c r="B26">
        <v>10115</v>
      </c>
      <c r="C26" t="s">
        <v>231</v>
      </c>
      <c r="D26">
        <v>270</v>
      </c>
      <c r="E26" t="s">
        <v>356</v>
      </c>
      <c r="F26" s="40">
        <v>748170</v>
      </c>
      <c r="G26" s="40">
        <f t="shared" si="1"/>
        <v>2771</v>
      </c>
    </row>
    <row r="27" spans="1:7">
      <c r="A27" t="s">
        <v>194</v>
      </c>
      <c r="B27">
        <v>10117</v>
      </c>
      <c r="C27" t="s">
        <v>232</v>
      </c>
      <c r="D27">
        <v>25</v>
      </c>
      <c r="E27" t="s">
        <v>358</v>
      </c>
      <c r="F27" s="40">
        <v>164000</v>
      </c>
      <c r="G27" s="40">
        <f t="shared" si="1"/>
        <v>6560</v>
      </c>
    </row>
    <row r="28" spans="1:7">
      <c r="A28" t="s">
        <v>194</v>
      </c>
      <c r="B28">
        <v>10123</v>
      </c>
      <c r="C28" t="s">
        <v>233</v>
      </c>
      <c r="D28">
        <v>25</v>
      </c>
      <c r="E28" t="s">
        <v>358</v>
      </c>
      <c r="F28" s="40">
        <v>152275</v>
      </c>
      <c r="G28" s="40">
        <f t="shared" si="1"/>
        <v>6091</v>
      </c>
    </row>
    <row r="29" spans="1:7">
      <c r="A29" t="s">
        <v>194</v>
      </c>
      <c r="B29">
        <v>600001</v>
      </c>
      <c r="C29" t="s">
        <v>234</v>
      </c>
      <c r="D29">
        <v>25</v>
      </c>
      <c r="E29" t="s">
        <v>359</v>
      </c>
      <c r="F29" s="40">
        <v>152275</v>
      </c>
      <c r="G29" s="40">
        <f t="shared" si="1"/>
        <v>6091</v>
      </c>
    </row>
    <row r="30" spans="1:7">
      <c r="A30" t="s">
        <v>195</v>
      </c>
      <c r="B30">
        <v>10106</v>
      </c>
      <c r="C30" t="s">
        <v>235</v>
      </c>
      <c r="D30">
        <v>60</v>
      </c>
      <c r="E30" t="s">
        <v>360</v>
      </c>
      <c r="F30" s="40">
        <v>1525740</v>
      </c>
      <c r="G30" s="40">
        <f t="shared" si="1"/>
        <v>25429</v>
      </c>
    </row>
    <row r="31" spans="1:7">
      <c r="A31" t="s">
        <v>196</v>
      </c>
      <c r="B31">
        <v>10102</v>
      </c>
      <c r="C31" t="s">
        <v>236</v>
      </c>
      <c r="D31">
        <v>300</v>
      </c>
      <c r="E31" t="s">
        <v>356</v>
      </c>
      <c r="F31" s="40">
        <v>832500</v>
      </c>
      <c r="G31" s="40">
        <f t="shared" si="1"/>
        <v>2775</v>
      </c>
    </row>
    <row r="32" spans="1:7">
      <c r="A32" t="s">
        <v>196</v>
      </c>
      <c r="B32">
        <v>10108</v>
      </c>
      <c r="C32" t="s">
        <v>237</v>
      </c>
      <c r="D32">
        <v>24</v>
      </c>
      <c r="E32" t="s">
        <v>361</v>
      </c>
      <c r="F32" s="40">
        <v>484368</v>
      </c>
      <c r="G32" s="40">
        <f t="shared" si="1"/>
        <v>20182</v>
      </c>
    </row>
    <row r="33" spans="1:7">
      <c r="A33" t="s">
        <v>196</v>
      </c>
      <c r="B33">
        <v>10109</v>
      </c>
      <c r="C33" t="s">
        <v>238</v>
      </c>
      <c r="D33">
        <v>300</v>
      </c>
      <c r="E33" t="s">
        <v>356</v>
      </c>
      <c r="F33" s="40">
        <v>832500</v>
      </c>
      <c r="G33" s="40">
        <f t="shared" si="1"/>
        <v>2775</v>
      </c>
    </row>
    <row r="34" spans="1:7">
      <c r="A34" t="s">
        <v>196</v>
      </c>
      <c r="B34">
        <v>10113</v>
      </c>
      <c r="C34" t="s">
        <v>239</v>
      </c>
      <c r="D34">
        <v>24</v>
      </c>
      <c r="E34" t="s">
        <v>361</v>
      </c>
      <c r="F34" s="40">
        <v>348744</v>
      </c>
      <c r="G34" s="40">
        <f t="shared" si="1"/>
        <v>14531</v>
      </c>
    </row>
    <row r="35" spans="1:7">
      <c r="A35" t="s">
        <v>197</v>
      </c>
      <c r="B35">
        <v>10066</v>
      </c>
      <c r="C35" t="s">
        <v>240</v>
      </c>
      <c r="D35">
        <v>1000</v>
      </c>
      <c r="E35" t="s">
        <v>355</v>
      </c>
      <c r="F35" s="40">
        <v>2400000</v>
      </c>
      <c r="G35" s="40">
        <f t="shared" si="1"/>
        <v>2400</v>
      </c>
    </row>
    <row r="36" spans="1:7">
      <c r="A36" t="s">
        <v>197</v>
      </c>
      <c r="B36">
        <v>10099</v>
      </c>
      <c r="C36" t="s">
        <v>241</v>
      </c>
      <c r="D36">
        <v>300</v>
      </c>
      <c r="E36" t="s">
        <v>362</v>
      </c>
      <c r="F36" s="40">
        <v>720000</v>
      </c>
      <c r="G36" s="40">
        <f t="shared" si="1"/>
        <v>2400</v>
      </c>
    </row>
    <row r="37" spans="1:7">
      <c r="A37" t="s">
        <v>198</v>
      </c>
      <c r="B37">
        <v>10004</v>
      </c>
      <c r="C37" t="s">
        <v>242</v>
      </c>
      <c r="D37">
        <v>1000</v>
      </c>
      <c r="E37" t="s">
        <v>355</v>
      </c>
      <c r="F37" s="40">
        <v>1875000</v>
      </c>
      <c r="G37" s="40">
        <f t="shared" si="1"/>
        <v>1875</v>
      </c>
    </row>
    <row r="38" spans="1:7">
      <c r="A38" t="s">
        <v>198</v>
      </c>
      <c r="B38">
        <v>10042</v>
      </c>
      <c r="C38" t="s">
        <v>243</v>
      </c>
      <c r="D38">
        <v>1000</v>
      </c>
      <c r="E38" t="s">
        <v>355</v>
      </c>
      <c r="F38" s="40">
        <v>1400000</v>
      </c>
      <c r="G38" s="40">
        <f t="shared" si="1"/>
        <v>1400</v>
      </c>
    </row>
    <row r="39" spans="1:7">
      <c r="A39" t="s">
        <v>199</v>
      </c>
      <c r="B39">
        <v>10029</v>
      </c>
      <c r="C39" t="s">
        <v>244</v>
      </c>
      <c r="D39">
        <v>48</v>
      </c>
      <c r="E39" t="s">
        <v>361</v>
      </c>
      <c r="F39" s="40">
        <v>1037232</v>
      </c>
      <c r="G39" s="40">
        <f t="shared" si="1"/>
        <v>21609</v>
      </c>
    </row>
    <row r="40" spans="1:7">
      <c r="A40" t="s">
        <v>199</v>
      </c>
      <c r="B40">
        <v>10030</v>
      </c>
      <c r="C40" t="s">
        <v>245</v>
      </c>
      <c r="D40">
        <v>48</v>
      </c>
      <c r="E40" t="s">
        <v>361</v>
      </c>
      <c r="F40" s="40">
        <v>711120</v>
      </c>
      <c r="G40" s="40">
        <f t="shared" si="1"/>
        <v>14815</v>
      </c>
    </row>
    <row r="41" spans="1:7">
      <c r="A41" t="s">
        <v>199</v>
      </c>
      <c r="B41">
        <v>10031</v>
      </c>
      <c r="C41" t="s">
        <v>246</v>
      </c>
      <c r="D41">
        <v>300</v>
      </c>
      <c r="E41" t="s">
        <v>356</v>
      </c>
      <c r="F41" s="40">
        <v>826500</v>
      </c>
      <c r="G41" s="40">
        <f t="shared" si="1"/>
        <v>2755</v>
      </c>
    </row>
    <row r="42" spans="1:7">
      <c r="A42" t="s">
        <v>199</v>
      </c>
      <c r="B42">
        <v>10061</v>
      </c>
      <c r="C42" t="s">
        <v>247</v>
      </c>
      <c r="D42">
        <v>48</v>
      </c>
      <c r="E42" t="s">
        <v>361</v>
      </c>
      <c r="F42" s="40">
        <v>711120</v>
      </c>
      <c r="G42" s="40">
        <f t="shared" si="1"/>
        <v>14815</v>
      </c>
    </row>
    <row r="43" spans="1:7">
      <c r="A43" t="s">
        <v>199</v>
      </c>
      <c r="B43">
        <v>10086</v>
      </c>
      <c r="C43" t="s">
        <v>248</v>
      </c>
      <c r="D43">
        <v>300</v>
      </c>
      <c r="E43" t="s">
        <v>356</v>
      </c>
      <c r="F43" s="40">
        <v>826500</v>
      </c>
      <c r="G43" s="40">
        <f t="shared" si="1"/>
        <v>2755</v>
      </c>
    </row>
    <row r="44" spans="1:7">
      <c r="A44" t="s">
        <v>199</v>
      </c>
      <c r="B44">
        <v>10100</v>
      </c>
      <c r="C44" t="s">
        <v>249</v>
      </c>
      <c r="D44">
        <v>48</v>
      </c>
      <c r="E44" t="s">
        <v>361</v>
      </c>
      <c r="F44" s="40">
        <v>362880</v>
      </c>
      <c r="G44" s="40">
        <f t="shared" si="1"/>
        <v>7560</v>
      </c>
    </row>
    <row r="45" spans="1:7">
      <c r="A45" t="s">
        <v>199</v>
      </c>
      <c r="B45">
        <v>10101</v>
      </c>
      <c r="C45" t="s">
        <v>250</v>
      </c>
      <c r="D45">
        <v>48</v>
      </c>
      <c r="E45" t="s">
        <v>361</v>
      </c>
      <c r="F45" s="40">
        <v>362880</v>
      </c>
      <c r="G45" s="40">
        <f t="shared" si="1"/>
        <v>7560</v>
      </c>
    </row>
    <row r="46" spans="1:7">
      <c r="A46" t="s">
        <v>199</v>
      </c>
      <c r="B46">
        <v>10120</v>
      </c>
      <c r="C46" t="s">
        <v>251</v>
      </c>
      <c r="D46">
        <v>48</v>
      </c>
      <c r="E46" t="s">
        <v>361</v>
      </c>
      <c r="F46" s="40">
        <v>711120</v>
      </c>
      <c r="G46" s="40">
        <f t="shared" si="1"/>
        <v>14815</v>
      </c>
    </row>
    <row r="47" spans="1:7">
      <c r="A47" t="s">
        <v>199</v>
      </c>
      <c r="B47">
        <v>10132</v>
      </c>
      <c r="C47" t="s">
        <v>252</v>
      </c>
      <c r="D47">
        <v>264</v>
      </c>
      <c r="E47" t="s">
        <v>356</v>
      </c>
      <c r="F47" s="40">
        <v>606408</v>
      </c>
      <c r="G47" s="40">
        <f t="shared" ref="G47:G78" si="2">F47/D47</f>
        <v>2297</v>
      </c>
    </row>
    <row r="48" spans="1:7">
      <c r="A48" t="s">
        <v>199</v>
      </c>
      <c r="B48">
        <v>10133</v>
      </c>
      <c r="C48" t="s">
        <v>253</v>
      </c>
      <c r="D48">
        <v>330</v>
      </c>
      <c r="E48" t="s">
        <v>356</v>
      </c>
      <c r="F48" s="40">
        <v>826650</v>
      </c>
      <c r="G48" s="40">
        <f t="shared" si="2"/>
        <v>2505</v>
      </c>
    </row>
    <row r="49" spans="1:7">
      <c r="A49" t="s">
        <v>200</v>
      </c>
      <c r="B49">
        <v>10018</v>
      </c>
      <c r="C49" t="s">
        <v>254</v>
      </c>
      <c r="D49">
        <v>144</v>
      </c>
      <c r="E49" t="s">
        <v>355</v>
      </c>
      <c r="F49" s="40">
        <v>2203200</v>
      </c>
      <c r="G49" s="40">
        <f t="shared" si="2"/>
        <v>15300</v>
      </c>
    </row>
    <row r="50" spans="1:7">
      <c r="A50" t="s">
        <v>200</v>
      </c>
      <c r="B50">
        <v>10082</v>
      </c>
      <c r="C50" t="s">
        <v>255</v>
      </c>
      <c r="D50">
        <v>100</v>
      </c>
      <c r="E50" t="s">
        <v>360</v>
      </c>
      <c r="F50" s="40">
        <v>1062500</v>
      </c>
      <c r="G50" s="40">
        <f t="shared" si="2"/>
        <v>10625</v>
      </c>
    </row>
    <row r="51" spans="1:7">
      <c r="A51" t="s">
        <v>200</v>
      </c>
      <c r="B51">
        <v>10083</v>
      </c>
      <c r="C51" t="s">
        <v>256</v>
      </c>
      <c r="D51">
        <v>100</v>
      </c>
      <c r="E51" t="s">
        <v>360</v>
      </c>
      <c r="F51" s="40">
        <v>1062500</v>
      </c>
      <c r="G51" s="40">
        <f t="shared" si="2"/>
        <v>10625</v>
      </c>
    </row>
    <row r="52" spans="1:7">
      <c r="A52" t="s">
        <v>201</v>
      </c>
      <c r="B52">
        <v>12001</v>
      </c>
      <c r="C52" t="s">
        <v>257</v>
      </c>
      <c r="D52">
        <v>1000</v>
      </c>
      <c r="E52" t="s">
        <v>355</v>
      </c>
      <c r="F52" s="40">
        <v>1980000</v>
      </c>
      <c r="G52" s="40">
        <f t="shared" si="2"/>
        <v>1980</v>
      </c>
    </row>
    <row r="53" spans="1:7">
      <c r="A53" t="s">
        <v>201</v>
      </c>
      <c r="B53">
        <v>12009</v>
      </c>
      <c r="C53" t="s">
        <v>258</v>
      </c>
      <c r="D53">
        <v>360</v>
      </c>
      <c r="E53" t="s">
        <v>356</v>
      </c>
      <c r="F53" s="40">
        <v>720000</v>
      </c>
      <c r="G53" s="40">
        <f t="shared" si="2"/>
        <v>2000</v>
      </c>
    </row>
    <row r="54" spans="1:7">
      <c r="A54" t="s">
        <v>202</v>
      </c>
      <c r="B54">
        <v>60001</v>
      </c>
      <c r="C54" t="s">
        <v>259</v>
      </c>
      <c r="D54">
        <v>144</v>
      </c>
      <c r="E54" t="s">
        <v>361</v>
      </c>
      <c r="F54" s="40">
        <v>1570587.84</v>
      </c>
      <c r="G54" s="40">
        <f t="shared" si="2"/>
        <v>10906.86</v>
      </c>
    </row>
    <row r="55" spans="1:7">
      <c r="A55" t="s">
        <v>202</v>
      </c>
      <c r="B55">
        <v>60002</v>
      </c>
      <c r="C55" t="s">
        <v>260</v>
      </c>
      <c r="D55">
        <v>144</v>
      </c>
      <c r="E55" t="s">
        <v>361</v>
      </c>
      <c r="F55" s="40">
        <v>1570587.84</v>
      </c>
      <c r="G55" s="40">
        <f t="shared" si="2"/>
        <v>10906.86</v>
      </c>
    </row>
    <row r="56" spans="1:7">
      <c r="A56" t="s">
        <v>202</v>
      </c>
      <c r="B56">
        <v>60003</v>
      </c>
      <c r="C56" t="s">
        <v>261</v>
      </c>
      <c r="D56">
        <v>144</v>
      </c>
      <c r="E56" t="s">
        <v>361</v>
      </c>
      <c r="F56" s="40">
        <v>1570587.84</v>
      </c>
      <c r="G56" s="40">
        <f t="shared" si="2"/>
        <v>10906.86</v>
      </c>
    </row>
    <row r="57" spans="1:7">
      <c r="A57" t="s">
        <v>202</v>
      </c>
      <c r="B57">
        <v>60004</v>
      </c>
      <c r="C57" t="s">
        <v>262</v>
      </c>
      <c r="D57">
        <v>144</v>
      </c>
      <c r="E57" t="s">
        <v>361</v>
      </c>
      <c r="F57" s="40">
        <v>1570587.84</v>
      </c>
      <c r="G57" s="40">
        <f t="shared" si="2"/>
        <v>10906.86</v>
      </c>
    </row>
    <row r="58" spans="1:7">
      <c r="A58" t="s">
        <v>202</v>
      </c>
      <c r="B58">
        <v>60006</v>
      </c>
      <c r="C58" t="s">
        <v>263</v>
      </c>
      <c r="D58">
        <v>144</v>
      </c>
      <c r="E58" t="s">
        <v>361</v>
      </c>
      <c r="F58" s="40">
        <v>1570587.84</v>
      </c>
      <c r="G58" s="40">
        <f t="shared" si="2"/>
        <v>10906.86</v>
      </c>
    </row>
    <row r="59" spans="1:7">
      <c r="A59" t="s">
        <v>202</v>
      </c>
      <c r="B59">
        <v>60013</v>
      </c>
      <c r="C59" t="s">
        <v>264</v>
      </c>
      <c r="D59">
        <v>144</v>
      </c>
      <c r="E59" t="s">
        <v>361</v>
      </c>
      <c r="F59" s="40">
        <v>1570587.84</v>
      </c>
      <c r="G59" s="40">
        <f t="shared" si="2"/>
        <v>10906.86</v>
      </c>
    </row>
    <row r="60" spans="1:7">
      <c r="A60" t="s">
        <v>202</v>
      </c>
      <c r="B60">
        <v>60014</v>
      </c>
      <c r="C60" t="s">
        <v>265</v>
      </c>
      <c r="D60">
        <v>144</v>
      </c>
      <c r="E60" t="s">
        <v>361</v>
      </c>
      <c r="F60" s="40">
        <v>1570587.84</v>
      </c>
      <c r="G60" s="40">
        <f t="shared" si="2"/>
        <v>10906.86</v>
      </c>
    </row>
    <row r="61" spans="1:7">
      <c r="A61" t="s">
        <v>202</v>
      </c>
      <c r="B61">
        <v>60015</v>
      </c>
      <c r="C61" t="s">
        <v>266</v>
      </c>
      <c r="D61">
        <v>144</v>
      </c>
      <c r="E61" t="s">
        <v>361</v>
      </c>
      <c r="F61" s="40">
        <v>1255383.3600000001</v>
      </c>
      <c r="G61" s="40">
        <f t="shared" si="2"/>
        <v>8717.94</v>
      </c>
    </row>
    <row r="62" spans="1:7">
      <c r="A62" t="s">
        <v>202</v>
      </c>
      <c r="B62">
        <v>60016</v>
      </c>
      <c r="C62" t="s">
        <v>267</v>
      </c>
      <c r="D62">
        <v>144</v>
      </c>
      <c r="E62" t="s">
        <v>361</v>
      </c>
      <c r="F62" s="40">
        <v>1255383.3600000001</v>
      </c>
      <c r="G62" s="40">
        <f t="shared" si="2"/>
        <v>8717.94</v>
      </c>
    </row>
    <row r="63" spans="1:7">
      <c r="A63" t="s">
        <v>202</v>
      </c>
      <c r="B63">
        <v>60017</v>
      </c>
      <c r="C63" t="s">
        <v>268</v>
      </c>
      <c r="D63">
        <v>144</v>
      </c>
      <c r="E63" t="s">
        <v>361</v>
      </c>
      <c r="F63" s="40">
        <v>1255383.3600000001</v>
      </c>
      <c r="G63" s="40">
        <f t="shared" si="2"/>
        <v>8717.94</v>
      </c>
    </row>
    <row r="64" spans="1:7">
      <c r="A64" t="s">
        <v>202</v>
      </c>
      <c r="B64">
        <v>60062</v>
      </c>
      <c r="C64" t="s">
        <v>269</v>
      </c>
      <c r="D64">
        <v>144</v>
      </c>
      <c r="E64" t="s">
        <v>361</v>
      </c>
      <c r="F64" s="40">
        <v>1570587.84</v>
      </c>
      <c r="G64" s="40">
        <f t="shared" si="2"/>
        <v>10906.86</v>
      </c>
    </row>
    <row r="65" spans="1:7">
      <c r="A65" t="s">
        <v>202</v>
      </c>
      <c r="B65">
        <v>60076</v>
      </c>
      <c r="C65" t="s">
        <v>270</v>
      </c>
      <c r="D65">
        <v>144</v>
      </c>
      <c r="E65" t="s">
        <v>361</v>
      </c>
      <c r="F65" s="40">
        <v>1570587.84</v>
      </c>
      <c r="G65" s="40">
        <f t="shared" si="2"/>
        <v>10906.86</v>
      </c>
    </row>
    <row r="66" spans="1:7">
      <c r="A66" t="s">
        <v>202</v>
      </c>
      <c r="B66">
        <v>60080</v>
      </c>
      <c r="C66" t="s">
        <v>271</v>
      </c>
      <c r="D66">
        <v>144</v>
      </c>
      <c r="E66" t="s">
        <v>361</v>
      </c>
      <c r="F66" s="40">
        <v>1570587.84</v>
      </c>
      <c r="G66" s="40">
        <f t="shared" si="2"/>
        <v>10906.86</v>
      </c>
    </row>
    <row r="67" spans="1:7">
      <c r="A67" t="s">
        <v>202</v>
      </c>
      <c r="B67">
        <v>60088</v>
      </c>
      <c r="C67" t="s">
        <v>272</v>
      </c>
      <c r="D67">
        <v>144</v>
      </c>
      <c r="E67" t="s">
        <v>361</v>
      </c>
      <c r="F67" s="40">
        <v>1570587.84</v>
      </c>
      <c r="G67" s="40">
        <f t="shared" si="2"/>
        <v>10906.86</v>
      </c>
    </row>
    <row r="68" spans="1:7">
      <c r="A68" t="s">
        <v>202</v>
      </c>
      <c r="B68">
        <v>60095</v>
      </c>
      <c r="C68" t="s">
        <v>273</v>
      </c>
      <c r="D68">
        <v>144</v>
      </c>
      <c r="E68" t="s">
        <v>361</v>
      </c>
      <c r="F68" s="40">
        <v>1570587.84</v>
      </c>
      <c r="G68" s="40">
        <f t="shared" si="2"/>
        <v>10906.86</v>
      </c>
    </row>
    <row r="69" spans="1:7">
      <c r="A69" t="s">
        <v>202</v>
      </c>
      <c r="B69">
        <v>60097</v>
      </c>
      <c r="C69" t="s">
        <v>274</v>
      </c>
      <c r="D69">
        <v>576</v>
      </c>
      <c r="E69" t="s">
        <v>356</v>
      </c>
      <c r="F69" s="40">
        <v>3804192</v>
      </c>
      <c r="G69" s="40">
        <f t="shared" si="2"/>
        <v>6604.5</v>
      </c>
    </row>
    <row r="70" spans="1:7">
      <c r="A70" t="s">
        <v>202</v>
      </c>
      <c r="B70">
        <v>60109</v>
      </c>
      <c r="C70" t="s">
        <v>275</v>
      </c>
      <c r="D70">
        <v>576</v>
      </c>
      <c r="E70" t="s">
        <v>356</v>
      </c>
      <c r="F70" s="40">
        <v>3804192</v>
      </c>
      <c r="G70" s="40">
        <f t="shared" si="2"/>
        <v>6604.5</v>
      </c>
    </row>
    <row r="71" spans="1:7">
      <c r="A71" t="s">
        <v>202</v>
      </c>
      <c r="B71">
        <v>60120</v>
      </c>
      <c r="C71" t="s">
        <v>276</v>
      </c>
      <c r="D71">
        <v>144</v>
      </c>
      <c r="E71" t="s">
        <v>361</v>
      </c>
      <c r="F71" s="40">
        <v>1570608</v>
      </c>
      <c r="G71" s="40">
        <f t="shared" si="2"/>
        <v>10907</v>
      </c>
    </row>
    <row r="72" spans="1:7">
      <c r="A72" t="s">
        <v>202</v>
      </c>
      <c r="B72">
        <v>60121</v>
      </c>
      <c r="C72" t="s">
        <v>277</v>
      </c>
      <c r="D72">
        <v>144</v>
      </c>
      <c r="E72" t="s">
        <v>361</v>
      </c>
      <c r="F72" s="40">
        <v>1570608</v>
      </c>
      <c r="G72" s="40">
        <f t="shared" si="2"/>
        <v>10907</v>
      </c>
    </row>
    <row r="73" spans="1:7">
      <c r="A73" t="s">
        <v>202</v>
      </c>
      <c r="B73">
        <v>60124</v>
      </c>
      <c r="C73" t="s">
        <v>278</v>
      </c>
      <c r="D73">
        <v>144</v>
      </c>
      <c r="E73" t="s">
        <v>361</v>
      </c>
      <c r="F73" s="40">
        <v>2065104</v>
      </c>
      <c r="G73" s="40">
        <f t="shared" si="2"/>
        <v>14341</v>
      </c>
    </row>
    <row r="74" spans="1:7">
      <c r="A74" t="s">
        <v>203</v>
      </c>
      <c r="B74">
        <v>60099</v>
      </c>
      <c r="C74" t="s">
        <v>279</v>
      </c>
      <c r="D74">
        <v>144</v>
      </c>
      <c r="E74" t="s">
        <v>361</v>
      </c>
      <c r="F74" s="40">
        <v>4891104</v>
      </c>
      <c r="G74" s="40">
        <f t="shared" si="2"/>
        <v>33966</v>
      </c>
    </row>
    <row r="75" spans="1:7">
      <c r="A75" t="s">
        <v>203</v>
      </c>
      <c r="B75">
        <v>60100</v>
      </c>
      <c r="C75" t="s">
        <v>280</v>
      </c>
      <c r="D75">
        <v>144</v>
      </c>
      <c r="E75" t="s">
        <v>361</v>
      </c>
      <c r="F75" s="40">
        <v>4891104</v>
      </c>
      <c r="G75" s="40">
        <f t="shared" si="2"/>
        <v>33966</v>
      </c>
    </row>
    <row r="76" spans="1:7">
      <c r="A76" t="s">
        <v>203</v>
      </c>
      <c r="B76">
        <v>60101</v>
      </c>
      <c r="C76" t="s">
        <v>281</v>
      </c>
      <c r="D76">
        <v>144</v>
      </c>
      <c r="E76" t="s">
        <v>361</v>
      </c>
      <c r="F76" s="40">
        <v>4891104</v>
      </c>
      <c r="G76" s="40">
        <f t="shared" si="2"/>
        <v>33966</v>
      </c>
    </row>
    <row r="77" spans="1:7">
      <c r="A77" t="s">
        <v>203</v>
      </c>
      <c r="B77">
        <v>60102</v>
      </c>
      <c r="C77" t="s">
        <v>282</v>
      </c>
      <c r="D77">
        <v>72</v>
      </c>
      <c r="E77" t="s">
        <v>361</v>
      </c>
      <c r="F77" s="40">
        <v>652147.20000000007</v>
      </c>
      <c r="G77" s="40">
        <f t="shared" si="2"/>
        <v>9057.6</v>
      </c>
    </row>
    <row r="78" spans="1:7">
      <c r="A78" t="s">
        <v>203</v>
      </c>
      <c r="B78">
        <v>60103</v>
      </c>
      <c r="C78" t="s">
        <v>283</v>
      </c>
      <c r="D78">
        <v>72</v>
      </c>
      <c r="E78" t="s">
        <v>361</v>
      </c>
      <c r="F78" s="40">
        <v>873605.52</v>
      </c>
      <c r="G78" s="40">
        <f t="shared" si="2"/>
        <v>12133.41</v>
      </c>
    </row>
    <row r="79" spans="1:7">
      <c r="A79" t="s">
        <v>203</v>
      </c>
      <c r="B79">
        <v>60111</v>
      </c>
      <c r="C79" t="s">
        <v>284</v>
      </c>
      <c r="D79">
        <v>288</v>
      </c>
      <c r="E79" t="s">
        <v>356</v>
      </c>
      <c r="F79" s="40">
        <v>1902240</v>
      </c>
      <c r="G79" s="40">
        <f t="shared" ref="G79:G110" si="3">F79/D79</f>
        <v>6605</v>
      </c>
    </row>
    <row r="80" spans="1:7">
      <c r="A80" t="s">
        <v>203</v>
      </c>
      <c r="B80">
        <v>60117</v>
      </c>
      <c r="C80" t="s">
        <v>285</v>
      </c>
      <c r="D80">
        <v>144</v>
      </c>
      <c r="E80" t="s">
        <v>361</v>
      </c>
      <c r="F80" s="40">
        <v>2921038.56</v>
      </c>
      <c r="G80" s="40">
        <f t="shared" si="3"/>
        <v>20284.990000000002</v>
      </c>
    </row>
    <row r="81" spans="1:7">
      <c r="A81" t="s">
        <v>203</v>
      </c>
      <c r="B81">
        <v>60118</v>
      </c>
      <c r="C81" t="s">
        <v>286</v>
      </c>
      <c r="D81">
        <v>144</v>
      </c>
      <c r="E81" t="s">
        <v>361</v>
      </c>
      <c r="F81" s="40">
        <v>2921038.56</v>
      </c>
      <c r="G81" s="40">
        <f t="shared" si="3"/>
        <v>20284.990000000002</v>
      </c>
    </row>
    <row r="82" spans="1:7">
      <c r="A82" t="s">
        <v>203</v>
      </c>
      <c r="B82">
        <v>60119</v>
      </c>
      <c r="C82" t="s">
        <v>287</v>
      </c>
      <c r="D82">
        <v>144</v>
      </c>
      <c r="E82" t="s">
        <v>361</v>
      </c>
      <c r="F82" s="40">
        <v>2921038.56</v>
      </c>
      <c r="G82" s="40">
        <f t="shared" si="3"/>
        <v>20284.990000000002</v>
      </c>
    </row>
    <row r="83" spans="1:7">
      <c r="A83" t="s">
        <v>204</v>
      </c>
      <c r="B83">
        <v>60114</v>
      </c>
      <c r="C83" t="s">
        <v>288</v>
      </c>
      <c r="D83">
        <v>100</v>
      </c>
      <c r="E83" t="s">
        <v>361</v>
      </c>
      <c r="F83" s="40">
        <v>1792700</v>
      </c>
      <c r="G83" s="40">
        <f t="shared" si="3"/>
        <v>17927</v>
      </c>
    </row>
    <row r="84" spans="1:7">
      <c r="A84" t="s">
        <v>205</v>
      </c>
      <c r="B84">
        <v>60030</v>
      </c>
      <c r="C84" t="s">
        <v>289</v>
      </c>
      <c r="D84">
        <v>100</v>
      </c>
      <c r="E84" t="s">
        <v>361</v>
      </c>
      <c r="F84" s="40">
        <v>2537999</v>
      </c>
      <c r="G84" s="40">
        <f t="shared" si="3"/>
        <v>25379.99</v>
      </c>
    </row>
    <row r="85" spans="1:7">
      <c r="A85" t="s">
        <v>205</v>
      </c>
      <c r="B85">
        <v>60037</v>
      </c>
      <c r="C85" t="s">
        <v>290</v>
      </c>
      <c r="D85">
        <v>100</v>
      </c>
      <c r="E85" t="s">
        <v>361</v>
      </c>
      <c r="F85" s="40">
        <v>2537999</v>
      </c>
      <c r="G85" s="40">
        <f t="shared" si="3"/>
        <v>25379.99</v>
      </c>
    </row>
    <row r="86" spans="1:7">
      <c r="A86" t="s">
        <v>205</v>
      </c>
      <c r="B86">
        <v>60042</v>
      </c>
      <c r="C86" t="s">
        <v>291</v>
      </c>
      <c r="D86">
        <v>100</v>
      </c>
      <c r="E86" t="s">
        <v>361</v>
      </c>
      <c r="F86" s="40">
        <v>2830500</v>
      </c>
      <c r="G86" s="40">
        <f t="shared" si="3"/>
        <v>28305</v>
      </c>
    </row>
    <row r="87" spans="1:7">
      <c r="A87" t="s">
        <v>205</v>
      </c>
      <c r="B87">
        <v>60043</v>
      </c>
      <c r="C87" t="s">
        <v>292</v>
      </c>
      <c r="D87">
        <v>100</v>
      </c>
      <c r="E87" t="s">
        <v>361</v>
      </c>
      <c r="F87" s="40">
        <v>2830500</v>
      </c>
      <c r="G87" s="40">
        <f t="shared" si="3"/>
        <v>28305</v>
      </c>
    </row>
    <row r="88" spans="1:7">
      <c r="A88" t="s">
        <v>205</v>
      </c>
      <c r="B88">
        <v>60046</v>
      </c>
      <c r="C88" t="s">
        <v>293</v>
      </c>
      <c r="D88">
        <v>100</v>
      </c>
      <c r="E88" t="s">
        <v>361</v>
      </c>
      <c r="F88" s="40">
        <v>1339800</v>
      </c>
      <c r="G88" s="40">
        <f t="shared" si="3"/>
        <v>13398</v>
      </c>
    </row>
    <row r="89" spans="1:7">
      <c r="A89" t="s">
        <v>205</v>
      </c>
      <c r="B89">
        <v>60047</v>
      </c>
      <c r="C89" t="s">
        <v>294</v>
      </c>
      <c r="D89">
        <v>100</v>
      </c>
      <c r="E89" t="s">
        <v>361</v>
      </c>
      <c r="F89" s="40">
        <v>1339800</v>
      </c>
      <c r="G89" s="40">
        <f t="shared" si="3"/>
        <v>13398</v>
      </c>
    </row>
    <row r="90" spans="1:7">
      <c r="A90" t="s">
        <v>205</v>
      </c>
      <c r="B90">
        <v>60048</v>
      </c>
      <c r="C90" t="s">
        <v>295</v>
      </c>
      <c r="D90">
        <v>100</v>
      </c>
      <c r="E90" t="s">
        <v>364</v>
      </c>
      <c r="F90" s="40">
        <v>1698300</v>
      </c>
      <c r="G90" s="40">
        <f t="shared" si="3"/>
        <v>16983</v>
      </c>
    </row>
    <row r="91" spans="1:7">
      <c r="A91" t="s">
        <v>205</v>
      </c>
      <c r="B91">
        <v>60049</v>
      </c>
      <c r="C91" t="s">
        <v>296</v>
      </c>
      <c r="D91">
        <v>100</v>
      </c>
      <c r="E91" t="s">
        <v>364</v>
      </c>
      <c r="F91" s="40">
        <v>2830500</v>
      </c>
      <c r="G91" s="40">
        <f t="shared" si="3"/>
        <v>28305</v>
      </c>
    </row>
    <row r="92" spans="1:7">
      <c r="A92" t="s">
        <v>205</v>
      </c>
      <c r="B92">
        <v>60050</v>
      </c>
      <c r="C92" t="s">
        <v>297</v>
      </c>
      <c r="D92">
        <v>100</v>
      </c>
      <c r="E92" t="s">
        <v>364</v>
      </c>
      <c r="F92" s="40">
        <v>1698300</v>
      </c>
      <c r="G92" s="40">
        <f t="shared" si="3"/>
        <v>16983</v>
      </c>
    </row>
    <row r="93" spans="1:7">
      <c r="A93" t="s">
        <v>205</v>
      </c>
      <c r="B93">
        <v>60051</v>
      </c>
      <c r="C93" t="s">
        <v>298</v>
      </c>
      <c r="D93">
        <v>100</v>
      </c>
      <c r="E93" t="s">
        <v>364</v>
      </c>
      <c r="F93" s="40">
        <v>2830500</v>
      </c>
      <c r="G93" s="40">
        <f t="shared" si="3"/>
        <v>28305</v>
      </c>
    </row>
    <row r="94" spans="1:7">
      <c r="A94" t="s">
        <v>205</v>
      </c>
      <c r="B94">
        <v>60060</v>
      </c>
      <c r="C94" t="s">
        <v>299</v>
      </c>
      <c r="D94">
        <v>100</v>
      </c>
      <c r="E94" t="s">
        <v>364</v>
      </c>
      <c r="F94" s="40">
        <v>1698300</v>
      </c>
      <c r="G94" s="40">
        <f t="shared" si="3"/>
        <v>16983</v>
      </c>
    </row>
    <row r="95" spans="1:7">
      <c r="A95" t="s">
        <v>205</v>
      </c>
      <c r="B95">
        <v>60061</v>
      </c>
      <c r="C95" t="s">
        <v>300</v>
      </c>
      <c r="D95">
        <v>100</v>
      </c>
      <c r="E95" t="s">
        <v>361</v>
      </c>
      <c r="F95" s="40">
        <v>2537999</v>
      </c>
      <c r="G95" s="40">
        <f t="shared" si="3"/>
        <v>25379.99</v>
      </c>
    </row>
    <row r="96" spans="1:7">
      <c r="A96" t="s">
        <v>205</v>
      </c>
      <c r="B96">
        <v>60063</v>
      </c>
      <c r="C96" t="s">
        <v>301</v>
      </c>
      <c r="D96">
        <v>144</v>
      </c>
      <c r="E96" t="s">
        <v>356</v>
      </c>
      <c r="F96" s="40">
        <v>1611216</v>
      </c>
      <c r="G96" s="40">
        <f t="shared" si="3"/>
        <v>11189</v>
      </c>
    </row>
    <row r="97" spans="1:7">
      <c r="A97" t="s">
        <v>205</v>
      </c>
      <c r="B97">
        <v>60078</v>
      </c>
      <c r="C97" t="s">
        <v>302</v>
      </c>
      <c r="D97">
        <v>100</v>
      </c>
      <c r="E97" t="s">
        <v>364</v>
      </c>
      <c r="F97" s="40">
        <v>2830500</v>
      </c>
      <c r="G97" s="40">
        <f t="shared" si="3"/>
        <v>28305</v>
      </c>
    </row>
    <row r="98" spans="1:7">
      <c r="A98" t="s">
        <v>205</v>
      </c>
      <c r="B98">
        <v>60081</v>
      </c>
      <c r="C98" t="s">
        <v>303</v>
      </c>
      <c r="D98">
        <v>100</v>
      </c>
      <c r="E98" t="s">
        <v>365</v>
      </c>
      <c r="F98" s="40">
        <v>1094500</v>
      </c>
      <c r="G98" s="40">
        <f t="shared" si="3"/>
        <v>10945</v>
      </c>
    </row>
    <row r="99" spans="1:7">
      <c r="A99" t="s">
        <v>205</v>
      </c>
      <c r="B99">
        <v>60098</v>
      </c>
      <c r="C99" t="s">
        <v>304</v>
      </c>
      <c r="D99">
        <v>100</v>
      </c>
      <c r="E99" t="s">
        <v>361</v>
      </c>
      <c r="F99" s="40">
        <v>1339800</v>
      </c>
      <c r="G99" s="40">
        <f t="shared" si="3"/>
        <v>13398</v>
      </c>
    </row>
    <row r="100" spans="1:7">
      <c r="A100" t="s">
        <v>205</v>
      </c>
      <c r="B100">
        <v>60112</v>
      </c>
      <c r="C100" t="s">
        <v>305</v>
      </c>
      <c r="D100">
        <v>100</v>
      </c>
      <c r="E100" t="s">
        <v>361</v>
      </c>
      <c r="F100" s="40">
        <v>2537999</v>
      </c>
      <c r="G100" s="40">
        <f t="shared" si="3"/>
        <v>25379.99</v>
      </c>
    </row>
    <row r="101" spans="1:7">
      <c r="A101" t="s">
        <v>205</v>
      </c>
      <c r="B101">
        <v>60113</v>
      </c>
      <c r="C101" t="s">
        <v>306</v>
      </c>
      <c r="D101">
        <v>100</v>
      </c>
      <c r="E101" t="s">
        <v>361</v>
      </c>
      <c r="F101" s="40">
        <v>2537999</v>
      </c>
      <c r="G101" s="40">
        <f t="shared" si="3"/>
        <v>25379.99</v>
      </c>
    </row>
    <row r="102" spans="1:7">
      <c r="A102" t="s">
        <v>205</v>
      </c>
      <c r="B102">
        <v>60115</v>
      </c>
      <c r="C102" t="s">
        <v>307</v>
      </c>
      <c r="D102">
        <v>100</v>
      </c>
      <c r="E102" t="s">
        <v>361</v>
      </c>
      <c r="F102" s="40">
        <v>1698300</v>
      </c>
      <c r="G102" s="40">
        <f t="shared" si="3"/>
        <v>16983</v>
      </c>
    </row>
    <row r="103" spans="1:7">
      <c r="A103" t="s">
        <v>205</v>
      </c>
      <c r="B103">
        <v>60116</v>
      </c>
      <c r="C103" t="s">
        <v>308</v>
      </c>
      <c r="D103">
        <v>100</v>
      </c>
      <c r="E103" t="s">
        <v>361</v>
      </c>
      <c r="F103" s="40">
        <v>1698300</v>
      </c>
      <c r="G103" s="40">
        <f t="shared" si="3"/>
        <v>16983</v>
      </c>
    </row>
    <row r="104" spans="1:7">
      <c r="A104" t="s">
        <v>206</v>
      </c>
      <c r="B104">
        <v>60009</v>
      </c>
      <c r="C104" t="s">
        <v>309</v>
      </c>
      <c r="D104">
        <v>48</v>
      </c>
      <c r="E104" t="s">
        <v>361</v>
      </c>
      <c r="F104" s="40">
        <v>869529.60000000009</v>
      </c>
      <c r="G104" s="40">
        <f t="shared" si="3"/>
        <v>18115.2</v>
      </c>
    </row>
    <row r="105" spans="1:7">
      <c r="A105" t="s">
        <v>206</v>
      </c>
      <c r="B105">
        <v>60010</v>
      </c>
      <c r="C105" t="s">
        <v>310</v>
      </c>
      <c r="D105">
        <v>48</v>
      </c>
      <c r="E105" t="s">
        <v>361</v>
      </c>
      <c r="F105" s="40">
        <v>987278.39999999991</v>
      </c>
      <c r="G105" s="40">
        <f t="shared" si="3"/>
        <v>20568.3</v>
      </c>
    </row>
    <row r="106" spans="1:7">
      <c r="A106" t="s">
        <v>206</v>
      </c>
      <c r="B106">
        <v>60028</v>
      </c>
      <c r="C106" t="s">
        <v>311</v>
      </c>
      <c r="D106">
        <v>24</v>
      </c>
      <c r="E106" t="s">
        <v>361</v>
      </c>
      <c r="F106" s="40">
        <v>667999.44000000006</v>
      </c>
      <c r="G106" s="40">
        <f t="shared" si="3"/>
        <v>27833.31</v>
      </c>
    </row>
    <row r="107" spans="1:7">
      <c r="A107" t="s">
        <v>206</v>
      </c>
      <c r="B107">
        <v>60029</v>
      </c>
      <c r="C107" t="s">
        <v>312</v>
      </c>
      <c r="D107">
        <v>24</v>
      </c>
      <c r="E107" t="s">
        <v>361</v>
      </c>
      <c r="F107" s="40">
        <v>740460.24</v>
      </c>
      <c r="G107" s="40">
        <f t="shared" si="3"/>
        <v>30852.51</v>
      </c>
    </row>
    <row r="108" spans="1:7">
      <c r="A108" t="s">
        <v>206</v>
      </c>
      <c r="B108">
        <v>60035</v>
      </c>
      <c r="C108" t="s">
        <v>313</v>
      </c>
      <c r="D108">
        <v>48</v>
      </c>
      <c r="E108" t="s">
        <v>361</v>
      </c>
      <c r="F108" s="40">
        <v>869529.60000000009</v>
      </c>
      <c r="G108" s="40">
        <f t="shared" si="3"/>
        <v>18115.2</v>
      </c>
    </row>
    <row r="109" spans="1:7">
      <c r="A109" t="s">
        <v>206</v>
      </c>
      <c r="B109">
        <v>60038</v>
      </c>
      <c r="C109" t="s">
        <v>314</v>
      </c>
      <c r="D109">
        <v>12</v>
      </c>
      <c r="E109" t="s">
        <v>361</v>
      </c>
      <c r="F109" s="40">
        <v>617049.72</v>
      </c>
      <c r="G109" s="40">
        <f t="shared" si="3"/>
        <v>51420.81</v>
      </c>
    </row>
    <row r="110" spans="1:7">
      <c r="A110" t="s">
        <v>206</v>
      </c>
      <c r="B110">
        <v>60039</v>
      </c>
      <c r="C110" t="s">
        <v>315</v>
      </c>
      <c r="D110">
        <v>12</v>
      </c>
      <c r="E110" t="s">
        <v>361</v>
      </c>
      <c r="F110" s="40">
        <v>657808.92000000004</v>
      </c>
      <c r="G110" s="40">
        <f t="shared" si="3"/>
        <v>54817.41</v>
      </c>
    </row>
    <row r="111" spans="1:7">
      <c r="A111" t="s">
        <v>206</v>
      </c>
      <c r="B111">
        <v>60040</v>
      </c>
      <c r="C111" t="s">
        <v>316</v>
      </c>
      <c r="D111">
        <v>24</v>
      </c>
      <c r="E111" t="s">
        <v>361</v>
      </c>
      <c r="F111" s="40">
        <v>667999.44000000006</v>
      </c>
      <c r="G111" s="40">
        <f t="shared" ref="G111:G142" si="4">F111/D111</f>
        <v>27833.31</v>
      </c>
    </row>
    <row r="112" spans="1:7">
      <c r="A112" t="s">
        <v>206</v>
      </c>
      <c r="B112">
        <v>60052</v>
      </c>
      <c r="C112" t="s">
        <v>317</v>
      </c>
      <c r="D112">
        <v>24</v>
      </c>
      <c r="E112" t="s">
        <v>361</v>
      </c>
      <c r="F112" s="40">
        <v>298896</v>
      </c>
      <c r="G112" s="40">
        <f t="shared" si="4"/>
        <v>12454</v>
      </c>
    </row>
    <row r="113" spans="1:7">
      <c r="A113" t="s">
        <v>206</v>
      </c>
      <c r="B113">
        <v>60057</v>
      </c>
      <c r="C113" t="s">
        <v>318</v>
      </c>
      <c r="D113">
        <v>24</v>
      </c>
      <c r="E113" t="s">
        <v>361</v>
      </c>
      <c r="F113" s="40">
        <v>298896</v>
      </c>
      <c r="G113" s="40">
        <f t="shared" si="4"/>
        <v>12454</v>
      </c>
    </row>
    <row r="114" spans="1:7">
      <c r="A114" t="s">
        <v>206</v>
      </c>
      <c r="B114">
        <v>60065</v>
      </c>
      <c r="C114" t="s">
        <v>319</v>
      </c>
      <c r="D114">
        <v>24</v>
      </c>
      <c r="E114" t="s">
        <v>361</v>
      </c>
      <c r="F114" s="40">
        <v>298896</v>
      </c>
      <c r="G114" s="40">
        <f t="shared" si="4"/>
        <v>12454</v>
      </c>
    </row>
    <row r="115" spans="1:7">
      <c r="A115" t="s">
        <v>206</v>
      </c>
      <c r="B115">
        <v>60067</v>
      </c>
      <c r="C115" t="s">
        <v>320</v>
      </c>
      <c r="D115">
        <v>48</v>
      </c>
      <c r="E115" t="s">
        <v>361</v>
      </c>
      <c r="F115" s="40">
        <v>987278.39999999991</v>
      </c>
      <c r="G115" s="40">
        <f t="shared" si="4"/>
        <v>20568.3</v>
      </c>
    </row>
    <row r="116" spans="1:7">
      <c r="A116" t="s">
        <v>206</v>
      </c>
      <c r="B116">
        <v>60070</v>
      </c>
      <c r="C116" t="s">
        <v>321</v>
      </c>
      <c r="D116">
        <v>24</v>
      </c>
      <c r="E116" t="s">
        <v>361</v>
      </c>
      <c r="F116" s="40">
        <v>520824</v>
      </c>
      <c r="G116" s="40">
        <f t="shared" si="4"/>
        <v>21701</v>
      </c>
    </row>
    <row r="117" spans="1:7">
      <c r="A117" t="s">
        <v>206</v>
      </c>
      <c r="B117">
        <v>60071</v>
      </c>
      <c r="C117" t="s">
        <v>322</v>
      </c>
      <c r="D117">
        <v>24</v>
      </c>
      <c r="E117" t="s">
        <v>361</v>
      </c>
      <c r="F117" s="40">
        <v>434764.80000000005</v>
      </c>
      <c r="G117" s="40">
        <f t="shared" si="4"/>
        <v>18115.2</v>
      </c>
    </row>
    <row r="118" spans="1:7">
      <c r="A118" t="s">
        <v>206</v>
      </c>
      <c r="B118">
        <v>60072</v>
      </c>
      <c r="C118" t="s">
        <v>323</v>
      </c>
      <c r="D118">
        <v>48</v>
      </c>
      <c r="E118" t="s">
        <v>361</v>
      </c>
      <c r="F118" s="40">
        <v>869529.60000000009</v>
      </c>
      <c r="G118" s="40">
        <f t="shared" si="4"/>
        <v>18115.2</v>
      </c>
    </row>
    <row r="119" spans="1:7">
      <c r="A119" t="s">
        <v>206</v>
      </c>
      <c r="B119">
        <v>60075</v>
      </c>
      <c r="C119" t="s">
        <v>324</v>
      </c>
      <c r="D119">
        <v>60</v>
      </c>
      <c r="E119" t="s">
        <v>359</v>
      </c>
      <c r="F119" s="40">
        <v>407580</v>
      </c>
      <c r="G119" s="40">
        <f t="shared" si="4"/>
        <v>6793</v>
      </c>
    </row>
    <row r="120" spans="1:7">
      <c r="A120" t="s">
        <v>206</v>
      </c>
      <c r="B120">
        <v>60083</v>
      </c>
      <c r="C120" t="s">
        <v>325</v>
      </c>
      <c r="D120">
        <v>48</v>
      </c>
      <c r="E120" t="s">
        <v>363</v>
      </c>
      <c r="F120" s="40">
        <v>557039.52</v>
      </c>
      <c r="G120" s="40">
        <f t="shared" si="4"/>
        <v>11604.99</v>
      </c>
    </row>
    <row r="121" spans="1:7">
      <c r="A121" t="s">
        <v>206</v>
      </c>
      <c r="B121">
        <v>60084</v>
      </c>
      <c r="C121" t="s">
        <v>326</v>
      </c>
      <c r="D121">
        <v>48</v>
      </c>
      <c r="E121" t="s">
        <v>361</v>
      </c>
      <c r="F121" s="40">
        <v>987278.39999999991</v>
      </c>
      <c r="G121" s="40">
        <f t="shared" si="4"/>
        <v>20568.3</v>
      </c>
    </row>
    <row r="122" spans="1:7">
      <c r="A122" t="s">
        <v>206</v>
      </c>
      <c r="B122">
        <v>60091</v>
      </c>
      <c r="C122" t="s">
        <v>327</v>
      </c>
      <c r="D122">
        <v>24</v>
      </c>
      <c r="E122" t="s">
        <v>361</v>
      </c>
      <c r="F122" s="40">
        <v>740460.24</v>
      </c>
      <c r="G122" s="40">
        <f t="shared" si="4"/>
        <v>30852.51</v>
      </c>
    </row>
    <row r="123" spans="1:7">
      <c r="A123" t="s">
        <v>206</v>
      </c>
      <c r="B123">
        <v>60092</v>
      </c>
      <c r="C123" t="s">
        <v>328</v>
      </c>
      <c r="D123">
        <v>12</v>
      </c>
      <c r="E123" t="s">
        <v>361</v>
      </c>
      <c r="F123" s="40">
        <v>617049.72</v>
      </c>
      <c r="G123" s="40">
        <f t="shared" si="4"/>
        <v>51420.81</v>
      </c>
    </row>
    <row r="124" spans="1:7">
      <c r="A124" t="s">
        <v>206</v>
      </c>
      <c r="B124">
        <v>60093</v>
      </c>
      <c r="C124" t="s">
        <v>329</v>
      </c>
      <c r="D124">
        <v>24</v>
      </c>
      <c r="E124" t="s">
        <v>361</v>
      </c>
      <c r="F124" s="40">
        <v>740447.76</v>
      </c>
      <c r="G124" s="40">
        <f t="shared" si="4"/>
        <v>30851.99</v>
      </c>
    </row>
    <row r="125" spans="1:7">
      <c r="A125" t="s">
        <v>206</v>
      </c>
      <c r="B125">
        <v>60094</v>
      </c>
      <c r="C125" t="s">
        <v>330</v>
      </c>
      <c r="D125">
        <v>12</v>
      </c>
      <c r="E125" t="s">
        <v>361</v>
      </c>
      <c r="F125" s="40">
        <v>657808.92000000004</v>
      </c>
      <c r="G125" s="40">
        <f t="shared" si="4"/>
        <v>54817.41</v>
      </c>
    </row>
    <row r="126" spans="1:7">
      <c r="A126" t="s">
        <v>206</v>
      </c>
      <c r="B126">
        <v>60096</v>
      </c>
      <c r="C126" t="s">
        <v>331</v>
      </c>
      <c r="D126">
        <v>12</v>
      </c>
      <c r="E126" t="s">
        <v>361</v>
      </c>
      <c r="F126" s="40">
        <v>994068</v>
      </c>
      <c r="G126" s="40">
        <f t="shared" si="4"/>
        <v>82839</v>
      </c>
    </row>
    <row r="127" spans="1:7">
      <c r="A127" t="s">
        <v>206</v>
      </c>
      <c r="B127">
        <v>60104</v>
      </c>
      <c r="C127" t="s">
        <v>332</v>
      </c>
      <c r="D127">
        <v>12</v>
      </c>
      <c r="E127" t="s">
        <v>366</v>
      </c>
      <c r="F127" s="40">
        <v>493644</v>
      </c>
      <c r="G127" s="40">
        <f t="shared" si="4"/>
        <v>41137</v>
      </c>
    </row>
    <row r="128" spans="1:7">
      <c r="A128" t="s">
        <v>206</v>
      </c>
      <c r="B128">
        <v>60105</v>
      </c>
      <c r="C128" t="s">
        <v>333</v>
      </c>
      <c r="D128">
        <v>144</v>
      </c>
      <c r="E128" t="s">
        <v>367</v>
      </c>
      <c r="F128" s="40">
        <v>1046161.4400000001</v>
      </c>
      <c r="G128" s="40">
        <f t="shared" si="4"/>
        <v>7265.01</v>
      </c>
    </row>
    <row r="129" spans="1:7">
      <c r="A129" t="s">
        <v>206</v>
      </c>
      <c r="B129">
        <v>60110</v>
      </c>
      <c r="C129" t="s">
        <v>334</v>
      </c>
      <c r="D129">
        <v>12</v>
      </c>
      <c r="E129" t="s">
        <v>361</v>
      </c>
      <c r="F129" s="40">
        <v>571764.12</v>
      </c>
      <c r="G129" s="40">
        <f t="shared" si="4"/>
        <v>47647.01</v>
      </c>
    </row>
    <row r="130" spans="1:7">
      <c r="A130" t="s">
        <v>207</v>
      </c>
      <c r="B130">
        <v>60054</v>
      </c>
      <c r="C130" t="s">
        <v>335</v>
      </c>
      <c r="D130">
        <v>144</v>
      </c>
      <c r="E130" t="s">
        <v>355</v>
      </c>
      <c r="F130" s="40">
        <v>2241756</v>
      </c>
      <c r="G130" s="40">
        <f t="shared" si="4"/>
        <v>15567.75</v>
      </c>
    </row>
    <row r="131" spans="1:7">
      <c r="A131" t="s">
        <v>207</v>
      </c>
      <c r="B131">
        <v>60055</v>
      </c>
      <c r="C131" t="s">
        <v>336</v>
      </c>
      <c r="D131">
        <v>48</v>
      </c>
      <c r="E131" t="s">
        <v>361</v>
      </c>
      <c r="F131" s="40">
        <v>2554224</v>
      </c>
      <c r="G131" s="40">
        <f t="shared" si="4"/>
        <v>53213</v>
      </c>
    </row>
    <row r="132" spans="1:7">
      <c r="A132" t="s">
        <v>207</v>
      </c>
      <c r="B132">
        <v>60056</v>
      </c>
      <c r="C132" t="s">
        <v>337</v>
      </c>
      <c r="D132">
        <v>24</v>
      </c>
      <c r="E132" t="s">
        <v>361</v>
      </c>
      <c r="F132" s="40">
        <v>2255352</v>
      </c>
      <c r="G132" s="40">
        <f t="shared" si="4"/>
        <v>93973</v>
      </c>
    </row>
    <row r="133" spans="1:7">
      <c r="A133" t="s">
        <v>207</v>
      </c>
      <c r="B133">
        <v>60068</v>
      </c>
      <c r="C133" t="s">
        <v>338</v>
      </c>
      <c r="D133">
        <v>144</v>
      </c>
      <c r="E133" t="s">
        <v>367</v>
      </c>
      <c r="F133" s="40">
        <v>2228169.6</v>
      </c>
      <c r="G133" s="40">
        <f t="shared" si="4"/>
        <v>15473.400000000001</v>
      </c>
    </row>
    <row r="134" spans="1:7">
      <c r="A134" t="s">
        <v>207</v>
      </c>
      <c r="B134">
        <v>60082</v>
      </c>
      <c r="C134" t="s">
        <v>339</v>
      </c>
      <c r="D134">
        <v>144</v>
      </c>
      <c r="E134" t="s">
        <v>367</v>
      </c>
      <c r="F134" s="40">
        <v>2241756</v>
      </c>
      <c r="G134" s="40">
        <f t="shared" si="4"/>
        <v>15567.75</v>
      </c>
    </row>
    <row r="135" spans="1:7">
      <c r="A135" t="s">
        <v>207</v>
      </c>
      <c r="B135">
        <v>60086</v>
      </c>
      <c r="C135" t="s">
        <v>340</v>
      </c>
      <c r="D135">
        <v>144</v>
      </c>
      <c r="E135" t="s">
        <v>367</v>
      </c>
      <c r="F135" s="40">
        <v>815184</v>
      </c>
      <c r="G135" s="40">
        <f t="shared" si="4"/>
        <v>5661</v>
      </c>
    </row>
    <row r="136" spans="1:7">
      <c r="A136" t="s">
        <v>207</v>
      </c>
      <c r="B136">
        <v>60090</v>
      </c>
      <c r="C136" t="s">
        <v>341</v>
      </c>
      <c r="D136">
        <v>72</v>
      </c>
      <c r="E136" t="s">
        <v>361</v>
      </c>
      <c r="F136" s="40">
        <v>1018980</v>
      </c>
      <c r="G136" s="40">
        <f t="shared" si="4"/>
        <v>14152.5</v>
      </c>
    </row>
    <row r="137" spans="1:7">
      <c r="A137" t="s">
        <v>208</v>
      </c>
      <c r="B137">
        <v>60020</v>
      </c>
      <c r="C137" t="s">
        <v>342</v>
      </c>
      <c r="D137">
        <v>240</v>
      </c>
      <c r="E137" t="s">
        <v>361</v>
      </c>
      <c r="F137" s="40">
        <v>2807856</v>
      </c>
      <c r="G137" s="40">
        <f t="shared" si="4"/>
        <v>11699.4</v>
      </c>
    </row>
    <row r="138" spans="1:7">
      <c r="A138" t="s">
        <v>208</v>
      </c>
      <c r="B138">
        <v>60021</v>
      </c>
      <c r="C138" t="s">
        <v>343</v>
      </c>
      <c r="D138">
        <v>120</v>
      </c>
      <c r="E138" t="s">
        <v>361</v>
      </c>
      <c r="F138" s="40">
        <v>2332332</v>
      </c>
      <c r="G138" s="40">
        <f t="shared" si="4"/>
        <v>19436.099999999999</v>
      </c>
    </row>
    <row r="139" spans="1:7">
      <c r="A139" t="s">
        <v>208</v>
      </c>
      <c r="B139">
        <v>60022</v>
      </c>
      <c r="C139" t="s">
        <v>344</v>
      </c>
      <c r="D139">
        <v>288</v>
      </c>
      <c r="E139" t="s">
        <v>365</v>
      </c>
      <c r="F139" s="40">
        <v>2037960</v>
      </c>
      <c r="G139" s="40">
        <f t="shared" si="4"/>
        <v>7076.25</v>
      </c>
    </row>
    <row r="140" spans="1:7">
      <c r="A140" t="s">
        <v>208</v>
      </c>
      <c r="B140">
        <v>60023</v>
      </c>
      <c r="C140" t="s">
        <v>345</v>
      </c>
      <c r="D140">
        <v>144</v>
      </c>
      <c r="E140" t="s">
        <v>365</v>
      </c>
      <c r="F140" s="40">
        <v>1874923.2</v>
      </c>
      <c r="G140" s="40">
        <f t="shared" si="4"/>
        <v>13020.3</v>
      </c>
    </row>
    <row r="141" spans="1:7">
      <c r="A141" t="s">
        <v>208</v>
      </c>
      <c r="B141">
        <v>60025</v>
      </c>
      <c r="C141" t="s">
        <v>346</v>
      </c>
      <c r="D141">
        <v>240</v>
      </c>
      <c r="E141" t="s">
        <v>361</v>
      </c>
      <c r="F141" s="40">
        <v>2989008</v>
      </c>
      <c r="G141" s="40">
        <f t="shared" si="4"/>
        <v>12454.2</v>
      </c>
    </row>
    <row r="142" spans="1:7">
      <c r="A142" t="s">
        <v>208</v>
      </c>
      <c r="B142">
        <v>60027</v>
      </c>
      <c r="C142" t="s">
        <v>347</v>
      </c>
      <c r="D142">
        <v>120</v>
      </c>
      <c r="E142" t="s">
        <v>361</v>
      </c>
      <c r="F142" s="40">
        <v>2717280</v>
      </c>
      <c r="G142" s="40">
        <f t="shared" si="4"/>
        <v>22644</v>
      </c>
    </row>
    <row r="143" spans="1:7">
      <c r="A143" t="s">
        <v>208</v>
      </c>
      <c r="B143">
        <v>60031</v>
      </c>
      <c r="C143" t="s">
        <v>348</v>
      </c>
      <c r="D143">
        <v>240</v>
      </c>
      <c r="E143" t="s">
        <v>361</v>
      </c>
      <c r="F143" s="40">
        <v>3623040</v>
      </c>
      <c r="G143" s="40">
        <f t="shared" ref="G143:G149" si="5">F143/D143</f>
        <v>15096</v>
      </c>
    </row>
    <row r="144" spans="1:7">
      <c r="A144" t="s">
        <v>208</v>
      </c>
      <c r="B144">
        <v>60053</v>
      </c>
      <c r="C144" t="s">
        <v>349</v>
      </c>
      <c r="D144">
        <v>72</v>
      </c>
      <c r="E144" t="s">
        <v>361</v>
      </c>
      <c r="F144" s="40">
        <v>733665.6</v>
      </c>
      <c r="G144" s="40">
        <f t="shared" si="5"/>
        <v>10189.799999999999</v>
      </c>
    </row>
    <row r="145" spans="1:7">
      <c r="A145" t="s">
        <v>208</v>
      </c>
      <c r="B145">
        <v>60079</v>
      </c>
      <c r="C145" t="s">
        <v>350</v>
      </c>
      <c r="D145">
        <v>60</v>
      </c>
      <c r="E145" t="s">
        <v>361</v>
      </c>
      <c r="F145" s="40">
        <v>1358640</v>
      </c>
      <c r="G145" s="40">
        <f t="shared" si="5"/>
        <v>22644</v>
      </c>
    </row>
    <row r="146" spans="1:7">
      <c r="A146" t="s">
        <v>208</v>
      </c>
      <c r="B146">
        <v>60089</v>
      </c>
      <c r="C146" t="s">
        <v>351</v>
      </c>
      <c r="D146">
        <v>144</v>
      </c>
      <c r="E146" t="s">
        <v>361</v>
      </c>
      <c r="F146" s="40">
        <v>4075920</v>
      </c>
      <c r="G146" s="40">
        <f t="shared" si="5"/>
        <v>28305</v>
      </c>
    </row>
    <row r="147" spans="1:7">
      <c r="A147" t="s">
        <v>206</v>
      </c>
      <c r="B147">
        <v>60106</v>
      </c>
      <c r="C147" t="s">
        <v>352</v>
      </c>
      <c r="D147">
        <v>24</v>
      </c>
      <c r="E147" t="s">
        <v>363</v>
      </c>
      <c r="F147" s="40">
        <v>201531.60000000003</v>
      </c>
      <c r="G147" s="40">
        <f t="shared" si="5"/>
        <v>8397.1500000000015</v>
      </c>
    </row>
    <row r="148" spans="1:7">
      <c r="A148" t="s">
        <v>206</v>
      </c>
      <c r="B148">
        <v>60107</v>
      </c>
      <c r="C148" t="s">
        <v>353</v>
      </c>
      <c r="D148">
        <v>24</v>
      </c>
      <c r="E148" t="s">
        <v>363</v>
      </c>
      <c r="F148" s="40">
        <v>201531.60000000003</v>
      </c>
      <c r="G148" s="40">
        <f t="shared" si="5"/>
        <v>8397.1500000000015</v>
      </c>
    </row>
    <row r="149" spans="1:7">
      <c r="A149" t="s">
        <v>206</v>
      </c>
      <c r="B149">
        <v>60108</v>
      </c>
      <c r="C149" t="s">
        <v>354</v>
      </c>
      <c r="D149">
        <v>24</v>
      </c>
      <c r="E149" t="s">
        <v>363</v>
      </c>
      <c r="F149" s="40">
        <v>201531.60000000003</v>
      </c>
      <c r="G149" s="40">
        <f t="shared" si="5"/>
        <v>8397.1500000000015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G149"/>
  <sheetViews>
    <sheetView topLeftCell="A125" workbookViewId="0">
      <selection activeCell="C161" sqref="C161"/>
    </sheetView>
  </sheetViews>
  <sheetFormatPr defaultRowHeight="1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7" ht="40.15" customHeight="1">
      <c r="A3" s="1" t="s">
        <v>2</v>
      </c>
      <c r="B3" s="1" t="s">
        <v>144</v>
      </c>
      <c r="C3" s="1" t="s">
        <v>3</v>
      </c>
      <c r="D3" s="1" t="s">
        <v>4</v>
      </c>
      <c r="E3" s="1" t="s">
        <v>1</v>
      </c>
      <c r="F3" s="2" t="s">
        <v>5</v>
      </c>
      <c r="G3" s="25" t="s">
        <v>6</v>
      </c>
    </row>
    <row r="4" spans="1:7">
      <c r="A4" s="26">
        <v>10002</v>
      </c>
      <c r="B4" s="26" t="s">
        <v>193</v>
      </c>
      <c r="C4" s="26" t="s">
        <v>209</v>
      </c>
      <c r="D4" s="26">
        <v>1000</v>
      </c>
      <c r="E4" s="26" t="s">
        <v>355</v>
      </c>
      <c r="F4" s="3">
        <v>3563100.0000000005</v>
      </c>
      <c r="G4" s="3">
        <f>F4/D4</f>
        <v>3563.1000000000004</v>
      </c>
    </row>
    <row r="5" spans="1:7">
      <c r="A5" s="26">
        <v>10063</v>
      </c>
      <c r="B5" s="26" t="s">
        <v>193</v>
      </c>
      <c r="C5" s="26" t="s">
        <v>210</v>
      </c>
      <c r="D5" s="26">
        <v>300</v>
      </c>
      <c r="E5" s="26" t="s">
        <v>356</v>
      </c>
      <c r="F5" s="3">
        <v>666000.00000000012</v>
      </c>
      <c r="G5" s="3">
        <f t="shared" ref="G5:G68" si="0">F5/D5</f>
        <v>2220.0000000000005</v>
      </c>
    </row>
    <row r="6" spans="1:7">
      <c r="A6" s="26">
        <v>10074</v>
      </c>
      <c r="B6" s="26" t="s">
        <v>193</v>
      </c>
      <c r="C6" s="26" t="s">
        <v>211</v>
      </c>
      <c r="D6" s="26">
        <v>360</v>
      </c>
      <c r="E6" s="26" t="s">
        <v>356</v>
      </c>
      <c r="F6" s="3">
        <v>1238760</v>
      </c>
      <c r="G6" s="3">
        <f t="shared" si="0"/>
        <v>3441</v>
      </c>
    </row>
    <row r="7" spans="1:7">
      <c r="A7" s="26">
        <v>10075</v>
      </c>
      <c r="B7" s="26" t="s">
        <v>193</v>
      </c>
      <c r="C7" s="26" t="s">
        <v>212</v>
      </c>
      <c r="D7" s="26">
        <v>360</v>
      </c>
      <c r="E7" s="26" t="s">
        <v>356</v>
      </c>
      <c r="F7" s="3">
        <v>1238760</v>
      </c>
      <c r="G7" s="3">
        <f t="shared" si="0"/>
        <v>3441</v>
      </c>
    </row>
    <row r="8" spans="1:7">
      <c r="A8" s="26">
        <v>10077</v>
      </c>
      <c r="B8" s="26" t="s">
        <v>193</v>
      </c>
      <c r="C8" s="26" t="s">
        <v>213</v>
      </c>
      <c r="D8" s="26">
        <v>300</v>
      </c>
      <c r="E8" s="26" t="s">
        <v>356</v>
      </c>
      <c r="F8" s="3">
        <v>1032300.0000000001</v>
      </c>
      <c r="G8" s="3">
        <f t="shared" si="0"/>
        <v>3441.0000000000005</v>
      </c>
    </row>
    <row r="9" spans="1:7">
      <c r="A9" s="26">
        <v>10110</v>
      </c>
      <c r="B9" s="26" t="s">
        <v>193</v>
      </c>
      <c r="C9" s="26" t="s">
        <v>214</v>
      </c>
      <c r="D9" s="26">
        <v>1000</v>
      </c>
      <c r="E9" s="26" t="s">
        <v>355</v>
      </c>
      <c r="F9" s="3">
        <v>4479960</v>
      </c>
      <c r="G9" s="3">
        <f t="shared" si="0"/>
        <v>4479.96</v>
      </c>
    </row>
    <row r="10" spans="1:7">
      <c r="A10" s="26">
        <v>10112</v>
      </c>
      <c r="B10" s="26" t="s">
        <v>193</v>
      </c>
      <c r="C10" s="26" t="s">
        <v>215</v>
      </c>
      <c r="D10" s="26">
        <v>360</v>
      </c>
      <c r="E10" s="26" t="s">
        <v>356</v>
      </c>
      <c r="F10" s="3">
        <v>1238760</v>
      </c>
      <c r="G10" s="3">
        <f t="shared" si="0"/>
        <v>3441</v>
      </c>
    </row>
    <row r="11" spans="1:7">
      <c r="A11" s="26">
        <v>10134</v>
      </c>
      <c r="B11" s="26" t="s">
        <v>193</v>
      </c>
      <c r="C11" s="26" t="s">
        <v>216</v>
      </c>
      <c r="D11" s="26">
        <v>420</v>
      </c>
      <c r="E11" s="26" t="s">
        <v>356</v>
      </c>
      <c r="F11" s="3">
        <v>1238758.6680000001</v>
      </c>
      <c r="G11" s="3">
        <f t="shared" si="0"/>
        <v>2949.4254000000001</v>
      </c>
    </row>
    <row r="12" spans="1:7">
      <c r="A12" s="26">
        <v>10135</v>
      </c>
      <c r="B12" s="26" t="s">
        <v>193</v>
      </c>
      <c r="C12" s="26" t="s">
        <v>217</v>
      </c>
      <c r="D12" s="26">
        <v>420</v>
      </c>
      <c r="E12" s="26" t="s">
        <v>356</v>
      </c>
      <c r="F12" s="3">
        <v>1238758.6680000001</v>
      </c>
      <c r="G12" s="3">
        <f t="shared" si="0"/>
        <v>2949.4254000000001</v>
      </c>
    </row>
    <row r="13" spans="1:7">
      <c r="A13" s="26">
        <v>10039</v>
      </c>
      <c r="B13" s="26" t="s">
        <v>194</v>
      </c>
      <c r="C13" s="26" t="s">
        <v>218</v>
      </c>
      <c r="D13" s="26">
        <v>270</v>
      </c>
      <c r="E13" s="26" t="s">
        <v>356</v>
      </c>
      <c r="F13" s="3">
        <v>619479.9</v>
      </c>
      <c r="G13" s="3">
        <f t="shared" si="0"/>
        <v>2294.37</v>
      </c>
    </row>
    <row r="14" spans="1:7">
      <c r="A14" s="26">
        <v>10048</v>
      </c>
      <c r="B14" s="26" t="s">
        <v>194</v>
      </c>
      <c r="C14" s="26" t="s">
        <v>219</v>
      </c>
      <c r="D14" s="26">
        <v>180</v>
      </c>
      <c r="E14" s="26" t="s">
        <v>356</v>
      </c>
      <c r="F14" s="3">
        <v>412986.60000000003</v>
      </c>
      <c r="G14" s="3">
        <f t="shared" si="0"/>
        <v>2294.3700000000003</v>
      </c>
    </row>
    <row r="15" spans="1:7">
      <c r="A15" s="26">
        <v>10067</v>
      </c>
      <c r="B15" s="26" t="s">
        <v>194</v>
      </c>
      <c r="C15" s="26" t="s">
        <v>220</v>
      </c>
      <c r="D15" s="26">
        <v>6</v>
      </c>
      <c r="E15" s="26" t="s">
        <v>357</v>
      </c>
      <c r="F15" s="3">
        <v>237169.26</v>
      </c>
      <c r="G15" s="3">
        <f t="shared" si="0"/>
        <v>39528.21</v>
      </c>
    </row>
    <row r="16" spans="1:7">
      <c r="A16" s="26">
        <v>10081</v>
      </c>
      <c r="B16" s="26" t="s">
        <v>194</v>
      </c>
      <c r="C16" s="26" t="s">
        <v>221</v>
      </c>
      <c r="D16" s="26">
        <v>6</v>
      </c>
      <c r="E16" s="26" t="s">
        <v>357</v>
      </c>
      <c r="F16" s="3">
        <v>134924.94</v>
      </c>
      <c r="G16" s="3">
        <f t="shared" si="0"/>
        <v>22487.49</v>
      </c>
    </row>
    <row r="17" spans="1:7">
      <c r="A17" s="26">
        <v>10089</v>
      </c>
      <c r="B17" s="26" t="s">
        <v>194</v>
      </c>
      <c r="C17" s="26" t="s">
        <v>222</v>
      </c>
      <c r="D17" s="26">
        <v>25</v>
      </c>
      <c r="E17" s="26" t="s">
        <v>358</v>
      </c>
      <c r="F17" s="3">
        <v>169025.25000000003</v>
      </c>
      <c r="G17" s="3">
        <f t="shared" si="0"/>
        <v>6761.0100000000011</v>
      </c>
    </row>
    <row r="18" spans="1:7">
      <c r="A18" s="26">
        <v>10090</v>
      </c>
      <c r="B18" s="26" t="s">
        <v>194</v>
      </c>
      <c r="C18" s="26" t="s">
        <v>223</v>
      </c>
      <c r="D18" s="26">
        <v>6</v>
      </c>
      <c r="E18" s="26" t="s">
        <v>357</v>
      </c>
      <c r="F18" s="3">
        <v>134924.94</v>
      </c>
      <c r="G18" s="3">
        <f t="shared" si="0"/>
        <v>22487.49</v>
      </c>
    </row>
    <row r="19" spans="1:7">
      <c r="A19" s="26">
        <v>10092</v>
      </c>
      <c r="B19" s="26" t="s">
        <v>194</v>
      </c>
      <c r="C19" s="26" t="s">
        <v>224</v>
      </c>
      <c r="D19" s="26">
        <v>25</v>
      </c>
      <c r="E19" s="26" t="s">
        <v>358</v>
      </c>
      <c r="F19" s="3">
        <v>169025.25000000003</v>
      </c>
      <c r="G19" s="3">
        <f t="shared" si="0"/>
        <v>6761.0100000000011</v>
      </c>
    </row>
    <row r="20" spans="1:7">
      <c r="A20" s="26">
        <v>10094</v>
      </c>
      <c r="B20" s="26" t="s">
        <v>194</v>
      </c>
      <c r="C20" s="26" t="s">
        <v>225</v>
      </c>
      <c r="D20" s="26">
        <v>6</v>
      </c>
      <c r="E20" s="26" t="s">
        <v>357</v>
      </c>
      <c r="F20" s="3">
        <v>237169.26</v>
      </c>
      <c r="G20" s="3">
        <f t="shared" si="0"/>
        <v>39528.21</v>
      </c>
    </row>
    <row r="21" spans="1:7">
      <c r="A21" s="26">
        <v>10096</v>
      </c>
      <c r="B21" s="26" t="s">
        <v>194</v>
      </c>
      <c r="C21" s="26" t="s">
        <v>226</v>
      </c>
      <c r="D21" s="26">
        <v>25</v>
      </c>
      <c r="E21" s="26" t="s">
        <v>358</v>
      </c>
      <c r="F21" s="3">
        <v>169025.25000000003</v>
      </c>
      <c r="G21" s="3">
        <f t="shared" si="0"/>
        <v>6761.0100000000011</v>
      </c>
    </row>
    <row r="22" spans="1:7">
      <c r="A22" s="26">
        <v>10097</v>
      </c>
      <c r="B22" s="26" t="s">
        <v>194</v>
      </c>
      <c r="C22" s="26" t="s">
        <v>227</v>
      </c>
      <c r="D22" s="26">
        <v>25</v>
      </c>
      <c r="E22" s="26" t="s">
        <v>358</v>
      </c>
      <c r="F22" s="3">
        <v>169025.25000000003</v>
      </c>
      <c r="G22" s="3">
        <f t="shared" si="0"/>
        <v>6761.0100000000011</v>
      </c>
    </row>
    <row r="23" spans="1:7">
      <c r="A23" s="26">
        <v>10098</v>
      </c>
      <c r="B23" s="26" t="s">
        <v>194</v>
      </c>
      <c r="C23" s="26" t="s">
        <v>228</v>
      </c>
      <c r="D23" s="26">
        <v>6</v>
      </c>
      <c r="E23" s="26" t="s">
        <v>357</v>
      </c>
      <c r="F23" s="3">
        <v>134924.94</v>
      </c>
      <c r="G23" s="3">
        <f t="shared" si="0"/>
        <v>22487.49</v>
      </c>
    </row>
    <row r="24" spans="1:7">
      <c r="A24" s="26">
        <v>10107</v>
      </c>
      <c r="B24" s="26" t="s">
        <v>194</v>
      </c>
      <c r="C24" s="26" t="s">
        <v>229</v>
      </c>
      <c r="D24" s="26">
        <v>270</v>
      </c>
      <c r="E24" s="26" t="s">
        <v>356</v>
      </c>
      <c r="F24" s="3">
        <v>619479.9</v>
      </c>
      <c r="G24" s="3">
        <f t="shared" si="0"/>
        <v>2294.37</v>
      </c>
    </row>
    <row r="25" spans="1:7">
      <c r="A25" s="26">
        <v>10114</v>
      </c>
      <c r="B25" s="26" t="s">
        <v>194</v>
      </c>
      <c r="C25" s="26" t="s">
        <v>230</v>
      </c>
      <c r="D25" s="26">
        <v>25</v>
      </c>
      <c r="E25" s="26" t="s">
        <v>358</v>
      </c>
      <c r="F25" s="3">
        <v>182040.00000000003</v>
      </c>
      <c r="G25" s="3">
        <f t="shared" si="0"/>
        <v>7281.6000000000013</v>
      </c>
    </row>
    <row r="26" spans="1:7">
      <c r="A26" s="26">
        <v>10115</v>
      </c>
      <c r="B26" s="26" t="s">
        <v>194</v>
      </c>
      <c r="C26" s="26" t="s">
        <v>231</v>
      </c>
      <c r="D26" s="26">
        <v>270</v>
      </c>
      <c r="E26" s="26" t="s">
        <v>356</v>
      </c>
      <c r="F26" s="3">
        <v>830468.70000000007</v>
      </c>
      <c r="G26" s="3">
        <f t="shared" si="0"/>
        <v>3075.8100000000004</v>
      </c>
    </row>
    <row r="27" spans="1:7">
      <c r="A27" s="26">
        <v>10117</v>
      </c>
      <c r="B27" s="26" t="s">
        <v>194</v>
      </c>
      <c r="C27" s="26" t="s">
        <v>232</v>
      </c>
      <c r="D27" s="26">
        <v>25</v>
      </c>
      <c r="E27" s="26" t="s">
        <v>358</v>
      </c>
      <c r="F27" s="3">
        <v>182040.00000000003</v>
      </c>
      <c r="G27" s="3">
        <f t="shared" si="0"/>
        <v>7281.6000000000013</v>
      </c>
    </row>
    <row r="28" spans="1:7">
      <c r="A28" s="26">
        <v>10123</v>
      </c>
      <c r="B28" s="26" t="s">
        <v>194</v>
      </c>
      <c r="C28" s="26" t="s">
        <v>233</v>
      </c>
      <c r="D28" s="26">
        <v>25</v>
      </c>
      <c r="E28" s="26" t="s">
        <v>358</v>
      </c>
      <c r="F28" s="3">
        <v>169025.25000000003</v>
      </c>
      <c r="G28" s="3">
        <f t="shared" si="0"/>
        <v>6761.0100000000011</v>
      </c>
    </row>
    <row r="29" spans="1:7">
      <c r="A29" s="26">
        <v>600001</v>
      </c>
      <c r="B29" s="26" t="s">
        <v>194</v>
      </c>
      <c r="C29" s="26" t="s">
        <v>234</v>
      </c>
      <c r="D29" s="26">
        <v>25</v>
      </c>
      <c r="E29" s="26" t="s">
        <v>359</v>
      </c>
      <c r="F29" s="3">
        <v>169025.25000000003</v>
      </c>
      <c r="G29" s="3">
        <f t="shared" si="0"/>
        <v>6761.0100000000011</v>
      </c>
    </row>
    <row r="30" spans="1:7">
      <c r="A30" s="26">
        <v>10106</v>
      </c>
      <c r="B30" s="26" t="s">
        <v>195</v>
      </c>
      <c r="C30" s="26" t="s">
        <v>235</v>
      </c>
      <c r="D30" s="26">
        <v>60</v>
      </c>
      <c r="E30" s="26" t="s">
        <v>360</v>
      </c>
      <c r="F30" s="3">
        <v>1693571.4000000001</v>
      </c>
      <c r="G30" s="3">
        <f t="shared" si="0"/>
        <v>28226.190000000002</v>
      </c>
    </row>
    <row r="31" spans="1:7">
      <c r="A31" s="26">
        <v>10102</v>
      </c>
      <c r="B31" s="26" t="s">
        <v>196</v>
      </c>
      <c r="C31" s="26" t="s">
        <v>236</v>
      </c>
      <c r="D31" s="26">
        <v>300</v>
      </c>
      <c r="E31" s="26" t="s">
        <v>356</v>
      </c>
      <c r="F31" s="3">
        <v>924075.00000000012</v>
      </c>
      <c r="G31" s="3">
        <f t="shared" si="0"/>
        <v>3080.2500000000005</v>
      </c>
    </row>
    <row r="32" spans="1:7">
      <c r="A32" s="26">
        <v>10108</v>
      </c>
      <c r="B32" s="26" t="s">
        <v>196</v>
      </c>
      <c r="C32" s="26" t="s">
        <v>237</v>
      </c>
      <c r="D32" s="26">
        <v>24</v>
      </c>
      <c r="E32" s="26" t="s">
        <v>361</v>
      </c>
      <c r="F32" s="3">
        <v>537648.4800000001</v>
      </c>
      <c r="G32" s="3">
        <f t="shared" si="0"/>
        <v>22402.020000000004</v>
      </c>
    </row>
    <row r="33" spans="1:7">
      <c r="A33" s="26">
        <v>10109</v>
      </c>
      <c r="B33" s="26" t="s">
        <v>196</v>
      </c>
      <c r="C33" s="26" t="s">
        <v>238</v>
      </c>
      <c r="D33" s="26">
        <v>300</v>
      </c>
      <c r="E33" s="26" t="s">
        <v>356</v>
      </c>
      <c r="F33" s="3">
        <v>924075.00000000012</v>
      </c>
      <c r="G33" s="3">
        <f t="shared" si="0"/>
        <v>3080.2500000000005</v>
      </c>
    </row>
    <row r="34" spans="1:7">
      <c r="A34" s="26">
        <v>10113</v>
      </c>
      <c r="B34" s="26" t="s">
        <v>196</v>
      </c>
      <c r="C34" s="26" t="s">
        <v>239</v>
      </c>
      <c r="D34" s="26">
        <v>24</v>
      </c>
      <c r="E34" s="26" t="s">
        <v>361</v>
      </c>
      <c r="F34" s="3">
        <v>387105.84</v>
      </c>
      <c r="G34" s="3">
        <f t="shared" si="0"/>
        <v>16129.410000000002</v>
      </c>
    </row>
    <row r="35" spans="1:7">
      <c r="A35" s="26">
        <v>10066</v>
      </c>
      <c r="B35" s="26" t="s">
        <v>197</v>
      </c>
      <c r="C35" s="26" t="s">
        <v>240</v>
      </c>
      <c r="D35" s="26">
        <v>1000</v>
      </c>
      <c r="E35" s="26" t="s">
        <v>355</v>
      </c>
      <c r="F35" s="3">
        <v>2664000.0000000005</v>
      </c>
      <c r="G35" s="3">
        <f t="shared" si="0"/>
        <v>2664.0000000000005</v>
      </c>
    </row>
    <row r="36" spans="1:7">
      <c r="A36" s="26">
        <v>10099</v>
      </c>
      <c r="B36" s="26" t="s">
        <v>197</v>
      </c>
      <c r="C36" s="26" t="s">
        <v>241</v>
      </c>
      <c r="D36" s="26">
        <v>300</v>
      </c>
      <c r="E36" s="26" t="s">
        <v>362</v>
      </c>
      <c r="F36" s="3">
        <v>799200.00000000012</v>
      </c>
      <c r="G36" s="3">
        <f t="shared" si="0"/>
        <v>2664.0000000000005</v>
      </c>
    </row>
    <row r="37" spans="1:7">
      <c r="A37" s="26">
        <v>10004</v>
      </c>
      <c r="B37" s="26" t="s">
        <v>198</v>
      </c>
      <c r="C37" s="26" t="s">
        <v>242</v>
      </c>
      <c r="D37" s="26">
        <v>1000</v>
      </c>
      <c r="E37" s="26" t="s">
        <v>355</v>
      </c>
      <c r="F37" s="3">
        <v>2081250.0000000002</v>
      </c>
      <c r="G37" s="3">
        <f t="shared" si="0"/>
        <v>2081.2500000000005</v>
      </c>
    </row>
    <row r="38" spans="1:7">
      <c r="A38" s="26">
        <v>10042</v>
      </c>
      <c r="B38" s="26" t="s">
        <v>198</v>
      </c>
      <c r="C38" s="26" t="s">
        <v>243</v>
      </c>
      <c r="D38" s="26">
        <v>1000</v>
      </c>
      <c r="E38" s="26" t="s">
        <v>355</v>
      </c>
      <c r="F38" s="3">
        <v>1554000.0000000002</v>
      </c>
      <c r="G38" s="3">
        <f t="shared" si="0"/>
        <v>1554.0000000000002</v>
      </c>
    </row>
    <row r="39" spans="1:7">
      <c r="A39" s="26">
        <v>10029</v>
      </c>
      <c r="B39" s="26" t="s">
        <v>199</v>
      </c>
      <c r="C39" s="26" t="s">
        <v>244</v>
      </c>
      <c r="D39" s="26">
        <v>48</v>
      </c>
      <c r="E39" s="26" t="s">
        <v>361</v>
      </c>
      <c r="F39" s="3">
        <v>1151327.52</v>
      </c>
      <c r="G39" s="3">
        <f t="shared" si="0"/>
        <v>23985.99</v>
      </c>
    </row>
    <row r="40" spans="1:7">
      <c r="A40" s="26">
        <v>10030</v>
      </c>
      <c r="B40" s="26" t="s">
        <v>199</v>
      </c>
      <c r="C40" s="26" t="s">
        <v>245</v>
      </c>
      <c r="D40" s="26">
        <v>48</v>
      </c>
      <c r="E40" s="26" t="s">
        <v>361</v>
      </c>
      <c r="F40" s="3">
        <v>789343.20000000007</v>
      </c>
      <c r="G40" s="3">
        <f t="shared" si="0"/>
        <v>16444.650000000001</v>
      </c>
    </row>
    <row r="41" spans="1:7">
      <c r="A41" s="26">
        <v>10031</v>
      </c>
      <c r="B41" s="26" t="s">
        <v>199</v>
      </c>
      <c r="C41" s="26" t="s">
        <v>246</v>
      </c>
      <c r="D41" s="26">
        <v>300</v>
      </c>
      <c r="E41" s="26" t="s">
        <v>356</v>
      </c>
      <c r="F41" s="3">
        <v>917415.00000000012</v>
      </c>
      <c r="G41" s="3">
        <f t="shared" si="0"/>
        <v>3058.05</v>
      </c>
    </row>
    <row r="42" spans="1:7">
      <c r="A42" s="26">
        <v>10061</v>
      </c>
      <c r="B42" s="26" t="s">
        <v>199</v>
      </c>
      <c r="C42" s="26" t="s">
        <v>247</v>
      </c>
      <c r="D42" s="26">
        <v>48</v>
      </c>
      <c r="E42" s="26" t="s">
        <v>361</v>
      </c>
      <c r="F42" s="3">
        <v>789343.20000000007</v>
      </c>
      <c r="G42" s="3">
        <f t="shared" si="0"/>
        <v>16444.650000000001</v>
      </c>
    </row>
    <row r="43" spans="1:7">
      <c r="A43" s="26">
        <v>10086</v>
      </c>
      <c r="B43" s="26" t="s">
        <v>199</v>
      </c>
      <c r="C43" s="26" t="s">
        <v>248</v>
      </c>
      <c r="D43" s="26">
        <v>300</v>
      </c>
      <c r="E43" s="26" t="s">
        <v>356</v>
      </c>
      <c r="F43" s="3">
        <v>917415.00000000012</v>
      </c>
      <c r="G43" s="3">
        <f t="shared" si="0"/>
        <v>3058.05</v>
      </c>
    </row>
    <row r="44" spans="1:7">
      <c r="A44" s="26">
        <v>10100</v>
      </c>
      <c r="B44" s="26" t="s">
        <v>199</v>
      </c>
      <c r="C44" s="26" t="s">
        <v>249</v>
      </c>
      <c r="D44" s="26">
        <v>48</v>
      </c>
      <c r="E44" s="26" t="s">
        <v>361</v>
      </c>
      <c r="F44" s="3">
        <v>402796.80000000005</v>
      </c>
      <c r="G44" s="3">
        <f t="shared" si="0"/>
        <v>8391.6</v>
      </c>
    </row>
    <row r="45" spans="1:7">
      <c r="A45" s="26">
        <v>10101</v>
      </c>
      <c r="B45" s="26" t="s">
        <v>199</v>
      </c>
      <c r="C45" s="26" t="s">
        <v>250</v>
      </c>
      <c r="D45" s="26">
        <v>48</v>
      </c>
      <c r="E45" s="26" t="s">
        <v>361</v>
      </c>
      <c r="F45" s="3">
        <v>402796.80000000005</v>
      </c>
      <c r="G45" s="3">
        <f t="shared" si="0"/>
        <v>8391.6</v>
      </c>
    </row>
    <row r="46" spans="1:7">
      <c r="A46" s="26">
        <v>10120</v>
      </c>
      <c r="B46" s="26" t="s">
        <v>199</v>
      </c>
      <c r="C46" s="26" t="s">
        <v>251</v>
      </c>
      <c r="D46" s="26">
        <v>48</v>
      </c>
      <c r="E46" s="26" t="s">
        <v>361</v>
      </c>
      <c r="F46" s="3">
        <v>789343.20000000007</v>
      </c>
      <c r="G46" s="3">
        <f t="shared" si="0"/>
        <v>16444.650000000001</v>
      </c>
    </row>
    <row r="47" spans="1:7">
      <c r="A47" s="26">
        <v>10132</v>
      </c>
      <c r="B47" s="26" t="s">
        <v>199</v>
      </c>
      <c r="C47" s="26" t="s">
        <v>252</v>
      </c>
      <c r="D47" s="26">
        <v>264</v>
      </c>
      <c r="E47" s="26" t="s">
        <v>356</v>
      </c>
      <c r="F47" s="3">
        <v>673112.88</v>
      </c>
      <c r="G47" s="3">
        <f t="shared" si="0"/>
        <v>2549.67</v>
      </c>
    </row>
    <row r="48" spans="1:7">
      <c r="A48" s="26">
        <v>10133</v>
      </c>
      <c r="B48" s="26" t="s">
        <v>199</v>
      </c>
      <c r="C48" s="26" t="s">
        <v>253</v>
      </c>
      <c r="D48" s="26">
        <v>330</v>
      </c>
      <c r="E48" s="26" t="s">
        <v>356</v>
      </c>
      <c r="F48" s="3">
        <v>917581.50000000012</v>
      </c>
      <c r="G48" s="3">
        <f t="shared" si="0"/>
        <v>2780.55</v>
      </c>
    </row>
    <row r="49" spans="1:7">
      <c r="A49" s="26">
        <v>10018</v>
      </c>
      <c r="B49" s="26" t="s">
        <v>200</v>
      </c>
      <c r="C49" s="26" t="s">
        <v>254</v>
      </c>
      <c r="D49" s="26">
        <v>144</v>
      </c>
      <c r="E49" s="26" t="s">
        <v>355</v>
      </c>
      <c r="F49" s="3">
        <v>2445552</v>
      </c>
      <c r="G49" s="3">
        <f t="shared" si="0"/>
        <v>16983</v>
      </c>
    </row>
    <row r="50" spans="1:7">
      <c r="A50" s="26">
        <v>10082</v>
      </c>
      <c r="B50" s="26" t="s">
        <v>200</v>
      </c>
      <c r="C50" s="26" t="s">
        <v>255</v>
      </c>
      <c r="D50" s="26">
        <v>100</v>
      </c>
      <c r="E50" s="26" t="s">
        <v>360</v>
      </c>
      <c r="F50" s="3">
        <v>1179375</v>
      </c>
      <c r="G50" s="3">
        <f t="shared" si="0"/>
        <v>11793.75</v>
      </c>
    </row>
    <row r="51" spans="1:7">
      <c r="A51" s="26">
        <v>10083</v>
      </c>
      <c r="B51" s="26" t="s">
        <v>200</v>
      </c>
      <c r="C51" s="26" t="s">
        <v>256</v>
      </c>
      <c r="D51" s="26">
        <v>100</v>
      </c>
      <c r="E51" s="26" t="s">
        <v>360</v>
      </c>
      <c r="F51" s="3">
        <v>1179375</v>
      </c>
      <c r="G51" s="3">
        <f t="shared" si="0"/>
        <v>11793.75</v>
      </c>
    </row>
    <row r="52" spans="1:7">
      <c r="A52" s="26">
        <v>12001</v>
      </c>
      <c r="B52" s="26" t="s">
        <v>201</v>
      </c>
      <c r="C52" s="26" t="s">
        <v>257</v>
      </c>
      <c r="D52" s="26">
        <v>1000</v>
      </c>
      <c r="E52" s="26" t="s">
        <v>355</v>
      </c>
      <c r="F52" s="3">
        <v>2197800</v>
      </c>
      <c r="G52" s="3">
        <f t="shared" si="0"/>
        <v>2197.8000000000002</v>
      </c>
    </row>
    <row r="53" spans="1:7">
      <c r="A53" s="26">
        <v>12009</v>
      </c>
      <c r="B53" s="26" t="s">
        <v>201</v>
      </c>
      <c r="C53" s="26" t="s">
        <v>258</v>
      </c>
      <c r="D53" s="26">
        <v>360</v>
      </c>
      <c r="E53" s="26" t="s">
        <v>356</v>
      </c>
      <c r="F53" s="3">
        <v>799200.00000000012</v>
      </c>
      <c r="G53" s="3">
        <f t="shared" si="0"/>
        <v>2220.0000000000005</v>
      </c>
    </row>
    <row r="54" spans="1:7">
      <c r="A54" s="26">
        <v>60001</v>
      </c>
      <c r="B54" s="26" t="s">
        <v>202</v>
      </c>
      <c r="C54" s="26" t="s">
        <v>259</v>
      </c>
      <c r="D54" s="26">
        <v>144</v>
      </c>
      <c r="E54" s="26" t="s">
        <v>361</v>
      </c>
      <c r="F54" s="3">
        <v>1743352.5024000003</v>
      </c>
      <c r="G54" s="3">
        <f t="shared" si="0"/>
        <v>12106.614600000003</v>
      </c>
    </row>
    <row r="55" spans="1:7">
      <c r="A55" s="26">
        <v>60002</v>
      </c>
      <c r="B55" s="26" t="s">
        <v>202</v>
      </c>
      <c r="C55" s="26" t="s">
        <v>260</v>
      </c>
      <c r="D55" s="26">
        <v>144</v>
      </c>
      <c r="E55" s="26" t="s">
        <v>361</v>
      </c>
      <c r="F55" s="3">
        <v>1743352.5024000003</v>
      </c>
      <c r="G55" s="3">
        <f t="shared" si="0"/>
        <v>12106.614600000003</v>
      </c>
    </row>
    <row r="56" spans="1:7">
      <c r="A56" s="26">
        <v>60003</v>
      </c>
      <c r="B56" s="26" t="s">
        <v>202</v>
      </c>
      <c r="C56" s="26" t="s">
        <v>261</v>
      </c>
      <c r="D56" s="26">
        <v>144</v>
      </c>
      <c r="E56" s="26" t="s">
        <v>361</v>
      </c>
      <c r="F56" s="3">
        <v>1743352.5024000003</v>
      </c>
      <c r="G56" s="3">
        <f t="shared" si="0"/>
        <v>12106.614600000003</v>
      </c>
    </row>
    <row r="57" spans="1:7">
      <c r="A57" s="26">
        <v>60004</v>
      </c>
      <c r="B57" s="26" t="s">
        <v>202</v>
      </c>
      <c r="C57" s="26" t="s">
        <v>262</v>
      </c>
      <c r="D57" s="26">
        <v>144</v>
      </c>
      <c r="E57" s="26" t="s">
        <v>361</v>
      </c>
      <c r="F57" s="3">
        <v>1743352.5024000003</v>
      </c>
      <c r="G57" s="3">
        <f t="shared" si="0"/>
        <v>12106.614600000003</v>
      </c>
    </row>
    <row r="58" spans="1:7">
      <c r="A58" s="26">
        <v>60006</v>
      </c>
      <c r="B58" s="26" t="s">
        <v>202</v>
      </c>
      <c r="C58" s="26" t="s">
        <v>263</v>
      </c>
      <c r="D58" s="26">
        <v>144</v>
      </c>
      <c r="E58" s="26" t="s">
        <v>361</v>
      </c>
      <c r="F58" s="3">
        <v>1743352.5024000003</v>
      </c>
      <c r="G58" s="3">
        <f t="shared" si="0"/>
        <v>12106.614600000003</v>
      </c>
    </row>
    <row r="59" spans="1:7">
      <c r="A59" s="26">
        <v>60013</v>
      </c>
      <c r="B59" s="26" t="s">
        <v>202</v>
      </c>
      <c r="C59" s="26" t="s">
        <v>264</v>
      </c>
      <c r="D59" s="26">
        <v>144</v>
      </c>
      <c r="E59" s="26" t="s">
        <v>361</v>
      </c>
      <c r="F59" s="3">
        <v>1743352.5024000003</v>
      </c>
      <c r="G59" s="3">
        <f t="shared" si="0"/>
        <v>12106.614600000003</v>
      </c>
    </row>
    <row r="60" spans="1:7">
      <c r="A60" s="26">
        <v>60014</v>
      </c>
      <c r="B60" s="26" t="s">
        <v>202</v>
      </c>
      <c r="C60" s="26" t="s">
        <v>265</v>
      </c>
      <c r="D60" s="26">
        <v>144</v>
      </c>
      <c r="E60" s="26" t="s">
        <v>361</v>
      </c>
      <c r="F60" s="3">
        <v>1743352.5024000003</v>
      </c>
      <c r="G60" s="3">
        <f t="shared" si="0"/>
        <v>12106.614600000003</v>
      </c>
    </row>
    <row r="61" spans="1:7">
      <c r="A61" s="26">
        <v>60015</v>
      </c>
      <c r="B61" s="26" t="s">
        <v>202</v>
      </c>
      <c r="C61" s="26" t="s">
        <v>266</v>
      </c>
      <c r="D61" s="26">
        <v>144</v>
      </c>
      <c r="E61" s="26" t="s">
        <v>361</v>
      </c>
      <c r="F61" s="3">
        <v>1393475.5296000002</v>
      </c>
      <c r="G61" s="3">
        <f t="shared" si="0"/>
        <v>9676.9134000000013</v>
      </c>
    </row>
    <row r="62" spans="1:7">
      <c r="A62" s="26">
        <v>60016</v>
      </c>
      <c r="B62" s="26" t="s">
        <v>202</v>
      </c>
      <c r="C62" s="26" t="s">
        <v>267</v>
      </c>
      <c r="D62" s="26">
        <v>144</v>
      </c>
      <c r="E62" s="26" t="s">
        <v>361</v>
      </c>
      <c r="F62" s="3">
        <v>1393475.5296000002</v>
      </c>
      <c r="G62" s="3">
        <f t="shared" si="0"/>
        <v>9676.9134000000013</v>
      </c>
    </row>
    <row r="63" spans="1:7">
      <c r="A63" s="26">
        <v>60017</v>
      </c>
      <c r="B63" s="26" t="s">
        <v>202</v>
      </c>
      <c r="C63" s="26" t="s">
        <v>268</v>
      </c>
      <c r="D63" s="26">
        <v>144</v>
      </c>
      <c r="E63" s="26" t="s">
        <v>361</v>
      </c>
      <c r="F63" s="3">
        <v>1393475.5296000002</v>
      </c>
      <c r="G63" s="3">
        <f t="shared" si="0"/>
        <v>9676.9134000000013</v>
      </c>
    </row>
    <row r="64" spans="1:7">
      <c r="A64" s="26">
        <v>60062</v>
      </c>
      <c r="B64" s="26" t="s">
        <v>202</v>
      </c>
      <c r="C64" s="26" t="s">
        <v>269</v>
      </c>
      <c r="D64" s="26">
        <v>144</v>
      </c>
      <c r="E64" s="26" t="s">
        <v>361</v>
      </c>
      <c r="F64" s="3">
        <v>1743352.5024000003</v>
      </c>
      <c r="G64" s="3">
        <f t="shared" si="0"/>
        <v>12106.614600000003</v>
      </c>
    </row>
    <row r="65" spans="1:7">
      <c r="A65" s="26">
        <v>60076</v>
      </c>
      <c r="B65" s="26" t="s">
        <v>202</v>
      </c>
      <c r="C65" s="26" t="s">
        <v>270</v>
      </c>
      <c r="D65" s="26">
        <v>144</v>
      </c>
      <c r="E65" s="26" t="s">
        <v>361</v>
      </c>
      <c r="F65" s="3">
        <v>1743352.5024000003</v>
      </c>
      <c r="G65" s="3">
        <f t="shared" si="0"/>
        <v>12106.614600000003</v>
      </c>
    </row>
    <row r="66" spans="1:7">
      <c r="A66" s="26">
        <v>60080</v>
      </c>
      <c r="B66" s="26" t="s">
        <v>202</v>
      </c>
      <c r="C66" s="26" t="s">
        <v>271</v>
      </c>
      <c r="D66" s="26">
        <v>144</v>
      </c>
      <c r="E66" s="26" t="s">
        <v>361</v>
      </c>
      <c r="F66" s="3">
        <v>1743352.5024000003</v>
      </c>
      <c r="G66" s="3">
        <f t="shared" si="0"/>
        <v>12106.614600000003</v>
      </c>
    </row>
    <row r="67" spans="1:7">
      <c r="A67" s="26">
        <v>60088</v>
      </c>
      <c r="B67" s="26" t="s">
        <v>202</v>
      </c>
      <c r="C67" s="26" t="s">
        <v>272</v>
      </c>
      <c r="D67" s="26">
        <v>144</v>
      </c>
      <c r="E67" s="26" t="s">
        <v>361</v>
      </c>
      <c r="F67" s="3">
        <v>1743352.5024000003</v>
      </c>
      <c r="G67" s="3">
        <f t="shared" si="0"/>
        <v>12106.614600000003</v>
      </c>
    </row>
    <row r="68" spans="1:7">
      <c r="A68" s="26">
        <v>60095</v>
      </c>
      <c r="B68" s="26" t="s">
        <v>202</v>
      </c>
      <c r="C68" s="26" t="s">
        <v>273</v>
      </c>
      <c r="D68" s="26">
        <v>144</v>
      </c>
      <c r="E68" s="26" t="s">
        <v>361</v>
      </c>
      <c r="F68" s="3">
        <v>1743352.5024000003</v>
      </c>
      <c r="G68" s="3">
        <f t="shared" si="0"/>
        <v>12106.614600000003</v>
      </c>
    </row>
    <row r="69" spans="1:7">
      <c r="A69" s="26">
        <v>60097</v>
      </c>
      <c r="B69" s="26" t="s">
        <v>202</v>
      </c>
      <c r="C69" s="26" t="s">
        <v>274</v>
      </c>
      <c r="D69" s="26">
        <v>576</v>
      </c>
      <c r="E69" s="26" t="s">
        <v>356</v>
      </c>
      <c r="F69" s="3">
        <v>4222653.12</v>
      </c>
      <c r="G69" s="3">
        <f t="shared" ref="G69:G132" si="1">F69/D69</f>
        <v>7330.9949999999999</v>
      </c>
    </row>
    <row r="70" spans="1:7">
      <c r="A70" s="26">
        <v>60109</v>
      </c>
      <c r="B70" s="26" t="s">
        <v>202</v>
      </c>
      <c r="C70" s="26" t="s">
        <v>275</v>
      </c>
      <c r="D70" s="26">
        <v>576</v>
      </c>
      <c r="E70" s="26" t="s">
        <v>356</v>
      </c>
      <c r="F70" s="3">
        <v>4222653.12</v>
      </c>
      <c r="G70" s="3">
        <f t="shared" si="1"/>
        <v>7330.9949999999999</v>
      </c>
    </row>
    <row r="71" spans="1:7">
      <c r="A71" s="26">
        <v>60120</v>
      </c>
      <c r="B71" s="26" t="s">
        <v>202</v>
      </c>
      <c r="C71" s="26" t="s">
        <v>276</v>
      </c>
      <c r="D71" s="26">
        <v>144</v>
      </c>
      <c r="E71" s="26" t="s">
        <v>361</v>
      </c>
      <c r="F71" s="3">
        <v>1743374.8800000001</v>
      </c>
      <c r="G71" s="3">
        <f t="shared" si="1"/>
        <v>12106.77</v>
      </c>
    </row>
    <row r="72" spans="1:7">
      <c r="A72" s="26">
        <v>60121</v>
      </c>
      <c r="B72" s="26" t="s">
        <v>202</v>
      </c>
      <c r="C72" s="26" t="s">
        <v>277</v>
      </c>
      <c r="D72" s="26">
        <v>144</v>
      </c>
      <c r="E72" s="26" t="s">
        <v>361</v>
      </c>
      <c r="F72" s="3">
        <v>1743374.8800000001</v>
      </c>
      <c r="G72" s="3">
        <f t="shared" si="1"/>
        <v>12106.77</v>
      </c>
    </row>
    <row r="73" spans="1:7">
      <c r="A73" s="26">
        <v>60124</v>
      </c>
      <c r="B73" s="26" t="s">
        <v>202</v>
      </c>
      <c r="C73" s="26" t="s">
        <v>278</v>
      </c>
      <c r="D73" s="26">
        <v>144</v>
      </c>
      <c r="E73" s="26" t="s">
        <v>361</v>
      </c>
      <c r="F73" s="3">
        <v>2292265.4400000004</v>
      </c>
      <c r="G73" s="3">
        <f t="shared" si="1"/>
        <v>15918.510000000002</v>
      </c>
    </row>
    <row r="74" spans="1:7">
      <c r="A74" s="26">
        <v>60099</v>
      </c>
      <c r="B74" s="26" t="s">
        <v>203</v>
      </c>
      <c r="C74" s="26" t="s">
        <v>279</v>
      </c>
      <c r="D74" s="26">
        <v>144</v>
      </c>
      <c r="E74" s="26" t="s">
        <v>361</v>
      </c>
      <c r="F74" s="3">
        <v>5429125.4400000004</v>
      </c>
      <c r="G74" s="3">
        <f t="shared" si="1"/>
        <v>37702.26</v>
      </c>
    </row>
    <row r="75" spans="1:7">
      <c r="A75" s="26">
        <v>60100</v>
      </c>
      <c r="B75" s="26" t="s">
        <v>203</v>
      </c>
      <c r="C75" s="26" t="s">
        <v>280</v>
      </c>
      <c r="D75" s="26">
        <v>144</v>
      </c>
      <c r="E75" s="26" t="s">
        <v>361</v>
      </c>
      <c r="F75" s="3">
        <v>5429125.4400000004</v>
      </c>
      <c r="G75" s="3">
        <f t="shared" si="1"/>
        <v>37702.26</v>
      </c>
    </row>
    <row r="76" spans="1:7">
      <c r="A76" s="26">
        <v>60101</v>
      </c>
      <c r="B76" s="26" t="s">
        <v>203</v>
      </c>
      <c r="C76" s="26" t="s">
        <v>281</v>
      </c>
      <c r="D76" s="26">
        <v>144</v>
      </c>
      <c r="E76" s="26" t="s">
        <v>361</v>
      </c>
      <c r="F76" s="3">
        <v>5429125.4400000004</v>
      </c>
      <c r="G76" s="3">
        <f t="shared" si="1"/>
        <v>37702.26</v>
      </c>
    </row>
    <row r="77" spans="1:7">
      <c r="A77" s="26">
        <v>60102</v>
      </c>
      <c r="B77" s="26" t="s">
        <v>203</v>
      </c>
      <c r="C77" s="26" t="s">
        <v>282</v>
      </c>
      <c r="D77" s="26">
        <v>72</v>
      </c>
      <c r="E77" s="26" t="s">
        <v>361</v>
      </c>
      <c r="F77" s="3">
        <v>723883.39200000011</v>
      </c>
      <c r="G77" s="3">
        <f t="shared" si="1"/>
        <v>10053.936000000002</v>
      </c>
    </row>
    <row r="78" spans="1:7">
      <c r="A78" s="26">
        <v>60103</v>
      </c>
      <c r="B78" s="26" t="s">
        <v>203</v>
      </c>
      <c r="C78" s="26" t="s">
        <v>283</v>
      </c>
      <c r="D78" s="26">
        <v>72</v>
      </c>
      <c r="E78" s="26" t="s">
        <v>361</v>
      </c>
      <c r="F78" s="3">
        <v>969702.1272000001</v>
      </c>
      <c r="G78" s="3">
        <f t="shared" si="1"/>
        <v>13468.085100000002</v>
      </c>
    </row>
    <row r="79" spans="1:7">
      <c r="A79" s="26">
        <v>60111</v>
      </c>
      <c r="B79" s="26" t="s">
        <v>203</v>
      </c>
      <c r="C79" s="26" t="s">
        <v>284</v>
      </c>
      <c r="D79" s="26">
        <v>288</v>
      </c>
      <c r="E79" s="26" t="s">
        <v>356</v>
      </c>
      <c r="F79" s="3">
        <v>2111486.4000000004</v>
      </c>
      <c r="G79" s="3">
        <f t="shared" si="1"/>
        <v>7331.5500000000011</v>
      </c>
    </row>
    <row r="80" spans="1:7">
      <c r="A80" s="26">
        <v>60117</v>
      </c>
      <c r="B80" s="26" t="s">
        <v>203</v>
      </c>
      <c r="C80" s="26" t="s">
        <v>285</v>
      </c>
      <c r="D80" s="26">
        <v>144</v>
      </c>
      <c r="E80" s="26" t="s">
        <v>361</v>
      </c>
      <c r="F80" s="3">
        <v>3242352.8016000004</v>
      </c>
      <c r="G80" s="3">
        <f t="shared" si="1"/>
        <v>22516.338900000002</v>
      </c>
    </row>
    <row r="81" spans="1:7">
      <c r="A81" s="26">
        <v>60118</v>
      </c>
      <c r="B81" s="26" t="s">
        <v>203</v>
      </c>
      <c r="C81" s="26" t="s">
        <v>286</v>
      </c>
      <c r="D81" s="26">
        <v>144</v>
      </c>
      <c r="E81" s="26" t="s">
        <v>361</v>
      </c>
      <c r="F81" s="3">
        <v>3242352.8016000004</v>
      </c>
      <c r="G81" s="3">
        <f t="shared" si="1"/>
        <v>22516.338900000002</v>
      </c>
    </row>
    <row r="82" spans="1:7">
      <c r="A82" s="26">
        <v>60119</v>
      </c>
      <c r="B82" s="26" t="s">
        <v>203</v>
      </c>
      <c r="C82" s="26" t="s">
        <v>287</v>
      </c>
      <c r="D82" s="26">
        <v>144</v>
      </c>
      <c r="E82" s="26" t="s">
        <v>361</v>
      </c>
      <c r="F82" s="3">
        <v>3242352.8016000004</v>
      </c>
      <c r="G82" s="3">
        <f t="shared" si="1"/>
        <v>22516.338900000002</v>
      </c>
    </row>
    <row r="83" spans="1:7">
      <c r="A83" s="26">
        <v>60114</v>
      </c>
      <c r="B83" s="26" t="s">
        <v>204</v>
      </c>
      <c r="C83" s="26" t="s">
        <v>288</v>
      </c>
      <c r="D83" s="26">
        <v>100</v>
      </c>
      <c r="E83" s="26" t="s">
        <v>361</v>
      </c>
      <c r="F83" s="3">
        <v>1989897.0000000002</v>
      </c>
      <c r="G83" s="3">
        <f t="shared" si="1"/>
        <v>19898.97</v>
      </c>
    </row>
    <row r="84" spans="1:7">
      <c r="A84" s="26">
        <v>60030</v>
      </c>
      <c r="B84" s="26" t="s">
        <v>205</v>
      </c>
      <c r="C84" s="26" t="s">
        <v>289</v>
      </c>
      <c r="D84" s="26">
        <v>100</v>
      </c>
      <c r="E84" s="26" t="s">
        <v>361</v>
      </c>
      <c r="F84" s="3">
        <v>2817178.89</v>
      </c>
      <c r="G84" s="3">
        <f t="shared" si="1"/>
        <v>28171.7889</v>
      </c>
    </row>
    <row r="85" spans="1:7">
      <c r="A85" s="26">
        <v>60037</v>
      </c>
      <c r="B85" s="26" t="s">
        <v>205</v>
      </c>
      <c r="C85" s="26" t="s">
        <v>290</v>
      </c>
      <c r="D85" s="26">
        <v>100</v>
      </c>
      <c r="E85" s="26" t="s">
        <v>361</v>
      </c>
      <c r="F85" s="3">
        <v>2817178.89</v>
      </c>
      <c r="G85" s="3">
        <f t="shared" si="1"/>
        <v>28171.7889</v>
      </c>
    </row>
    <row r="86" spans="1:7">
      <c r="A86" s="26">
        <v>60042</v>
      </c>
      <c r="B86" s="26" t="s">
        <v>205</v>
      </c>
      <c r="C86" s="26" t="s">
        <v>291</v>
      </c>
      <c r="D86" s="26">
        <v>100</v>
      </c>
      <c r="E86" s="26" t="s">
        <v>361</v>
      </c>
      <c r="F86" s="3">
        <v>3141855.0000000005</v>
      </c>
      <c r="G86" s="3">
        <f t="shared" si="1"/>
        <v>31418.550000000003</v>
      </c>
    </row>
    <row r="87" spans="1:7">
      <c r="A87" s="26">
        <v>60043</v>
      </c>
      <c r="B87" s="26" t="s">
        <v>205</v>
      </c>
      <c r="C87" s="26" t="s">
        <v>292</v>
      </c>
      <c r="D87" s="26">
        <v>100</v>
      </c>
      <c r="E87" s="26" t="s">
        <v>361</v>
      </c>
      <c r="F87" s="3">
        <v>3141855.0000000005</v>
      </c>
      <c r="G87" s="3">
        <f t="shared" si="1"/>
        <v>31418.550000000003</v>
      </c>
    </row>
    <row r="88" spans="1:7">
      <c r="A88" s="26">
        <v>60046</v>
      </c>
      <c r="B88" s="26" t="s">
        <v>205</v>
      </c>
      <c r="C88" s="26" t="s">
        <v>293</v>
      </c>
      <c r="D88" s="26">
        <v>100</v>
      </c>
      <c r="E88" s="26" t="s">
        <v>361</v>
      </c>
      <c r="F88" s="3">
        <v>1487178.0000000002</v>
      </c>
      <c r="G88" s="3">
        <f t="shared" si="1"/>
        <v>14871.780000000002</v>
      </c>
    </row>
    <row r="89" spans="1:7">
      <c r="A89" s="26">
        <v>60047</v>
      </c>
      <c r="B89" s="26" t="s">
        <v>205</v>
      </c>
      <c r="C89" s="26" t="s">
        <v>294</v>
      </c>
      <c r="D89" s="26">
        <v>100</v>
      </c>
      <c r="E89" s="26" t="s">
        <v>361</v>
      </c>
      <c r="F89" s="3">
        <v>1487178.0000000002</v>
      </c>
      <c r="G89" s="3">
        <f t="shared" si="1"/>
        <v>14871.780000000002</v>
      </c>
    </row>
    <row r="90" spans="1:7">
      <c r="A90" s="26">
        <v>60048</v>
      </c>
      <c r="B90" s="26" t="s">
        <v>205</v>
      </c>
      <c r="C90" s="26" t="s">
        <v>295</v>
      </c>
      <c r="D90" s="26">
        <v>100</v>
      </c>
      <c r="E90" s="26" t="s">
        <v>364</v>
      </c>
      <c r="F90" s="3">
        <v>1885113.0000000002</v>
      </c>
      <c r="G90" s="3">
        <f t="shared" si="1"/>
        <v>18851.13</v>
      </c>
    </row>
    <row r="91" spans="1:7">
      <c r="A91" s="26">
        <v>60049</v>
      </c>
      <c r="B91" s="26" t="s">
        <v>205</v>
      </c>
      <c r="C91" s="26" t="s">
        <v>296</v>
      </c>
      <c r="D91" s="26">
        <v>100</v>
      </c>
      <c r="E91" s="26" t="s">
        <v>364</v>
      </c>
      <c r="F91" s="3">
        <v>3141855.0000000005</v>
      </c>
      <c r="G91" s="3">
        <f t="shared" si="1"/>
        <v>31418.550000000003</v>
      </c>
    </row>
    <row r="92" spans="1:7">
      <c r="A92" s="26">
        <v>60050</v>
      </c>
      <c r="B92" s="26" t="s">
        <v>205</v>
      </c>
      <c r="C92" s="26" t="s">
        <v>297</v>
      </c>
      <c r="D92" s="26">
        <v>100</v>
      </c>
      <c r="E92" s="26" t="s">
        <v>364</v>
      </c>
      <c r="F92" s="3">
        <v>1885113.0000000002</v>
      </c>
      <c r="G92" s="3">
        <f t="shared" si="1"/>
        <v>18851.13</v>
      </c>
    </row>
    <row r="93" spans="1:7">
      <c r="A93" s="26">
        <v>60051</v>
      </c>
      <c r="B93" s="26" t="s">
        <v>205</v>
      </c>
      <c r="C93" s="26" t="s">
        <v>298</v>
      </c>
      <c r="D93" s="26">
        <v>100</v>
      </c>
      <c r="E93" s="26" t="s">
        <v>364</v>
      </c>
      <c r="F93" s="3">
        <v>3141855.0000000005</v>
      </c>
      <c r="G93" s="3">
        <f t="shared" si="1"/>
        <v>31418.550000000003</v>
      </c>
    </row>
    <row r="94" spans="1:7">
      <c r="A94" s="26">
        <v>60060</v>
      </c>
      <c r="B94" s="26" t="s">
        <v>205</v>
      </c>
      <c r="C94" s="26" t="s">
        <v>299</v>
      </c>
      <c r="D94" s="26">
        <v>100</v>
      </c>
      <c r="E94" s="26" t="s">
        <v>364</v>
      </c>
      <c r="F94" s="3">
        <v>1885113.0000000002</v>
      </c>
      <c r="G94" s="3">
        <f t="shared" si="1"/>
        <v>18851.13</v>
      </c>
    </row>
    <row r="95" spans="1:7">
      <c r="A95" s="26">
        <v>60061</v>
      </c>
      <c r="B95" s="26" t="s">
        <v>205</v>
      </c>
      <c r="C95" s="26" t="s">
        <v>300</v>
      </c>
      <c r="D95" s="26">
        <v>100</v>
      </c>
      <c r="E95" s="26" t="s">
        <v>361</v>
      </c>
      <c r="F95" s="3">
        <v>2817178.89</v>
      </c>
      <c r="G95" s="3">
        <f t="shared" si="1"/>
        <v>28171.7889</v>
      </c>
    </row>
    <row r="96" spans="1:7">
      <c r="A96" s="26">
        <v>60063</v>
      </c>
      <c r="B96" s="26" t="s">
        <v>205</v>
      </c>
      <c r="C96" s="26" t="s">
        <v>301</v>
      </c>
      <c r="D96" s="26">
        <v>144</v>
      </c>
      <c r="E96" s="26" t="s">
        <v>356</v>
      </c>
      <c r="F96" s="3">
        <v>1788449.7600000002</v>
      </c>
      <c r="G96" s="3">
        <f t="shared" si="1"/>
        <v>12419.79</v>
      </c>
    </row>
    <row r="97" spans="1:7">
      <c r="A97" s="26">
        <v>60078</v>
      </c>
      <c r="B97" s="26" t="s">
        <v>205</v>
      </c>
      <c r="C97" s="26" t="s">
        <v>302</v>
      </c>
      <c r="D97" s="26">
        <v>100</v>
      </c>
      <c r="E97" s="26" t="s">
        <v>364</v>
      </c>
      <c r="F97" s="3">
        <v>3141855.0000000005</v>
      </c>
      <c r="G97" s="3">
        <f t="shared" si="1"/>
        <v>31418.550000000003</v>
      </c>
    </row>
    <row r="98" spans="1:7">
      <c r="A98" s="26">
        <v>60081</v>
      </c>
      <c r="B98" s="26" t="s">
        <v>205</v>
      </c>
      <c r="C98" s="26" t="s">
        <v>303</v>
      </c>
      <c r="D98" s="26">
        <v>100</v>
      </c>
      <c r="E98" s="26" t="s">
        <v>365</v>
      </c>
      <c r="F98" s="3">
        <v>1214895</v>
      </c>
      <c r="G98" s="3">
        <f t="shared" si="1"/>
        <v>12148.95</v>
      </c>
    </row>
    <row r="99" spans="1:7">
      <c r="A99" s="26">
        <v>60098</v>
      </c>
      <c r="B99" s="26" t="s">
        <v>205</v>
      </c>
      <c r="C99" s="26" t="s">
        <v>304</v>
      </c>
      <c r="D99" s="26">
        <v>100</v>
      </c>
      <c r="E99" s="26" t="s">
        <v>361</v>
      </c>
      <c r="F99" s="3">
        <v>1487178.0000000002</v>
      </c>
      <c r="G99" s="3">
        <f t="shared" si="1"/>
        <v>14871.780000000002</v>
      </c>
    </row>
    <row r="100" spans="1:7">
      <c r="A100" s="26">
        <v>60112</v>
      </c>
      <c r="B100" s="26" t="s">
        <v>205</v>
      </c>
      <c r="C100" s="26" t="s">
        <v>305</v>
      </c>
      <c r="D100" s="26">
        <v>100</v>
      </c>
      <c r="E100" s="26" t="s">
        <v>361</v>
      </c>
      <c r="F100" s="3">
        <v>2817178.89</v>
      </c>
      <c r="G100" s="3">
        <f t="shared" si="1"/>
        <v>28171.7889</v>
      </c>
    </row>
    <row r="101" spans="1:7">
      <c r="A101" s="26">
        <v>60113</v>
      </c>
      <c r="B101" s="26" t="s">
        <v>205</v>
      </c>
      <c r="C101" s="26" t="s">
        <v>306</v>
      </c>
      <c r="D101" s="26">
        <v>100</v>
      </c>
      <c r="E101" s="26" t="s">
        <v>361</v>
      </c>
      <c r="F101" s="3">
        <v>2817178.89</v>
      </c>
      <c r="G101" s="3">
        <f t="shared" si="1"/>
        <v>28171.7889</v>
      </c>
    </row>
    <row r="102" spans="1:7">
      <c r="A102" s="26">
        <v>60115</v>
      </c>
      <c r="B102" s="26" t="s">
        <v>205</v>
      </c>
      <c r="C102" s="26" t="s">
        <v>307</v>
      </c>
      <c r="D102" s="26">
        <v>100</v>
      </c>
      <c r="E102" s="26" t="s">
        <v>361</v>
      </c>
      <c r="F102" s="3">
        <v>1885113.0000000002</v>
      </c>
      <c r="G102" s="3">
        <f t="shared" si="1"/>
        <v>18851.13</v>
      </c>
    </row>
    <row r="103" spans="1:7">
      <c r="A103" s="26">
        <v>60116</v>
      </c>
      <c r="B103" s="26" t="s">
        <v>205</v>
      </c>
      <c r="C103" s="26" t="s">
        <v>308</v>
      </c>
      <c r="D103" s="26">
        <v>100</v>
      </c>
      <c r="E103" s="26" t="s">
        <v>361</v>
      </c>
      <c r="F103" s="3">
        <v>1885113.0000000002</v>
      </c>
      <c r="G103" s="3">
        <f t="shared" si="1"/>
        <v>18851.13</v>
      </c>
    </row>
    <row r="104" spans="1:7">
      <c r="A104" s="26">
        <v>60009</v>
      </c>
      <c r="B104" s="26" t="s">
        <v>206</v>
      </c>
      <c r="C104" s="26" t="s">
        <v>309</v>
      </c>
      <c r="D104" s="26">
        <v>48</v>
      </c>
      <c r="E104" s="26" t="s">
        <v>361</v>
      </c>
      <c r="F104" s="3">
        <v>965177.85600000015</v>
      </c>
      <c r="G104" s="3">
        <f t="shared" si="1"/>
        <v>20107.872000000003</v>
      </c>
    </row>
    <row r="105" spans="1:7">
      <c r="A105" s="26">
        <v>60010</v>
      </c>
      <c r="B105" s="26" t="s">
        <v>206</v>
      </c>
      <c r="C105" s="26" t="s">
        <v>310</v>
      </c>
      <c r="D105" s="26">
        <v>48</v>
      </c>
      <c r="E105" s="26" t="s">
        <v>361</v>
      </c>
      <c r="F105" s="3">
        <v>1095879.024</v>
      </c>
      <c r="G105" s="3">
        <f t="shared" si="1"/>
        <v>22830.812999999998</v>
      </c>
    </row>
    <row r="106" spans="1:7">
      <c r="A106" s="26">
        <v>60028</v>
      </c>
      <c r="B106" s="26" t="s">
        <v>206</v>
      </c>
      <c r="C106" s="26" t="s">
        <v>311</v>
      </c>
      <c r="D106" s="26">
        <v>24</v>
      </c>
      <c r="E106" s="26" t="s">
        <v>361</v>
      </c>
      <c r="F106" s="3">
        <v>741479.37840000016</v>
      </c>
      <c r="G106" s="3">
        <f t="shared" si="1"/>
        <v>30894.974100000007</v>
      </c>
    </row>
    <row r="107" spans="1:7">
      <c r="A107" s="26">
        <v>60029</v>
      </c>
      <c r="B107" s="26" t="s">
        <v>206</v>
      </c>
      <c r="C107" s="26" t="s">
        <v>312</v>
      </c>
      <c r="D107" s="26">
        <v>24</v>
      </c>
      <c r="E107" s="26" t="s">
        <v>361</v>
      </c>
      <c r="F107" s="3">
        <v>821910.86640000006</v>
      </c>
      <c r="G107" s="3">
        <f t="shared" si="1"/>
        <v>34246.286100000005</v>
      </c>
    </row>
    <row r="108" spans="1:7">
      <c r="A108" s="26">
        <v>60035</v>
      </c>
      <c r="B108" s="26" t="s">
        <v>206</v>
      </c>
      <c r="C108" s="26" t="s">
        <v>313</v>
      </c>
      <c r="D108" s="26">
        <v>48</v>
      </c>
      <c r="E108" s="26" t="s">
        <v>361</v>
      </c>
      <c r="F108" s="3">
        <v>965177.85600000015</v>
      </c>
      <c r="G108" s="3">
        <f t="shared" si="1"/>
        <v>20107.872000000003</v>
      </c>
    </row>
    <row r="109" spans="1:7">
      <c r="A109" s="26">
        <v>60038</v>
      </c>
      <c r="B109" s="26" t="s">
        <v>206</v>
      </c>
      <c r="C109" s="26" t="s">
        <v>314</v>
      </c>
      <c r="D109" s="26">
        <v>12</v>
      </c>
      <c r="E109" s="26" t="s">
        <v>361</v>
      </c>
      <c r="F109" s="3">
        <v>684925.18920000002</v>
      </c>
      <c r="G109" s="3">
        <f t="shared" si="1"/>
        <v>57077.099099999999</v>
      </c>
    </row>
    <row r="110" spans="1:7">
      <c r="A110" s="26">
        <v>60039</v>
      </c>
      <c r="B110" s="26" t="s">
        <v>206</v>
      </c>
      <c r="C110" s="26" t="s">
        <v>315</v>
      </c>
      <c r="D110" s="26">
        <v>12</v>
      </c>
      <c r="E110" s="26" t="s">
        <v>361</v>
      </c>
      <c r="F110" s="3">
        <v>730167.90120000008</v>
      </c>
      <c r="G110" s="3">
        <f t="shared" si="1"/>
        <v>60847.325100000009</v>
      </c>
    </row>
    <row r="111" spans="1:7">
      <c r="A111" s="26">
        <v>60040</v>
      </c>
      <c r="B111" s="26" t="s">
        <v>206</v>
      </c>
      <c r="C111" s="26" t="s">
        <v>316</v>
      </c>
      <c r="D111" s="26">
        <v>24</v>
      </c>
      <c r="E111" s="26" t="s">
        <v>361</v>
      </c>
      <c r="F111" s="3">
        <v>741479.37840000016</v>
      </c>
      <c r="G111" s="3">
        <f t="shared" si="1"/>
        <v>30894.974100000007</v>
      </c>
    </row>
    <row r="112" spans="1:7">
      <c r="A112" s="26">
        <v>60052</v>
      </c>
      <c r="B112" s="26" t="s">
        <v>206</v>
      </c>
      <c r="C112" s="26" t="s">
        <v>317</v>
      </c>
      <c r="D112" s="26">
        <v>24</v>
      </c>
      <c r="E112" s="26" t="s">
        <v>361</v>
      </c>
      <c r="F112" s="3">
        <v>331774.56000000006</v>
      </c>
      <c r="G112" s="3">
        <f t="shared" si="1"/>
        <v>13823.940000000002</v>
      </c>
    </row>
    <row r="113" spans="1:7">
      <c r="A113" s="26">
        <v>60057</v>
      </c>
      <c r="B113" s="26" t="s">
        <v>206</v>
      </c>
      <c r="C113" s="26" t="s">
        <v>318</v>
      </c>
      <c r="D113" s="26">
        <v>24</v>
      </c>
      <c r="E113" s="26" t="s">
        <v>361</v>
      </c>
      <c r="F113" s="3">
        <v>331774.56000000006</v>
      </c>
      <c r="G113" s="3">
        <f t="shared" si="1"/>
        <v>13823.940000000002</v>
      </c>
    </row>
    <row r="114" spans="1:7">
      <c r="A114" s="26">
        <v>60065</v>
      </c>
      <c r="B114" s="26" t="s">
        <v>206</v>
      </c>
      <c r="C114" s="26" t="s">
        <v>319</v>
      </c>
      <c r="D114" s="26">
        <v>24</v>
      </c>
      <c r="E114" s="26" t="s">
        <v>361</v>
      </c>
      <c r="F114" s="3">
        <v>331774.56000000006</v>
      </c>
      <c r="G114" s="3">
        <f t="shared" si="1"/>
        <v>13823.940000000002</v>
      </c>
    </row>
    <row r="115" spans="1:7">
      <c r="A115" s="26">
        <v>60067</v>
      </c>
      <c r="B115" s="26" t="s">
        <v>206</v>
      </c>
      <c r="C115" s="26" t="s">
        <v>320</v>
      </c>
      <c r="D115" s="26">
        <v>48</v>
      </c>
      <c r="E115" s="26" t="s">
        <v>361</v>
      </c>
      <c r="F115" s="3">
        <v>1095879.024</v>
      </c>
      <c r="G115" s="3">
        <f t="shared" si="1"/>
        <v>22830.812999999998</v>
      </c>
    </row>
    <row r="116" spans="1:7">
      <c r="A116" s="26">
        <v>60070</v>
      </c>
      <c r="B116" s="26" t="s">
        <v>206</v>
      </c>
      <c r="C116" s="26" t="s">
        <v>321</v>
      </c>
      <c r="D116" s="27">
        <v>24</v>
      </c>
      <c r="E116" s="28" t="s">
        <v>361</v>
      </c>
      <c r="F116" s="3">
        <v>578114.64</v>
      </c>
      <c r="G116" s="3">
        <f t="shared" si="1"/>
        <v>24088.11</v>
      </c>
    </row>
    <row r="117" spans="1:7">
      <c r="A117" s="26">
        <v>60071</v>
      </c>
      <c r="B117" s="26" t="s">
        <v>206</v>
      </c>
      <c r="C117" s="26" t="s">
        <v>322</v>
      </c>
      <c r="D117" s="26">
        <v>24</v>
      </c>
      <c r="E117" s="26" t="s">
        <v>361</v>
      </c>
      <c r="F117" s="3">
        <v>482588.92800000007</v>
      </c>
      <c r="G117" s="3">
        <f t="shared" si="1"/>
        <v>20107.872000000003</v>
      </c>
    </row>
    <row r="118" spans="1:7">
      <c r="A118" s="26">
        <v>60072</v>
      </c>
      <c r="B118" s="26" t="s">
        <v>206</v>
      </c>
      <c r="C118" s="26" t="s">
        <v>323</v>
      </c>
      <c r="D118" s="26">
        <v>48</v>
      </c>
      <c r="E118" s="26" t="s">
        <v>361</v>
      </c>
      <c r="F118" s="3">
        <v>965177.85600000015</v>
      </c>
      <c r="G118" s="3">
        <f t="shared" si="1"/>
        <v>20107.872000000003</v>
      </c>
    </row>
    <row r="119" spans="1:7">
      <c r="A119" s="26">
        <v>60075</v>
      </c>
      <c r="B119" s="26" t="s">
        <v>206</v>
      </c>
      <c r="C119" s="26" t="s">
        <v>324</v>
      </c>
      <c r="D119" s="26">
        <v>60</v>
      </c>
      <c r="E119" s="26" t="s">
        <v>359</v>
      </c>
      <c r="F119" s="3">
        <v>452413.80000000005</v>
      </c>
      <c r="G119" s="3">
        <f t="shared" si="1"/>
        <v>7540.2300000000005</v>
      </c>
    </row>
    <row r="120" spans="1:7">
      <c r="A120" s="26">
        <v>60083</v>
      </c>
      <c r="B120" s="26" t="s">
        <v>206</v>
      </c>
      <c r="C120" s="26" t="s">
        <v>325</v>
      </c>
      <c r="D120" s="26">
        <v>48</v>
      </c>
      <c r="E120" s="26" t="s">
        <v>363</v>
      </c>
      <c r="F120" s="3">
        <v>618313.8672000001</v>
      </c>
      <c r="G120" s="3">
        <f t="shared" si="1"/>
        <v>12881.538900000001</v>
      </c>
    </row>
    <row r="121" spans="1:7">
      <c r="A121" s="26">
        <v>60084</v>
      </c>
      <c r="B121" s="26" t="s">
        <v>206</v>
      </c>
      <c r="C121" s="26" t="s">
        <v>326</v>
      </c>
      <c r="D121" s="26">
        <v>48</v>
      </c>
      <c r="E121" s="26" t="s">
        <v>361</v>
      </c>
      <c r="F121" s="3">
        <v>1095879.024</v>
      </c>
      <c r="G121" s="3">
        <f t="shared" si="1"/>
        <v>22830.812999999998</v>
      </c>
    </row>
    <row r="122" spans="1:7">
      <c r="A122" s="26">
        <v>60091</v>
      </c>
      <c r="B122" s="26" t="s">
        <v>206</v>
      </c>
      <c r="C122" s="26" t="s">
        <v>327</v>
      </c>
      <c r="D122" s="26">
        <v>24</v>
      </c>
      <c r="E122" s="26" t="s">
        <v>361</v>
      </c>
      <c r="F122" s="3">
        <v>821910.86640000006</v>
      </c>
      <c r="G122" s="3">
        <f t="shared" si="1"/>
        <v>34246.286100000005</v>
      </c>
    </row>
    <row r="123" spans="1:7">
      <c r="A123" s="26">
        <v>60092</v>
      </c>
      <c r="B123" s="26" t="s">
        <v>206</v>
      </c>
      <c r="C123" s="26" t="s">
        <v>328</v>
      </c>
      <c r="D123" s="26">
        <v>12</v>
      </c>
      <c r="E123" s="26" t="s">
        <v>361</v>
      </c>
      <c r="F123" s="3">
        <v>684925.18920000002</v>
      </c>
      <c r="G123" s="3">
        <f t="shared" si="1"/>
        <v>57077.099099999999</v>
      </c>
    </row>
    <row r="124" spans="1:7">
      <c r="A124" s="26">
        <v>60093</v>
      </c>
      <c r="B124" s="26" t="s">
        <v>206</v>
      </c>
      <c r="C124" s="26" t="s">
        <v>329</v>
      </c>
      <c r="D124" s="26">
        <v>24</v>
      </c>
      <c r="E124" s="26" t="s">
        <v>361</v>
      </c>
      <c r="F124" s="3">
        <v>821897.01360000006</v>
      </c>
      <c r="G124" s="3">
        <f t="shared" si="1"/>
        <v>34245.708900000005</v>
      </c>
    </row>
    <row r="125" spans="1:7">
      <c r="A125" s="26">
        <v>60094</v>
      </c>
      <c r="B125" s="26" t="s">
        <v>206</v>
      </c>
      <c r="C125" s="26" t="s">
        <v>330</v>
      </c>
      <c r="D125" s="26">
        <v>12</v>
      </c>
      <c r="E125" s="26" t="s">
        <v>361</v>
      </c>
      <c r="F125" s="3">
        <v>730167.90120000008</v>
      </c>
      <c r="G125" s="3">
        <f t="shared" si="1"/>
        <v>60847.325100000009</v>
      </c>
    </row>
    <row r="126" spans="1:7">
      <c r="A126" s="26">
        <v>60096</v>
      </c>
      <c r="B126" s="26" t="s">
        <v>206</v>
      </c>
      <c r="C126" s="26" t="s">
        <v>331</v>
      </c>
      <c r="D126" s="26">
        <v>12</v>
      </c>
      <c r="E126" s="26" t="s">
        <v>361</v>
      </c>
      <c r="F126" s="3">
        <v>1103415.48</v>
      </c>
      <c r="G126" s="3">
        <f t="shared" si="1"/>
        <v>91951.29</v>
      </c>
    </row>
    <row r="127" spans="1:7">
      <c r="A127" s="26">
        <v>60104</v>
      </c>
      <c r="B127" s="26" t="s">
        <v>206</v>
      </c>
      <c r="C127" s="26" t="s">
        <v>332</v>
      </c>
      <c r="D127" s="26">
        <v>12</v>
      </c>
      <c r="E127" s="26" t="s">
        <v>366</v>
      </c>
      <c r="F127" s="3">
        <v>547944.84000000008</v>
      </c>
      <c r="G127" s="3">
        <f t="shared" si="1"/>
        <v>45662.070000000007</v>
      </c>
    </row>
    <row r="128" spans="1:7">
      <c r="A128" s="26">
        <v>60105</v>
      </c>
      <c r="B128" s="26" t="s">
        <v>206</v>
      </c>
      <c r="C128" s="26" t="s">
        <v>333</v>
      </c>
      <c r="D128" s="26">
        <v>144</v>
      </c>
      <c r="E128" s="26" t="s">
        <v>367</v>
      </c>
      <c r="F128" s="3">
        <v>1161239.1984000001</v>
      </c>
      <c r="G128" s="3">
        <f t="shared" si="1"/>
        <v>8064.1611000000012</v>
      </c>
    </row>
    <row r="129" spans="1:7">
      <c r="A129" s="26">
        <v>60110</v>
      </c>
      <c r="B129" s="26" t="s">
        <v>206</v>
      </c>
      <c r="C129" s="26" t="s">
        <v>334</v>
      </c>
      <c r="D129" s="26">
        <v>12</v>
      </c>
      <c r="E129" s="26" t="s">
        <v>361</v>
      </c>
      <c r="F129" s="3">
        <v>634658.17320000008</v>
      </c>
      <c r="G129" s="3">
        <f t="shared" si="1"/>
        <v>52888.181100000009</v>
      </c>
    </row>
    <row r="130" spans="1:7">
      <c r="A130" s="26">
        <v>60054</v>
      </c>
      <c r="B130" s="26" t="s">
        <v>207</v>
      </c>
      <c r="C130" s="26" t="s">
        <v>335</v>
      </c>
      <c r="D130" s="26">
        <v>144</v>
      </c>
      <c r="E130" s="26" t="s">
        <v>355</v>
      </c>
      <c r="F130" s="3">
        <v>2488349.16</v>
      </c>
      <c r="G130" s="3">
        <f t="shared" si="1"/>
        <v>17280.202499999999</v>
      </c>
    </row>
    <row r="131" spans="1:7">
      <c r="A131" s="26">
        <v>60055</v>
      </c>
      <c r="B131" s="26" t="s">
        <v>207</v>
      </c>
      <c r="C131" s="26" t="s">
        <v>336</v>
      </c>
      <c r="D131" s="26">
        <v>48</v>
      </c>
      <c r="E131" s="26" t="s">
        <v>361</v>
      </c>
      <c r="F131" s="3">
        <v>2835188.64</v>
      </c>
      <c r="G131" s="3">
        <f t="shared" si="1"/>
        <v>59066.43</v>
      </c>
    </row>
    <row r="132" spans="1:7">
      <c r="A132" s="26">
        <v>60056</v>
      </c>
      <c r="B132" s="26" t="s">
        <v>207</v>
      </c>
      <c r="C132" s="26" t="s">
        <v>337</v>
      </c>
      <c r="D132" s="26">
        <v>24</v>
      </c>
      <c r="E132" s="26" t="s">
        <v>361</v>
      </c>
      <c r="F132" s="3">
        <v>2503440.7200000002</v>
      </c>
      <c r="G132" s="3">
        <f t="shared" si="1"/>
        <v>104310.03000000001</v>
      </c>
    </row>
    <row r="133" spans="1:7">
      <c r="A133" s="26">
        <v>60068</v>
      </c>
      <c r="B133" s="26" t="s">
        <v>207</v>
      </c>
      <c r="C133" s="26" t="s">
        <v>338</v>
      </c>
      <c r="D133" s="26">
        <v>144</v>
      </c>
      <c r="E133" s="26" t="s">
        <v>367</v>
      </c>
      <c r="F133" s="3">
        <v>2473268.2560000005</v>
      </c>
      <c r="G133" s="3">
        <f t="shared" ref="G133:G149" si="2">F133/D133</f>
        <v>17175.474000000002</v>
      </c>
    </row>
    <row r="134" spans="1:7">
      <c r="A134" s="26">
        <v>60082</v>
      </c>
      <c r="B134" s="26" t="s">
        <v>207</v>
      </c>
      <c r="C134" s="26" t="s">
        <v>339</v>
      </c>
      <c r="D134" s="26">
        <v>144</v>
      </c>
      <c r="E134" s="26" t="s">
        <v>367</v>
      </c>
      <c r="F134" s="3">
        <v>2488349.16</v>
      </c>
      <c r="G134" s="3">
        <f t="shared" si="2"/>
        <v>17280.202499999999</v>
      </c>
    </row>
    <row r="135" spans="1:7">
      <c r="A135" s="26">
        <v>60086</v>
      </c>
      <c r="B135" s="26" t="s">
        <v>207</v>
      </c>
      <c r="C135" s="26" t="s">
        <v>340</v>
      </c>
      <c r="D135" s="26">
        <v>144</v>
      </c>
      <c r="E135" s="26" t="s">
        <v>367</v>
      </c>
      <c r="F135" s="3">
        <v>904854.24000000011</v>
      </c>
      <c r="G135" s="3">
        <f t="shared" si="2"/>
        <v>6283.7100000000009</v>
      </c>
    </row>
    <row r="136" spans="1:7">
      <c r="A136" s="26">
        <v>60090</v>
      </c>
      <c r="B136" s="26" t="s">
        <v>207</v>
      </c>
      <c r="C136" s="26" t="s">
        <v>341</v>
      </c>
      <c r="D136" s="26">
        <v>72</v>
      </c>
      <c r="E136" s="26" t="s">
        <v>361</v>
      </c>
      <c r="F136" s="3">
        <v>1131067.8</v>
      </c>
      <c r="G136" s="3">
        <f t="shared" si="2"/>
        <v>15709.275000000001</v>
      </c>
    </row>
    <row r="137" spans="1:7">
      <c r="A137" s="26">
        <v>60020</v>
      </c>
      <c r="B137" s="26" t="s">
        <v>208</v>
      </c>
      <c r="C137" s="26" t="s">
        <v>342</v>
      </c>
      <c r="D137" s="26">
        <v>240</v>
      </c>
      <c r="E137" s="26" t="s">
        <v>361</v>
      </c>
      <c r="F137" s="3">
        <v>3116720.16</v>
      </c>
      <c r="G137" s="3">
        <f t="shared" si="2"/>
        <v>12986.334000000001</v>
      </c>
    </row>
    <row r="138" spans="1:7">
      <c r="A138" s="26">
        <v>60021</v>
      </c>
      <c r="B138" s="26" t="s">
        <v>208</v>
      </c>
      <c r="C138" s="26" t="s">
        <v>343</v>
      </c>
      <c r="D138" s="26">
        <v>120</v>
      </c>
      <c r="E138" s="26" t="s">
        <v>361</v>
      </c>
      <c r="F138" s="3">
        <v>2588888.52</v>
      </c>
      <c r="G138" s="3">
        <f t="shared" si="2"/>
        <v>21574.071</v>
      </c>
    </row>
    <row r="139" spans="1:7">
      <c r="A139" s="26">
        <v>60022</v>
      </c>
      <c r="B139" s="26" t="s">
        <v>208</v>
      </c>
      <c r="C139" s="26" t="s">
        <v>344</v>
      </c>
      <c r="D139" s="26">
        <v>288</v>
      </c>
      <c r="E139" s="26" t="s">
        <v>365</v>
      </c>
      <c r="F139" s="3">
        <v>2262135.6</v>
      </c>
      <c r="G139" s="3">
        <f t="shared" si="2"/>
        <v>7854.6375000000007</v>
      </c>
    </row>
    <row r="140" spans="1:7">
      <c r="A140" s="26">
        <v>60023</v>
      </c>
      <c r="B140" s="26" t="s">
        <v>208</v>
      </c>
      <c r="C140" s="26" t="s">
        <v>345</v>
      </c>
      <c r="D140" s="26">
        <v>144</v>
      </c>
      <c r="E140" s="26" t="s">
        <v>365</v>
      </c>
      <c r="F140" s="3">
        <v>2081164.7520000001</v>
      </c>
      <c r="G140" s="3">
        <f t="shared" si="2"/>
        <v>14452.533000000001</v>
      </c>
    </row>
    <row r="141" spans="1:7">
      <c r="A141" s="26">
        <v>60025</v>
      </c>
      <c r="B141" s="26" t="s">
        <v>208</v>
      </c>
      <c r="C141" s="26" t="s">
        <v>346</v>
      </c>
      <c r="D141" s="26">
        <v>240</v>
      </c>
      <c r="E141" s="26" t="s">
        <v>361</v>
      </c>
      <c r="F141" s="3">
        <v>3317798.8800000004</v>
      </c>
      <c r="G141" s="3">
        <f t="shared" si="2"/>
        <v>13824.162000000002</v>
      </c>
    </row>
    <row r="142" spans="1:7">
      <c r="A142" s="26">
        <v>60027</v>
      </c>
      <c r="B142" s="26" t="s">
        <v>208</v>
      </c>
      <c r="C142" s="26" t="s">
        <v>347</v>
      </c>
      <c r="D142" s="26">
        <v>120</v>
      </c>
      <c r="E142" s="26" t="s">
        <v>361</v>
      </c>
      <c r="F142" s="3">
        <v>3016180.8000000003</v>
      </c>
      <c r="G142" s="3">
        <f t="shared" si="2"/>
        <v>25134.840000000004</v>
      </c>
    </row>
    <row r="143" spans="1:7">
      <c r="A143" s="26">
        <v>60031</v>
      </c>
      <c r="B143" s="26" t="s">
        <v>208</v>
      </c>
      <c r="C143" s="26" t="s">
        <v>348</v>
      </c>
      <c r="D143" s="26">
        <v>240</v>
      </c>
      <c r="E143" s="26" t="s">
        <v>361</v>
      </c>
      <c r="F143" s="3">
        <v>4021574.4000000004</v>
      </c>
      <c r="G143" s="3">
        <f t="shared" si="2"/>
        <v>16756.560000000001</v>
      </c>
    </row>
    <row r="144" spans="1:7">
      <c r="A144" s="26">
        <v>60053</v>
      </c>
      <c r="B144" s="26" t="s">
        <v>208</v>
      </c>
      <c r="C144" s="26" t="s">
        <v>349</v>
      </c>
      <c r="D144" s="26">
        <v>72</v>
      </c>
      <c r="E144" s="26" t="s">
        <v>361</v>
      </c>
      <c r="F144" s="3">
        <v>814368.81599999999</v>
      </c>
      <c r="G144" s="3">
        <f t="shared" si="2"/>
        <v>11310.678</v>
      </c>
    </row>
    <row r="145" spans="1:7">
      <c r="A145" s="26">
        <v>60079</v>
      </c>
      <c r="B145" s="26" t="s">
        <v>208</v>
      </c>
      <c r="C145" s="26" t="s">
        <v>350</v>
      </c>
      <c r="D145" s="26">
        <v>60</v>
      </c>
      <c r="E145" s="26" t="s">
        <v>361</v>
      </c>
      <c r="F145" s="3">
        <v>1508090.4000000001</v>
      </c>
      <c r="G145" s="3">
        <f t="shared" si="2"/>
        <v>25134.840000000004</v>
      </c>
    </row>
    <row r="146" spans="1:7">
      <c r="A146" s="26">
        <v>60089</v>
      </c>
      <c r="B146" s="26" t="s">
        <v>208</v>
      </c>
      <c r="C146" s="26" t="s">
        <v>351</v>
      </c>
      <c r="D146" s="26">
        <v>144</v>
      </c>
      <c r="E146" s="26" t="s">
        <v>361</v>
      </c>
      <c r="F146" s="3">
        <v>4524271.2</v>
      </c>
      <c r="G146" s="3">
        <f t="shared" si="2"/>
        <v>31418.550000000003</v>
      </c>
    </row>
    <row r="147" spans="1:7">
      <c r="A147" s="26">
        <v>60106</v>
      </c>
      <c r="B147" s="26" t="s">
        <v>206</v>
      </c>
      <c r="C147" s="26" t="s">
        <v>352</v>
      </c>
      <c r="D147" s="26">
        <v>24</v>
      </c>
      <c r="E147" s="26" t="s">
        <v>363</v>
      </c>
      <c r="F147" s="3">
        <v>223700.07600000006</v>
      </c>
      <c r="G147" s="3">
        <f t="shared" si="2"/>
        <v>9320.8365000000031</v>
      </c>
    </row>
    <row r="148" spans="1:7">
      <c r="A148" s="26">
        <v>60107</v>
      </c>
      <c r="B148" s="26" t="s">
        <v>206</v>
      </c>
      <c r="C148" s="26" t="s">
        <v>353</v>
      </c>
      <c r="D148" s="26">
        <v>24</v>
      </c>
      <c r="E148" s="26" t="s">
        <v>363</v>
      </c>
      <c r="F148" s="3">
        <v>223700.07600000006</v>
      </c>
      <c r="G148" s="3">
        <f t="shared" si="2"/>
        <v>9320.8365000000031</v>
      </c>
    </row>
    <row r="149" spans="1:7">
      <c r="A149" s="26">
        <v>60108</v>
      </c>
      <c r="B149" s="26" t="s">
        <v>206</v>
      </c>
      <c r="C149" s="26" t="s">
        <v>354</v>
      </c>
      <c r="D149" s="26">
        <v>24</v>
      </c>
      <c r="E149" s="26" t="s">
        <v>363</v>
      </c>
      <c r="F149" s="3">
        <v>223700.07600000006</v>
      </c>
      <c r="G149" s="3">
        <f t="shared" si="2"/>
        <v>9320.8365000000031</v>
      </c>
    </row>
  </sheetData>
  <autoFilter ref="A3:G3" xr:uid="{F9A51814-B209-4CEF-AF20-B062D63632E1}"/>
  <conditionalFormatting sqref="A4:A149">
    <cfRule type="duplicateValues" dxfId="11" priority="534"/>
    <cfRule type="duplicateValues" dxfId="10" priority="53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/>
  <cols>
    <col min="2" max="2" width="64.85546875" bestFit="1" customWidth="1"/>
  </cols>
  <sheetData>
    <row r="3" spans="1:5">
      <c r="A3">
        <v>1</v>
      </c>
      <c r="B3" t="s">
        <v>9</v>
      </c>
      <c r="D3">
        <v>1</v>
      </c>
      <c r="E3" t="s">
        <v>159</v>
      </c>
    </row>
    <row r="4" spans="1:5">
      <c r="A4">
        <v>2</v>
      </c>
      <c r="B4" t="s">
        <v>10</v>
      </c>
      <c r="D4">
        <v>2</v>
      </c>
      <c r="E4" t="s">
        <v>160</v>
      </c>
    </row>
    <row r="5" spans="1:5">
      <c r="A5">
        <v>3</v>
      </c>
      <c r="B5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E195"/>
  <sheetViews>
    <sheetView topLeftCell="A78" workbookViewId="0">
      <selection activeCell="C92" sqref="C92"/>
    </sheetView>
  </sheetViews>
  <sheetFormatPr defaultRowHeight="15"/>
  <cols>
    <col min="1" max="1" width="20.28515625" bestFit="1" customWidth="1"/>
    <col min="2" max="2" width="11.5703125" bestFit="1" customWidth="1"/>
    <col min="3" max="3" width="21.28515625" bestFit="1" customWidth="1"/>
    <col min="4" max="4" width="9.85546875" bestFit="1" customWidth="1"/>
    <col min="5" max="5" width="26.140625" bestFit="1" customWidth="1"/>
    <col min="6" max="6" width="20.710937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5">
      <c r="A3" s="16" t="s">
        <v>29</v>
      </c>
      <c r="B3" s="16" t="s">
        <v>12</v>
      </c>
      <c r="C3" s="16" t="s">
        <v>0</v>
      </c>
      <c r="D3" s="16" t="s">
        <v>4</v>
      </c>
      <c r="E3" t="s">
        <v>149</v>
      </c>
    </row>
    <row r="4" spans="1:5">
      <c r="A4" t="s">
        <v>789</v>
      </c>
      <c r="B4" t="s">
        <v>735</v>
      </c>
      <c r="C4" t="s">
        <v>384</v>
      </c>
      <c r="D4">
        <v>6</v>
      </c>
      <c r="E4">
        <v>1</v>
      </c>
    </row>
    <row r="5" spans="1:5">
      <c r="A5" t="s">
        <v>790</v>
      </c>
      <c r="B5" t="s">
        <v>671</v>
      </c>
      <c r="C5" t="s">
        <v>407</v>
      </c>
      <c r="D5">
        <v>24</v>
      </c>
      <c r="E5">
        <v>1</v>
      </c>
    </row>
    <row r="6" spans="1:5">
      <c r="A6" t="s">
        <v>791</v>
      </c>
      <c r="B6" t="s">
        <v>671</v>
      </c>
      <c r="C6" t="s">
        <v>409</v>
      </c>
      <c r="D6">
        <v>24</v>
      </c>
      <c r="E6">
        <v>1</v>
      </c>
    </row>
    <row r="7" spans="1:5">
      <c r="A7" t="s">
        <v>792</v>
      </c>
      <c r="B7" t="s">
        <v>730</v>
      </c>
      <c r="C7" t="s">
        <v>408</v>
      </c>
      <c r="D7">
        <v>24</v>
      </c>
      <c r="E7">
        <v>1</v>
      </c>
    </row>
    <row r="8" spans="1:5">
      <c r="A8" t="s">
        <v>793</v>
      </c>
      <c r="B8" t="s">
        <v>730</v>
      </c>
      <c r="C8" t="s">
        <v>410</v>
      </c>
      <c r="D8">
        <v>24</v>
      </c>
      <c r="E8">
        <v>1</v>
      </c>
    </row>
    <row r="9" spans="1:5">
      <c r="A9" t="s">
        <v>794</v>
      </c>
      <c r="B9" t="s">
        <v>187</v>
      </c>
      <c r="C9" t="s">
        <v>386</v>
      </c>
      <c r="D9">
        <v>72</v>
      </c>
      <c r="E9">
        <v>1</v>
      </c>
    </row>
    <row r="10" spans="1:5">
      <c r="A10" t="s">
        <v>795</v>
      </c>
      <c r="B10" t="s">
        <v>187</v>
      </c>
      <c r="C10" t="s">
        <v>385</v>
      </c>
      <c r="D10">
        <v>72</v>
      </c>
      <c r="E10">
        <v>1</v>
      </c>
    </row>
    <row r="11" spans="1:5">
      <c r="A11" t="s">
        <v>796</v>
      </c>
      <c r="B11" t="s">
        <v>187</v>
      </c>
      <c r="C11" t="s">
        <v>503</v>
      </c>
      <c r="D11">
        <v>72</v>
      </c>
      <c r="E11">
        <v>1</v>
      </c>
    </row>
    <row r="12" spans="1:5">
      <c r="A12" t="s">
        <v>797</v>
      </c>
      <c r="B12" t="s">
        <v>730</v>
      </c>
      <c r="C12" t="s">
        <v>415</v>
      </c>
      <c r="D12">
        <v>24</v>
      </c>
      <c r="E12">
        <v>1</v>
      </c>
    </row>
    <row r="13" spans="1:5">
      <c r="A13" t="s">
        <v>798</v>
      </c>
      <c r="B13" t="s">
        <v>671</v>
      </c>
      <c r="C13" t="s">
        <v>413</v>
      </c>
      <c r="D13">
        <v>24</v>
      </c>
      <c r="E13">
        <v>1</v>
      </c>
    </row>
    <row r="14" spans="1:5">
      <c r="A14" t="s">
        <v>799</v>
      </c>
      <c r="B14" t="s">
        <v>671</v>
      </c>
      <c r="C14" t="s">
        <v>411</v>
      </c>
      <c r="D14">
        <v>24</v>
      </c>
      <c r="E14">
        <v>1</v>
      </c>
    </row>
    <row r="15" spans="1:5">
      <c r="A15" t="s">
        <v>800</v>
      </c>
      <c r="B15" t="s">
        <v>705</v>
      </c>
      <c r="C15" t="s">
        <v>416</v>
      </c>
      <c r="D15">
        <v>24</v>
      </c>
      <c r="E15">
        <v>1</v>
      </c>
    </row>
    <row r="16" spans="1:5">
      <c r="A16" t="s">
        <v>801</v>
      </c>
      <c r="B16" t="s">
        <v>705</v>
      </c>
      <c r="C16" t="s">
        <v>414</v>
      </c>
      <c r="D16">
        <v>24</v>
      </c>
      <c r="E16">
        <v>1</v>
      </c>
    </row>
    <row r="17" spans="1:5">
      <c r="A17" t="s">
        <v>802</v>
      </c>
      <c r="B17" t="s">
        <v>730</v>
      </c>
      <c r="C17" t="s">
        <v>412</v>
      </c>
      <c r="D17">
        <v>24</v>
      </c>
      <c r="E17">
        <v>1</v>
      </c>
    </row>
    <row r="18" spans="1:5">
      <c r="A18" t="s">
        <v>803</v>
      </c>
      <c r="B18" t="s">
        <v>736</v>
      </c>
      <c r="C18" t="s">
        <v>392</v>
      </c>
      <c r="D18">
        <v>24</v>
      </c>
      <c r="E18">
        <v>1</v>
      </c>
    </row>
    <row r="19" spans="1:5">
      <c r="A19" t="s">
        <v>804</v>
      </c>
      <c r="B19" t="s">
        <v>187</v>
      </c>
      <c r="C19" t="s">
        <v>388</v>
      </c>
      <c r="D19">
        <v>72</v>
      </c>
      <c r="E19">
        <v>1</v>
      </c>
    </row>
    <row r="20" spans="1:5">
      <c r="A20" t="s">
        <v>805</v>
      </c>
      <c r="B20" t="s">
        <v>736</v>
      </c>
      <c r="C20" t="s">
        <v>391</v>
      </c>
      <c r="D20">
        <v>24</v>
      </c>
      <c r="E20">
        <v>1</v>
      </c>
    </row>
    <row r="21" spans="1:5">
      <c r="A21" t="s">
        <v>806</v>
      </c>
      <c r="B21" t="s">
        <v>187</v>
      </c>
      <c r="C21" t="s">
        <v>389</v>
      </c>
      <c r="D21">
        <v>72</v>
      </c>
      <c r="E21">
        <v>1</v>
      </c>
    </row>
    <row r="22" spans="1:5">
      <c r="A22" t="s">
        <v>807</v>
      </c>
      <c r="B22" t="s">
        <v>736</v>
      </c>
      <c r="C22" t="s">
        <v>390</v>
      </c>
      <c r="D22">
        <v>24</v>
      </c>
      <c r="E22">
        <v>1</v>
      </c>
    </row>
    <row r="23" spans="1:5">
      <c r="A23" t="s">
        <v>808</v>
      </c>
      <c r="B23" t="s">
        <v>187</v>
      </c>
      <c r="C23" t="s">
        <v>387</v>
      </c>
      <c r="D23">
        <v>72</v>
      </c>
      <c r="E23">
        <v>1</v>
      </c>
    </row>
    <row r="24" spans="1:5">
      <c r="A24" t="s">
        <v>809</v>
      </c>
      <c r="B24" t="s">
        <v>705</v>
      </c>
      <c r="C24" t="s">
        <v>486</v>
      </c>
      <c r="D24">
        <v>48</v>
      </c>
      <c r="E24">
        <v>1</v>
      </c>
    </row>
    <row r="25" spans="1:5">
      <c r="A25" t="s">
        <v>810</v>
      </c>
      <c r="B25" t="s">
        <v>705</v>
      </c>
      <c r="C25" t="s">
        <v>485</v>
      </c>
      <c r="D25">
        <v>48</v>
      </c>
      <c r="E25">
        <v>1</v>
      </c>
    </row>
    <row r="26" spans="1:5">
      <c r="A26" t="s">
        <v>811</v>
      </c>
      <c r="B26" t="s">
        <v>737</v>
      </c>
      <c r="C26" t="s">
        <v>484</v>
      </c>
      <c r="D26">
        <v>48</v>
      </c>
      <c r="E26">
        <v>2</v>
      </c>
    </row>
    <row r="27" spans="1:5">
      <c r="A27" t="s">
        <v>811</v>
      </c>
      <c r="B27" t="s">
        <v>737</v>
      </c>
      <c r="C27" t="s">
        <v>1090</v>
      </c>
      <c r="D27">
        <v>48</v>
      </c>
      <c r="E27">
        <v>1</v>
      </c>
    </row>
    <row r="28" spans="1:5">
      <c r="A28" t="s">
        <v>812</v>
      </c>
      <c r="B28" t="s">
        <v>731</v>
      </c>
      <c r="C28" t="s">
        <v>483</v>
      </c>
      <c r="D28">
        <v>48</v>
      </c>
      <c r="E28">
        <v>1</v>
      </c>
    </row>
    <row r="29" spans="1:5">
      <c r="A29" t="s">
        <v>813</v>
      </c>
      <c r="B29" t="s">
        <v>737</v>
      </c>
      <c r="C29" t="s">
        <v>482</v>
      </c>
      <c r="D29">
        <v>48</v>
      </c>
      <c r="E29">
        <v>1</v>
      </c>
    </row>
    <row r="30" spans="1:5">
      <c r="A30" t="s">
        <v>814</v>
      </c>
      <c r="B30" t="s">
        <v>732</v>
      </c>
      <c r="C30" t="s">
        <v>469</v>
      </c>
      <c r="D30">
        <v>24</v>
      </c>
      <c r="E30">
        <v>1</v>
      </c>
    </row>
    <row r="31" spans="1:5">
      <c r="A31" t="s">
        <v>815</v>
      </c>
      <c r="B31" t="s">
        <v>732</v>
      </c>
      <c r="C31" t="s">
        <v>417</v>
      </c>
      <c r="D31">
        <v>48</v>
      </c>
      <c r="E31">
        <v>1</v>
      </c>
    </row>
    <row r="32" spans="1:5">
      <c r="A32" t="s">
        <v>816</v>
      </c>
      <c r="B32" t="s">
        <v>732</v>
      </c>
      <c r="C32" t="s">
        <v>421</v>
      </c>
      <c r="D32">
        <v>48</v>
      </c>
      <c r="E32">
        <v>1</v>
      </c>
    </row>
    <row r="33" spans="1:5">
      <c r="A33" t="s">
        <v>817</v>
      </c>
      <c r="B33" t="s">
        <v>732</v>
      </c>
      <c r="C33" t="s">
        <v>420</v>
      </c>
      <c r="D33">
        <v>48</v>
      </c>
      <c r="E33">
        <v>1</v>
      </c>
    </row>
    <row r="34" spans="1:5">
      <c r="A34" t="s">
        <v>818</v>
      </c>
      <c r="B34" t="s">
        <v>732</v>
      </c>
      <c r="C34" t="s">
        <v>424</v>
      </c>
      <c r="D34">
        <v>48</v>
      </c>
      <c r="E34">
        <v>1</v>
      </c>
    </row>
    <row r="35" spans="1:5">
      <c r="A35" t="s">
        <v>819</v>
      </c>
      <c r="B35" t="s">
        <v>732</v>
      </c>
      <c r="C35" t="s">
        <v>418</v>
      </c>
      <c r="D35">
        <v>48</v>
      </c>
      <c r="E35">
        <v>1</v>
      </c>
    </row>
    <row r="36" spans="1:5">
      <c r="A36" t="s">
        <v>820</v>
      </c>
      <c r="B36" t="s">
        <v>732</v>
      </c>
      <c r="C36" t="s">
        <v>422</v>
      </c>
      <c r="D36">
        <v>48</v>
      </c>
      <c r="E36">
        <v>1</v>
      </c>
    </row>
    <row r="37" spans="1:5">
      <c r="A37" t="s">
        <v>821</v>
      </c>
      <c r="B37" t="s">
        <v>732</v>
      </c>
      <c r="C37" t="s">
        <v>419</v>
      </c>
      <c r="D37">
        <v>48</v>
      </c>
      <c r="E37">
        <v>1</v>
      </c>
    </row>
    <row r="38" spans="1:5">
      <c r="A38" t="s">
        <v>822</v>
      </c>
      <c r="B38" t="s">
        <v>732</v>
      </c>
      <c r="C38" t="s">
        <v>423</v>
      </c>
      <c r="D38">
        <v>48</v>
      </c>
      <c r="E38">
        <v>1</v>
      </c>
    </row>
    <row r="39" spans="1:5">
      <c r="A39" t="s">
        <v>823</v>
      </c>
      <c r="B39" t="s">
        <v>671</v>
      </c>
      <c r="C39" t="s">
        <v>431</v>
      </c>
      <c r="D39">
        <v>24</v>
      </c>
      <c r="E39">
        <v>1</v>
      </c>
    </row>
    <row r="40" spans="1:5">
      <c r="A40" t="s">
        <v>824</v>
      </c>
      <c r="B40" t="s">
        <v>671</v>
      </c>
      <c r="C40" t="s">
        <v>450</v>
      </c>
      <c r="D40">
        <v>24</v>
      </c>
      <c r="E40">
        <v>1</v>
      </c>
    </row>
    <row r="41" spans="1:5">
      <c r="A41" t="s">
        <v>825</v>
      </c>
      <c r="B41" t="s">
        <v>671</v>
      </c>
      <c r="C41" t="s">
        <v>437</v>
      </c>
      <c r="D41">
        <v>24</v>
      </c>
      <c r="E41">
        <v>1</v>
      </c>
    </row>
    <row r="42" spans="1:5">
      <c r="A42" t="s">
        <v>826</v>
      </c>
      <c r="B42" t="s">
        <v>671</v>
      </c>
      <c r="C42" t="s">
        <v>436</v>
      </c>
      <c r="D42">
        <v>12</v>
      </c>
      <c r="E42">
        <v>1</v>
      </c>
    </row>
    <row r="43" spans="1:5">
      <c r="A43" t="s">
        <v>827</v>
      </c>
      <c r="B43" t="s">
        <v>734</v>
      </c>
      <c r="C43" t="s">
        <v>435</v>
      </c>
      <c r="D43">
        <v>48</v>
      </c>
      <c r="E43">
        <v>1</v>
      </c>
    </row>
    <row r="44" spans="1:5">
      <c r="A44" t="s">
        <v>828</v>
      </c>
      <c r="B44" t="s">
        <v>671</v>
      </c>
      <c r="C44" t="s">
        <v>427</v>
      </c>
      <c r="D44">
        <v>24</v>
      </c>
      <c r="E44">
        <v>1</v>
      </c>
    </row>
    <row r="45" spans="1:5">
      <c r="A45" t="s">
        <v>829</v>
      </c>
      <c r="B45" t="s">
        <v>671</v>
      </c>
      <c r="C45" t="s">
        <v>426</v>
      </c>
      <c r="D45">
        <v>12</v>
      </c>
      <c r="E45">
        <v>1</v>
      </c>
    </row>
    <row r="46" spans="1:5">
      <c r="A46" t="s">
        <v>830</v>
      </c>
      <c r="B46" t="s">
        <v>734</v>
      </c>
      <c r="C46" t="s">
        <v>425</v>
      </c>
      <c r="D46">
        <v>48</v>
      </c>
      <c r="E46">
        <v>1</v>
      </c>
    </row>
    <row r="47" spans="1:5">
      <c r="A47" t="s">
        <v>831</v>
      </c>
      <c r="B47" t="s">
        <v>671</v>
      </c>
      <c r="C47" t="s">
        <v>441</v>
      </c>
      <c r="D47">
        <v>24</v>
      </c>
      <c r="E47">
        <v>1</v>
      </c>
    </row>
    <row r="48" spans="1:5">
      <c r="A48" t="s">
        <v>832</v>
      </c>
      <c r="B48" t="s">
        <v>671</v>
      </c>
      <c r="C48" t="s">
        <v>446</v>
      </c>
      <c r="D48">
        <v>24</v>
      </c>
      <c r="E48">
        <v>1</v>
      </c>
    </row>
    <row r="49" spans="1:5">
      <c r="A49" t="s">
        <v>833</v>
      </c>
      <c r="B49" t="s">
        <v>671</v>
      </c>
      <c r="C49" t="s">
        <v>445</v>
      </c>
      <c r="D49">
        <v>12</v>
      </c>
      <c r="E49">
        <v>1</v>
      </c>
    </row>
    <row r="50" spans="1:5">
      <c r="A50" t="s">
        <v>834</v>
      </c>
      <c r="B50" t="s">
        <v>705</v>
      </c>
      <c r="C50" t="s">
        <v>489</v>
      </c>
      <c r="D50">
        <v>48</v>
      </c>
      <c r="E50">
        <v>1</v>
      </c>
    </row>
    <row r="51" spans="1:5">
      <c r="A51" t="s">
        <v>835</v>
      </c>
      <c r="B51" t="s">
        <v>705</v>
      </c>
      <c r="C51" t="s">
        <v>490</v>
      </c>
      <c r="D51">
        <v>48</v>
      </c>
      <c r="E51">
        <v>1</v>
      </c>
    </row>
    <row r="52" spans="1:5">
      <c r="A52" t="s">
        <v>836</v>
      </c>
      <c r="B52" t="s">
        <v>705</v>
      </c>
      <c r="C52" t="s">
        <v>491</v>
      </c>
      <c r="D52">
        <v>48</v>
      </c>
      <c r="E52">
        <v>1</v>
      </c>
    </row>
    <row r="53" spans="1:5">
      <c r="A53" t="s">
        <v>837</v>
      </c>
      <c r="B53" t="s">
        <v>705</v>
      </c>
      <c r="C53" t="s">
        <v>492</v>
      </c>
      <c r="D53">
        <v>48</v>
      </c>
      <c r="E53">
        <v>1</v>
      </c>
    </row>
    <row r="54" spans="1:5">
      <c r="A54" t="s">
        <v>838</v>
      </c>
      <c r="B54" t="s">
        <v>705</v>
      </c>
      <c r="C54" t="s">
        <v>487</v>
      </c>
      <c r="D54">
        <v>48</v>
      </c>
      <c r="E54">
        <v>1</v>
      </c>
    </row>
    <row r="55" spans="1:5">
      <c r="A55" t="s">
        <v>839</v>
      </c>
      <c r="B55" t="s">
        <v>705</v>
      </c>
      <c r="C55" t="s">
        <v>488</v>
      </c>
      <c r="D55">
        <v>48</v>
      </c>
      <c r="E55">
        <v>1</v>
      </c>
    </row>
    <row r="56" spans="1:5">
      <c r="A56" t="s">
        <v>840</v>
      </c>
      <c r="B56" t="s">
        <v>705</v>
      </c>
      <c r="C56" t="s">
        <v>493</v>
      </c>
      <c r="D56">
        <v>48</v>
      </c>
      <c r="E56">
        <v>1</v>
      </c>
    </row>
    <row r="57" spans="1:5">
      <c r="A57" t="s">
        <v>841</v>
      </c>
      <c r="B57" t="s">
        <v>705</v>
      </c>
      <c r="C57" t="s">
        <v>494</v>
      </c>
      <c r="D57">
        <v>48</v>
      </c>
      <c r="E57">
        <v>1</v>
      </c>
    </row>
    <row r="58" spans="1:5">
      <c r="A58" t="s">
        <v>842</v>
      </c>
      <c r="B58" t="s">
        <v>733</v>
      </c>
      <c r="C58" t="s">
        <v>472</v>
      </c>
      <c r="D58">
        <v>48</v>
      </c>
      <c r="E58">
        <v>1</v>
      </c>
    </row>
    <row r="59" spans="1:5">
      <c r="A59" t="s">
        <v>843</v>
      </c>
      <c r="B59" t="s">
        <v>733</v>
      </c>
      <c r="C59" t="s">
        <v>473</v>
      </c>
      <c r="D59">
        <v>48</v>
      </c>
      <c r="E59">
        <v>1</v>
      </c>
    </row>
    <row r="60" spans="1:5">
      <c r="A60" t="s">
        <v>844</v>
      </c>
      <c r="B60" t="s">
        <v>733</v>
      </c>
      <c r="C60" t="s">
        <v>480</v>
      </c>
      <c r="D60">
        <v>96</v>
      </c>
      <c r="E60">
        <v>1</v>
      </c>
    </row>
    <row r="61" spans="1:5">
      <c r="A61" t="s">
        <v>845</v>
      </c>
      <c r="B61" t="s">
        <v>733</v>
      </c>
      <c r="C61" t="s">
        <v>481</v>
      </c>
      <c r="D61">
        <v>48</v>
      </c>
      <c r="E61">
        <v>1</v>
      </c>
    </row>
    <row r="62" spans="1:5">
      <c r="A62" t="s">
        <v>846</v>
      </c>
      <c r="B62" t="s">
        <v>733</v>
      </c>
      <c r="C62" t="s">
        <v>474</v>
      </c>
      <c r="D62">
        <v>96</v>
      </c>
      <c r="E62">
        <v>1</v>
      </c>
    </row>
    <row r="63" spans="1:5">
      <c r="A63" t="s">
        <v>847</v>
      </c>
      <c r="B63" t="s">
        <v>733</v>
      </c>
      <c r="C63" t="s">
        <v>475</v>
      </c>
      <c r="D63">
        <v>48</v>
      </c>
      <c r="E63">
        <v>1</v>
      </c>
    </row>
    <row r="64" spans="1:5">
      <c r="A64" t="s">
        <v>848</v>
      </c>
      <c r="B64" t="s">
        <v>733</v>
      </c>
      <c r="C64" t="s">
        <v>470</v>
      </c>
      <c r="D64">
        <v>96</v>
      </c>
      <c r="E64">
        <v>1</v>
      </c>
    </row>
    <row r="65" spans="1:5">
      <c r="A65" t="s">
        <v>849</v>
      </c>
      <c r="B65" t="s">
        <v>733</v>
      </c>
      <c r="C65" t="s">
        <v>471</v>
      </c>
      <c r="D65">
        <v>48</v>
      </c>
      <c r="E65">
        <v>1</v>
      </c>
    </row>
    <row r="66" spans="1:5">
      <c r="A66" t="s">
        <v>850</v>
      </c>
      <c r="B66" t="s">
        <v>733</v>
      </c>
      <c r="C66" t="s">
        <v>476</v>
      </c>
      <c r="D66">
        <v>96</v>
      </c>
      <c r="E66">
        <v>1</v>
      </c>
    </row>
    <row r="67" spans="1:5">
      <c r="A67" t="s">
        <v>851</v>
      </c>
      <c r="B67" t="s">
        <v>733</v>
      </c>
      <c r="C67" t="s">
        <v>477</v>
      </c>
      <c r="D67">
        <v>48</v>
      </c>
      <c r="E67">
        <v>1</v>
      </c>
    </row>
    <row r="68" spans="1:5">
      <c r="A68" t="s">
        <v>852</v>
      </c>
      <c r="B68" t="s">
        <v>733</v>
      </c>
      <c r="C68" t="s">
        <v>478</v>
      </c>
      <c r="D68">
        <v>96</v>
      </c>
      <c r="E68">
        <v>1</v>
      </c>
    </row>
    <row r="69" spans="1:5">
      <c r="A69" t="s">
        <v>853</v>
      </c>
      <c r="B69" t="s">
        <v>733</v>
      </c>
      <c r="C69" t="s">
        <v>479</v>
      </c>
      <c r="D69">
        <v>48</v>
      </c>
      <c r="E69">
        <v>1</v>
      </c>
    </row>
    <row r="70" spans="1:5">
      <c r="A70" t="s">
        <v>854</v>
      </c>
      <c r="B70" t="s">
        <v>732</v>
      </c>
      <c r="C70" t="s">
        <v>496</v>
      </c>
      <c r="D70">
        <v>48</v>
      </c>
      <c r="E70">
        <v>1</v>
      </c>
    </row>
    <row r="71" spans="1:5">
      <c r="A71" t="s">
        <v>855</v>
      </c>
      <c r="B71" t="s">
        <v>732</v>
      </c>
      <c r="C71" t="s">
        <v>497</v>
      </c>
      <c r="D71">
        <v>48</v>
      </c>
      <c r="E71">
        <v>1</v>
      </c>
    </row>
    <row r="72" spans="1:5">
      <c r="A72" t="s">
        <v>856</v>
      </c>
      <c r="B72" t="s">
        <v>732</v>
      </c>
      <c r="C72" t="s">
        <v>495</v>
      </c>
      <c r="D72">
        <v>48</v>
      </c>
      <c r="E72">
        <v>1</v>
      </c>
    </row>
    <row r="73" spans="1:5">
      <c r="A73" t="s">
        <v>857</v>
      </c>
      <c r="B73" t="s">
        <v>732</v>
      </c>
      <c r="C73" t="s">
        <v>502</v>
      </c>
      <c r="D73">
        <v>48</v>
      </c>
      <c r="E73">
        <v>1</v>
      </c>
    </row>
    <row r="74" spans="1:5">
      <c r="A74" t="s">
        <v>858</v>
      </c>
      <c r="B74" t="s">
        <v>732</v>
      </c>
      <c r="C74" t="s">
        <v>501</v>
      </c>
      <c r="D74">
        <v>48</v>
      </c>
      <c r="E74">
        <v>1</v>
      </c>
    </row>
    <row r="75" spans="1:5">
      <c r="A75" t="s">
        <v>858</v>
      </c>
      <c r="B75" t="s">
        <v>732</v>
      </c>
      <c r="C75">
        <v>191703000</v>
      </c>
      <c r="D75">
        <v>48</v>
      </c>
      <c r="E75">
        <v>1</v>
      </c>
    </row>
    <row r="76" spans="1:5">
      <c r="A76" t="s">
        <v>859</v>
      </c>
      <c r="B76" t="s">
        <v>732</v>
      </c>
      <c r="C76">
        <v>191702000</v>
      </c>
      <c r="D76">
        <v>12</v>
      </c>
      <c r="E76">
        <v>1</v>
      </c>
    </row>
    <row r="77" spans="1:5">
      <c r="A77" t="s">
        <v>860</v>
      </c>
      <c r="B77" t="s">
        <v>187</v>
      </c>
      <c r="C77" t="s">
        <v>394</v>
      </c>
      <c r="D77">
        <v>144</v>
      </c>
      <c r="E77">
        <v>1</v>
      </c>
    </row>
    <row r="78" spans="1:5">
      <c r="A78" t="s">
        <v>861</v>
      </c>
      <c r="B78" t="s">
        <v>187</v>
      </c>
      <c r="C78" t="s">
        <v>398</v>
      </c>
      <c r="D78">
        <v>144</v>
      </c>
      <c r="E78">
        <v>1</v>
      </c>
    </row>
    <row r="79" spans="1:5">
      <c r="A79" t="s">
        <v>862</v>
      </c>
      <c r="B79" t="s">
        <v>187</v>
      </c>
      <c r="C79" t="s">
        <v>395</v>
      </c>
      <c r="D79">
        <v>144</v>
      </c>
      <c r="E79">
        <v>1</v>
      </c>
    </row>
    <row r="80" spans="1:5">
      <c r="A80" t="s">
        <v>863</v>
      </c>
      <c r="B80" t="s">
        <v>187</v>
      </c>
      <c r="C80" t="s">
        <v>393</v>
      </c>
      <c r="D80">
        <v>144</v>
      </c>
      <c r="E80">
        <v>1</v>
      </c>
    </row>
    <row r="81" spans="1:5">
      <c r="A81" t="s">
        <v>864</v>
      </c>
      <c r="B81" t="s">
        <v>187</v>
      </c>
      <c r="C81" t="s">
        <v>396</v>
      </c>
      <c r="D81">
        <v>144</v>
      </c>
      <c r="E81">
        <v>1</v>
      </c>
    </row>
    <row r="82" spans="1:5">
      <c r="A82" t="s">
        <v>865</v>
      </c>
      <c r="B82" t="s">
        <v>187</v>
      </c>
      <c r="C82" t="s">
        <v>397</v>
      </c>
      <c r="D82">
        <v>144</v>
      </c>
      <c r="E82">
        <v>1</v>
      </c>
    </row>
    <row r="83" spans="1:5">
      <c r="A83" t="s">
        <v>866</v>
      </c>
      <c r="B83" t="s">
        <v>671</v>
      </c>
      <c r="C83" t="s">
        <v>451</v>
      </c>
      <c r="D83">
        <v>48</v>
      </c>
      <c r="E83">
        <v>1</v>
      </c>
    </row>
    <row r="84" spans="1:5">
      <c r="A84" t="s">
        <v>867</v>
      </c>
      <c r="B84" t="s">
        <v>671</v>
      </c>
      <c r="C84" t="s">
        <v>438</v>
      </c>
      <c r="D84">
        <v>48</v>
      </c>
      <c r="E84">
        <v>1</v>
      </c>
    </row>
    <row r="85" spans="1:5">
      <c r="A85" t="s">
        <v>868</v>
      </c>
      <c r="B85" t="s">
        <v>671</v>
      </c>
      <c r="C85" t="s">
        <v>442</v>
      </c>
      <c r="D85">
        <v>48</v>
      </c>
      <c r="E85">
        <v>1</v>
      </c>
    </row>
    <row r="86" spans="1:5">
      <c r="A86" t="s">
        <v>869</v>
      </c>
      <c r="B86" t="s">
        <v>671</v>
      </c>
      <c r="C86" t="s">
        <v>447</v>
      </c>
      <c r="D86">
        <v>48</v>
      </c>
      <c r="E86">
        <v>1</v>
      </c>
    </row>
    <row r="87" spans="1:5">
      <c r="A87" t="s">
        <v>870</v>
      </c>
      <c r="B87" t="s">
        <v>671</v>
      </c>
      <c r="C87" t="s">
        <v>432</v>
      </c>
      <c r="D87">
        <v>48</v>
      </c>
      <c r="E87">
        <v>1</v>
      </c>
    </row>
    <row r="88" spans="1:5">
      <c r="A88" t="s">
        <v>871</v>
      </c>
      <c r="B88" t="s">
        <v>730</v>
      </c>
      <c r="C88" t="s">
        <v>434</v>
      </c>
      <c r="D88">
        <v>24</v>
      </c>
      <c r="E88">
        <v>1</v>
      </c>
    </row>
    <row r="89" spans="1:5">
      <c r="A89" t="s">
        <v>872</v>
      </c>
      <c r="B89" t="s">
        <v>730</v>
      </c>
      <c r="C89" t="s">
        <v>453</v>
      </c>
      <c r="D89">
        <v>24</v>
      </c>
      <c r="E89">
        <v>1</v>
      </c>
    </row>
    <row r="90" spans="1:5">
      <c r="A90" t="s">
        <v>873</v>
      </c>
      <c r="B90" t="s">
        <v>705</v>
      </c>
      <c r="C90" t="s">
        <v>439</v>
      </c>
      <c r="D90">
        <v>48</v>
      </c>
      <c r="E90">
        <v>1</v>
      </c>
    </row>
    <row r="91" spans="1:5">
      <c r="A91" t="s">
        <v>874</v>
      </c>
      <c r="B91" t="s">
        <v>705</v>
      </c>
      <c r="C91" t="s">
        <v>440</v>
      </c>
      <c r="D91">
        <v>24</v>
      </c>
      <c r="E91">
        <v>1</v>
      </c>
    </row>
    <row r="92" spans="1:5">
      <c r="A92" t="s">
        <v>875</v>
      </c>
      <c r="B92" t="s">
        <v>705</v>
      </c>
      <c r="C92" t="s">
        <v>429</v>
      </c>
      <c r="D92">
        <v>48</v>
      </c>
      <c r="E92">
        <v>1</v>
      </c>
    </row>
    <row r="93" spans="1:5">
      <c r="A93" t="s">
        <v>876</v>
      </c>
      <c r="B93" t="s">
        <v>731</v>
      </c>
      <c r="C93" t="s">
        <v>430</v>
      </c>
      <c r="D93">
        <v>24</v>
      </c>
      <c r="E93">
        <v>1</v>
      </c>
    </row>
    <row r="94" spans="1:5">
      <c r="A94" t="s">
        <v>877</v>
      </c>
      <c r="B94" t="s">
        <v>730</v>
      </c>
      <c r="C94" t="s">
        <v>444</v>
      </c>
      <c r="D94">
        <v>24</v>
      </c>
      <c r="E94">
        <v>1</v>
      </c>
    </row>
    <row r="95" spans="1:5">
      <c r="A95" t="s">
        <v>878</v>
      </c>
      <c r="B95" t="s">
        <v>671</v>
      </c>
      <c r="C95" t="s">
        <v>428</v>
      </c>
      <c r="D95">
        <v>48</v>
      </c>
      <c r="E95">
        <v>1</v>
      </c>
    </row>
    <row r="96" spans="1:5">
      <c r="A96" t="s">
        <v>879</v>
      </c>
      <c r="B96" t="s">
        <v>732</v>
      </c>
      <c r="C96" t="s">
        <v>498</v>
      </c>
      <c r="D96">
        <v>48</v>
      </c>
      <c r="E96">
        <v>1</v>
      </c>
    </row>
    <row r="97" spans="1:5">
      <c r="A97" t="s">
        <v>880</v>
      </c>
      <c r="B97" t="s">
        <v>733</v>
      </c>
      <c r="C97" t="s">
        <v>499</v>
      </c>
      <c r="D97">
        <v>48</v>
      </c>
      <c r="E97">
        <v>1</v>
      </c>
    </row>
    <row r="98" spans="1:5">
      <c r="A98" t="s">
        <v>881</v>
      </c>
      <c r="B98" t="s">
        <v>732</v>
      </c>
      <c r="C98" t="s">
        <v>500</v>
      </c>
      <c r="D98">
        <v>48</v>
      </c>
      <c r="E98">
        <v>1</v>
      </c>
    </row>
    <row r="99" spans="1:5">
      <c r="A99" t="s">
        <v>882</v>
      </c>
      <c r="B99" t="s">
        <v>671</v>
      </c>
      <c r="C99" t="s">
        <v>463</v>
      </c>
      <c r="D99">
        <v>24</v>
      </c>
      <c r="E99">
        <v>1</v>
      </c>
    </row>
    <row r="100" spans="1:5">
      <c r="A100" t="s">
        <v>883</v>
      </c>
      <c r="B100" t="s">
        <v>671</v>
      </c>
      <c r="C100" t="s">
        <v>467</v>
      </c>
      <c r="D100">
        <v>24</v>
      </c>
      <c r="E100">
        <v>1</v>
      </c>
    </row>
    <row r="101" spans="1:5">
      <c r="A101" t="s">
        <v>883</v>
      </c>
      <c r="B101" t="s">
        <v>671</v>
      </c>
      <c r="C101" t="s">
        <v>1292</v>
      </c>
      <c r="D101">
        <v>24</v>
      </c>
      <c r="E101">
        <v>2</v>
      </c>
    </row>
    <row r="102" spans="1:5">
      <c r="A102" t="s">
        <v>884</v>
      </c>
      <c r="B102" t="s">
        <v>671</v>
      </c>
      <c r="C102" t="s">
        <v>456</v>
      </c>
      <c r="D102">
        <v>48</v>
      </c>
      <c r="E102">
        <v>1</v>
      </c>
    </row>
    <row r="103" spans="1:5">
      <c r="A103" t="s">
        <v>885</v>
      </c>
      <c r="B103" t="s">
        <v>671</v>
      </c>
      <c r="C103" t="s">
        <v>462</v>
      </c>
      <c r="D103">
        <v>48</v>
      </c>
      <c r="E103">
        <v>1</v>
      </c>
    </row>
    <row r="104" spans="1:5">
      <c r="A104" t="s">
        <v>886</v>
      </c>
      <c r="B104" t="s">
        <v>671</v>
      </c>
      <c r="C104" t="s">
        <v>457</v>
      </c>
      <c r="D104">
        <v>24</v>
      </c>
      <c r="E104">
        <v>1</v>
      </c>
    </row>
    <row r="105" spans="1:5">
      <c r="A105" t="s">
        <v>887</v>
      </c>
      <c r="B105" t="s">
        <v>671</v>
      </c>
      <c r="C105" t="s">
        <v>459</v>
      </c>
      <c r="D105">
        <v>48</v>
      </c>
      <c r="E105">
        <v>1</v>
      </c>
    </row>
    <row r="106" spans="1:5">
      <c r="A106" t="s">
        <v>888</v>
      </c>
      <c r="B106" t="s">
        <v>730</v>
      </c>
      <c r="C106" t="s">
        <v>464</v>
      </c>
      <c r="D106">
        <v>24</v>
      </c>
      <c r="E106">
        <v>1</v>
      </c>
    </row>
    <row r="107" spans="1:5">
      <c r="A107" t="s">
        <v>889</v>
      </c>
      <c r="B107" t="s">
        <v>730</v>
      </c>
      <c r="C107" t="s">
        <v>468</v>
      </c>
      <c r="D107">
        <v>24</v>
      </c>
      <c r="E107">
        <v>1</v>
      </c>
    </row>
    <row r="108" spans="1:5">
      <c r="A108" t="s">
        <v>890</v>
      </c>
      <c r="B108" t="s">
        <v>730</v>
      </c>
      <c r="C108" t="s">
        <v>458</v>
      </c>
      <c r="D108">
        <v>24</v>
      </c>
      <c r="E108">
        <v>1</v>
      </c>
    </row>
    <row r="109" spans="1:5">
      <c r="A109" t="s">
        <v>891</v>
      </c>
      <c r="B109" t="s">
        <v>671</v>
      </c>
      <c r="C109" t="s">
        <v>455</v>
      </c>
      <c r="D109">
        <v>24</v>
      </c>
      <c r="E109">
        <v>1</v>
      </c>
    </row>
    <row r="110" spans="1:5">
      <c r="A110" t="s">
        <v>892</v>
      </c>
      <c r="B110" t="s">
        <v>671</v>
      </c>
      <c r="C110" t="s">
        <v>460</v>
      </c>
      <c r="D110">
        <v>24</v>
      </c>
      <c r="E110">
        <v>1</v>
      </c>
    </row>
    <row r="111" spans="1:5">
      <c r="A111" t="s">
        <v>893</v>
      </c>
      <c r="B111" t="s">
        <v>671</v>
      </c>
      <c r="C111" t="s">
        <v>465</v>
      </c>
      <c r="D111">
        <v>24</v>
      </c>
      <c r="E111">
        <v>1</v>
      </c>
    </row>
    <row r="112" spans="1:5">
      <c r="A112" t="s">
        <v>893</v>
      </c>
      <c r="B112" t="s">
        <v>671</v>
      </c>
      <c r="C112" t="s">
        <v>1259</v>
      </c>
      <c r="D112">
        <v>24</v>
      </c>
      <c r="E112">
        <v>1</v>
      </c>
    </row>
    <row r="113" spans="1:5">
      <c r="A113" t="s">
        <v>894</v>
      </c>
      <c r="B113" t="s">
        <v>730</v>
      </c>
      <c r="C113" t="s">
        <v>454</v>
      </c>
      <c r="D113">
        <v>24</v>
      </c>
      <c r="E113">
        <v>1</v>
      </c>
    </row>
    <row r="114" spans="1:5">
      <c r="A114" t="s">
        <v>895</v>
      </c>
      <c r="B114" t="s">
        <v>730</v>
      </c>
      <c r="C114" t="s">
        <v>461</v>
      </c>
      <c r="D114">
        <v>24</v>
      </c>
      <c r="E114">
        <v>1</v>
      </c>
    </row>
    <row r="115" spans="1:5">
      <c r="A115" t="s">
        <v>896</v>
      </c>
      <c r="B115" t="s">
        <v>730</v>
      </c>
      <c r="C115" t="s">
        <v>466</v>
      </c>
      <c r="D115">
        <v>24</v>
      </c>
      <c r="E115">
        <v>1</v>
      </c>
    </row>
    <row r="116" spans="1:5">
      <c r="A116" t="s">
        <v>897</v>
      </c>
      <c r="B116" t="s">
        <v>735</v>
      </c>
      <c r="C116" t="s">
        <v>1146</v>
      </c>
      <c r="D116">
        <v>6</v>
      </c>
      <c r="E116">
        <v>2</v>
      </c>
    </row>
    <row r="117" spans="1:5">
      <c r="A117" t="s">
        <v>898</v>
      </c>
      <c r="B117" t="s">
        <v>187</v>
      </c>
      <c r="C117" t="s">
        <v>404</v>
      </c>
      <c r="D117">
        <v>72</v>
      </c>
      <c r="E117">
        <v>1</v>
      </c>
    </row>
    <row r="118" spans="1:5">
      <c r="A118" t="s">
        <v>899</v>
      </c>
      <c r="B118" t="s">
        <v>736</v>
      </c>
      <c r="C118" t="s">
        <v>405</v>
      </c>
      <c r="D118">
        <v>24</v>
      </c>
      <c r="E118">
        <v>1</v>
      </c>
    </row>
    <row r="119" spans="1:5">
      <c r="A119" t="s">
        <v>899</v>
      </c>
      <c r="B119" t="s">
        <v>736</v>
      </c>
      <c r="C119" t="s">
        <v>1217</v>
      </c>
      <c r="D119">
        <v>24</v>
      </c>
      <c r="E119">
        <v>2</v>
      </c>
    </row>
    <row r="120" spans="1:5">
      <c r="A120" t="s">
        <v>900</v>
      </c>
      <c r="B120" t="s">
        <v>736</v>
      </c>
      <c r="C120" t="s">
        <v>406</v>
      </c>
      <c r="D120">
        <v>24</v>
      </c>
      <c r="E120">
        <v>1</v>
      </c>
    </row>
    <row r="121" spans="1:5">
      <c r="A121" t="s">
        <v>900</v>
      </c>
      <c r="B121" t="s">
        <v>736</v>
      </c>
      <c r="C121" t="s">
        <v>1131</v>
      </c>
      <c r="D121">
        <v>24</v>
      </c>
      <c r="E121">
        <v>2</v>
      </c>
    </row>
    <row r="122" spans="1:5">
      <c r="A122" t="s">
        <v>900</v>
      </c>
      <c r="B122" t="s">
        <v>736</v>
      </c>
      <c r="C122" t="s">
        <v>1341</v>
      </c>
      <c r="D122">
        <v>24</v>
      </c>
      <c r="E122">
        <v>3</v>
      </c>
    </row>
    <row r="123" spans="1:5">
      <c r="A123" t="s">
        <v>901</v>
      </c>
      <c r="B123" t="s">
        <v>736</v>
      </c>
      <c r="C123" t="s">
        <v>400</v>
      </c>
      <c r="D123">
        <v>24</v>
      </c>
      <c r="E123">
        <v>1</v>
      </c>
    </row>
    <row r="124" spans="1:5">
      <c r="A124" t="s">
        <v>901</v>
      </c>
      <c r="B124" t="s">
        <v>736</v>
      </c>
      <c r="C124" t="s">
        <v>1123</v>
      </c>
      <c r="D124">
        <v>24</v>
      </c>
      <c r="E124">
        <v>2</v>
      </c>
    </row>
    <row r="125" spans="1:5">
      <c r="A125" t="s">
        <v>901</v>
      </c>
      <c r="B125" t="s">
        <v>736</v>
      </c>
      <c r="C125" t="s">
        <v>1340</v>
      </c>
      <c r="D125">
        <v>24</v>
      </c>
      <c r="E125">
        <v>3</v>
      </c>
    </row>
    <row r="126" spans="1:5">
      <c r="A126" t="s">
        <v>902</v>
      </c>
      <c r="B126" t="s">
        <v>736</v>
      </c>
      <c r="C126" t="s">
        <v>401</v>
      </c>
      <c r="D126">
        <v>24</v>
      </c>
      <c r="E126">
        <v>1</v>
      </c>
    </row>
    <row r="127" spans="1:5">
      <c r="A127" t="s">
        <v>902</v>
      </c>
      <c r="B127" t="s">
        <v>736</v>
      </c>
      <c r="C127" t="s">
        <v>1126</v>
      </c>
      <c r="D127">
        <v>24</v>
      </c>
      <c r="E127">
        <v>2</v>
      </c>
    </row>
    <row r="128" spans="1:5">
      <c r="A128" t="s">
        <v>903</v>
      </c>
      <c r="B128" t="s">
        <v>736</v>
      </c>
      <c r="C128" t="s">
        <v>402</v>
      </c>
      <c r="D128">
        <v>24</v>
      </c>
      <c r="E128">
        <v>1</v>
      </c>
    </row>
    <row r="129" spans="1:5">
      <c r="A129" t="s">
        <v>903</v>
      </c>
      <c r="B129" t="s">
        <v>736</v>
      </c>
      <c r="C129" t="s">
        <v>1129</v>
      </c>
      <c r="D129">
        <v>24</v>
      </c>
      <c r="E129">
        <v>2</v>
      </c>
    </row>
    <row r="130" spans="1:5">
      <c r="A130" t="s">
        <v>904</v>
      </c>
      <c r="B130" t="s">
        <v>736</v>
      </c>
      <c r="C130" t="s">
        <v>403</v>
      </c>
      <c r="D130">
        <v>24</v>
      </c>
      <c r="E130">
        <v>1</v>
      </c>
    </row>
    <row r="131" spans="1:5">
      <c r="A131" t="s">
        <v>904</v>
      </c>
      <c r="B131" t="s">
        <v>736</v>
      </c>
      <c r="C131" t="s">
        <v>1128</v>
      </c>
      <c r="D131">
        <v>24</v>
      </c>
      <c r="E131">
        <v>2</v>
      </c>
    </row>
    <row r="132" spans="1:5">
      <c r="A132" t="s">
        <v>1062</v>
      </c>
      <c r="B132" t="s">
        <v>730</v>
      </c>
      <c r="C132" t="s">
        <v>449</v>
      </c>
      <c r="D132">
        <v>24</v>
      </c>
      <c r="E132">
        <v>1</v>
      </c>
    </row>
    <row r="133" spans="1:5">
      <c r="A133" t="s">
        <v>1147</v>
      </c>
      <c r="B133" t="s">
        <v>705</v>
      </c>
      <c r="C133">
        <v>112603000</v>
      </c>
      <c r="D133">
        <v>48</v>
      </c>
      <c r="E133">
        <v>1</v>
      </c>
    </row>
    <row r="134" spans="1:5">
      <c r="A134" t="s">
        <v>1148</v>
      </c>
      <c r="B134" t="s">
        <v>705</v>
      </c>
      <c r="C134">
        <v>112601000</v>
      </c>
      <c r="D134">
        <v>48</v>
      </c>
      <c r="E134">
        <v>1</v>
      </c>
    </row>
    <row r="135" spans="1:5">
      <c r="A135" t="s">
        <v>1149</v>
      </c>
      <c r="B135" t="s">
        <v>705</v>
      </c>
      <c r="C135">
        <v>112604000</v>
      </c>
      <c r="D135">
        <v>48</v>
      </c>
      <c r="E135">
        <v>1</v>
      </c>
    </row>
    <row r="136" spans="1:5">
      <c r="A136" t="s">
        <v>1150</v>
      </c>
      <c r="B136" t="s">
        <v>705</v>
      </c>
      <c r="C136">
        <v>112602000</v>
      </c>
      <c r="D136">
        <v>48</v>
      </c>
      <c r="E136">
        <v>1</v>
      </c>
    </row>
    <row r="137" spans="1:5">
      <c r="A137" t="s">
        <v>1151</v>
      </c>
      <c r="B137" t="s">
        <v>671</v>
      </c>
      <c r="C137" t="s">
        <v>1083</v>
      </c>
      <c r="D137">
        <v>12</v>
      </c>
      <c r="E137">
        <v>1</v>
      </c>
    </row>
    <row r="138" spans="1:5">
      <c r="A138" t="s">
        <v>1151</v>
      </c>
      <c r="B138" t="s">
        <v>671</v>
      </c>
      <c r="C138" t="s">
        <v>1092</v>
      </c>
      <c r="D138">
        <v>12</v>
      </c>
    </row>
    <row r="139" spans="1:5">
      <c r="A139" t="s">
        <v>1152</v>
      </c>
      <c r="B139" t="s">
        <v>671</v>
      </c>
      <c r="C139" t="s">
        <v>1103</v>
      </c>
      <c r="D139">
        <v>24</v>
      </c>
      <c r="E139">
        <v>1</v>
      </c>
    </row>
    <row r="140" spans="1:5">
      <c r="A140" t="s">
        <v>1153</v>
      </c>
      <c r="B140" t="s">
        <v>671</v>
      </c>
      <c r="C140" t="s">
        <v>1104</v>
      </c>
      <c r="D140">
        <v>24</v>
      </c>
      <c r="E140">
        <v>1</v>
      </c>
    </row>
    <row r="141" spans="1:5">
      <c r="A141" t="s">
        <v>1154</v>
      </c>
      <c r="B141" t="s">
        <v>671</v>
      </c>
      <c r="C141" t="s">
        <v>1105</v>
      </c>
      <c r="D141">
        <v>24</v>
      </c>
      <c r="E141">
        <v>1</v>
      </c>
    </row>
    <row r="142" spans="1:5">
      <c r="A142" t="s">
        <v>1155</v>
      </c>
      <c r="B142" t="s">
        <v>671</v>
      </c>
      <c r="C142" t="s">
        <v>1106</v>
      </c>
      <c r="D142">
        <v>24</v>
      </c>
      <c r="E142">
        <v>1</v>
      </c>
    </row>
    <row r="143" spans="1:5">
      <c r="A143" t="s">
        <v>1156</v>
      </c>
      <c r="B143" t="s">
        <v>671</v>
      </c>
      <c r="C143" t="s">
        <v>1107</v>
      </c>
      <c r="D143">
        <v>24</v>
      </c>
      <c r="E143">
        <v>1</v>
      </c>
    </row>
    <row r="144" spans="1:5">
      <c r="A144" t="s">
        <v>1157</v>
      </c>
      <c r="B144" t="s">
        <v>671</v>
      </c>
      <c r="C144" t="s">
        <v>1108</v>
      </c>
      <c r="D144">
        <v>24</v>
      </c>
      <c r="E144">
        <v>1</v>
      </c>
    </row>
    <row r="145" spans="1:5">
      <c r="A145" t="s">
        <v>1158</v>
      </c>
      <c r="B145" t="s">
        <v>671</v>
      </c>
      <c r="C145" t="s">
        <v>1084</v>
      </c>
      <c r="D145">
        <v>24</v>
      </c>
      <c r="E145">
        <v>1</v>
      </c>
    </row>
    <row r="146" spans="1:5">
      <c r="A146" t="s">
        <v>1159</v>
      </c>
      <c r="B146" t="s">
        <v>733</v>
      </c>
      <c r="C146" t="s">
        <v>1134</v>
      </c>
      <c r="D146">
        <v>48</v>
      </c>
      <c r="E146">
        <v>1</v>
      </c>
    </row>
    <row r="147" spans="1:5">
      <c r="A147" t="s">
        <v>1160</v>
      </c>
      <c r="B147" t="s">
        <v>733</v>
      </c>
      <c r="C147" t="s">
        <v>1133</v>
      </c>
      <c r="D147">
        <v>48</v>
      </c>
      <c r="E147">
        <v>1</v>
      </c>
    </row>
    <row r="148" spans="1:5">
      <c r="A148" t="s">
        <v>1161</v>
      </c>
      <c r="B148" t="s">
        <v>733</v>
      </c>
      <c r="C148" t="s">
        <v>1135</v>
      </c>
      <c r="D148">
        <v>48</v>
      </c>
      <c r="E148">
        <v>1</v>
      </c>
    </row>
    <row r="149" spans="1:5">
      <c r="A149" t="s">
        <v>1162</v>
      </c>
      <c r="B149" t="s">
        <v>733</v>
      </c>
      <c r="C149" t="s">
        <v>1144</v>
      </c>
      <c r="D149">
        <v>48</v>
      </c>
      <c r="E149">
        <v>1</v>
      </c>
    </row>
    <row r="150" spans="1:5">
      <c r="A150" t="s">
        <v>1163</v>
      </c>
      <c r="B150" t="s">
        <v>732</v>
      </c>
      <c r="C150">
        <v>161702000</v>
      </c>
      <c r="D150">
        <v>48</v>
      </c>
      <c r="E150">
        <v>1</v>
      </c>
    </row>
    <row r="151" spans="1:5">
      <c r="A151" t="s">
        <v>1164</v>
      </c>
      <c r="B151" t="s">
        <v>732</v>
      </c>
      <c r="C151">
        <v>191702002</v>
      </c>
      <c r="D151">
        <v>48</v>
      </c>
      <c r="E151">
        <v>1</v>
      </c>
    </row>
    <row r="152" spans="1:5">
      <c r="A152" t="s">
        <v>1165</v>
      </c>
      <c r="B152" t="s">
        <v>187</v>
      </c>
      <c r="C152" t="s">
        <v>1146</v>
      </c>
      <c r="D152">
        <v>72</v>
      </c>
      <c r="E152">
        <v>1</v>
      </c>
    </row>
    <row r="153" spans="1:5">
      <c r="A153" t="s">
        <v>1166</v>
      </c>
      <c r="B153" t="s">
        <v>187</v>
      </c>
      <c r="C153" t="s">
        <v>1146</v>
      </c>
      <c r="D153">
        <v>72</v>
      </c>
      <c r="E153">
        <v>1</v>
      </c>
    </row>
    <row r="154" spans="1:5">
      <c r="A154" t="s">
        <v>1167</v>
      </c>
      <c r="B154" t="s">
        <v>705</v>
      </c>
      <c r="C154" t="s">
        <v>433</v>
      </c>
      <c r="D154">
        <v>48</v>
      </c>
      <c r="E154">
        <v>1</v>
      </c>
    </row>
    <row r="155" spans="1:5">
      <c r="A155" t="s">
        <v>1168</v>
      </c>
      <c r="B155" t="s">
        <v>705</v>
      </c>
      <c r="C155" t="s">
        <v>452</v>
      </c>
      <c r="D155">
        <v>48</v>
      </c>
      <c r="E155">
        <v>1</v>
      </c>
    </row>
    <row r="156" spans="1:5">
      <c r="A156" t="s">
        <v>1169</v>
      </c>
      <c r="B156" t="s">
        <v>705</v>
      </c>
      <c r="C156" t="s">
        <v>443</v>
      </c>
      <c r="D156">
        <v>48</v>
      </c>
      <c r="E156">
        <v>1</v>
      </c>
    </row>
    <row r="157" spans="1:5">
      <c r="A157" t="s">
        <v>1170</v>
      </c>
      <c r="B157" t="s">
        <v>705</v>
      </c>
      <c r="C157" t="s">
        <v>448</v>
      </c>
      <c r="D157">
        <v>48</v>
      </c>
      <c r="E157">
        <v>1</v>
      </c>
    </row>
    <row r="158" spans="1:5">
      <c r="A158" t="s">
        <v>1171</v>
      </c>
      <c r="B158" t="s">
        <v>671</v>
      </c>
      <c r="C158" t="s">
        <v>1085</v>
      </c>
      <c r="D158">
        <v>24</v>
      </c>
      <c r="E158">
        <v>1</v>
      </c>
    </row>
    <row r="159" spans="1:5">
      <c r="A159" t="s">
        <v>1172</v>
      </c>
      <c r="B159" t="s">
        <v>671</v>
      </c>
      <c r="C159" t="s">
        <v>1086</v>
      </c>
      <c r="D159">
        <v>24</v>
      </c>
      <c r="E159">
        <v>1</v>
      </c>
    </row>
    <row r="160" spans="1:5">
      <c r="A160" t="s">
        <v>1173</v>
      </c>
      <c r="B160" t="s">
        <v>671</v>
      </c>
      <c r="C160" t="s">
        <v>1345</v>
      </c>
      <c r="D160">
        <v>48</v>
      </c>
      <c r="E160">
        <v>1</v>
      </c>
    </row>
    <row r="161" spans="1:5">
      <c r="A161" t="s">
        <v>1174</v>
      </c>
      <c r="B161" t="s">
        <v>671</v>
      </c>
      <c r="C161" t="s">
        <v>1088</v>
      </c>
      <c r="D161">
        <v>24</v>
      </c>
      <c r="E161">
        <v>1</v>
      </c>
    </row>
    <row r="162" spans="1:5">
      <c r="A162" t="s">
        <v>1175</v>
      </c>
      <c r="B162" t="s">
        <v>671</v>
      </c>
      <c r="C162" t="s">
        <v>1087</v>
      </c>
      <c r="D162">
        <v>24</v>
      </c>
      <c r="E162">
        <v>1</v>
      </c>
    </row>
    <row r="163" spans="1:5">
      <c r="A163" t="s">
        <v>1176</v>
      </c>
      <c r="B163" t="s">
        <v>187</v>
      </c>
      <c r="C163" t="s">
        <v>1122</v>
      </c>
      <c r="D163">
        <v>72</v>
      </c>
      <c r="E163">
        <v>1</v>
      </c>
    </row>
    <row r="164" spans="1:5">
      <c r="A164" t="s">
        <v>1177</v>
      </c>
      <c r="B164" t="s">
        <v>736</v>
      </c>
      <c r="C164" t="s">
        <v>1080</v>
      </c>
      <c r="D164">
        <v>18</v>
      </c>
      <c r="E164">
        <v>1</v>
      </c>
    </row>
    <row r="165" spans="1:5">
      <c r="A165" t="s">
        <v>1177</v>
      </c>
      <c r="B165" t="s">
        <v>736</v>
      </c>
      <c r="C165" t="s">
        <v>1081</v>
      </c>
      <c r="D165">
        <v>18</v>
      </c>
      <c r="E165">
        <v>2</v>
      </c>
    </row>
    <row r="166" spans="1:5">
      <c r="A166" t="s">
        <v>1178</v>
      </c>
      <c r="B166" t="s">
        <v>736</v>
      </c>
      <c r="C166" t="s">
        <v>1082</v>
      </c>
      <c r="D166">
        <v>18</v>
      </c>
      <c r="E166">
        <v>3</v>
      </c>
    </row>
    <row r="167" spans="1:5">
      <c r="A167" t="s">
        <v>1179</v>
      </c>
      <c r="B167" t="s">
        <v>735</v>
      </c>
      <c r="C167" t="s">
        <v>1089</v>
      </c>
      <c r="D167">
        <v>6</v>
      </c>
      <c r="E167">
        <v>1</v>
      </c>
    </row>
    <row r="168" spans="1:5">
      <c r="A168" t="s">
        <v>1179</v>
      </c>
      <c r="B168" t="s">
        <v>735</v>
      </c>
      <c r="C168" t="s">
        <v>1146</v>
      </c>
      <c r="D168">
        <v>12</v>
      </c>
      <c r="E168">
        <v>1</v>
      </c>
    </row>
    <row r="169" spans="1:5">
      <c r="A169" t="s">
        <v>1180</v>
      </c>
      <c r="B169" t="s">
        <v>735</v>
      </c>
      <c r="C169" t="s">
        <v>399</v>
      </c>
      <c r="D169">
        <v>6</v>
      </c>
      <c r="E169">
        <v>1</v>
      </c>
    </row>
    <row r="170" spans="1:5">
      <c r="A170" t="s">
        <v>1238</v>
      </c>
      <c r="B170" t="s">
        <v>671</v>
      </c>
      <c r="C170" t="s">
        <v>415</v>
      </c>
      <c r="D170">
        <v>24</v>
      </c>
      <c r="E170">
        <v>1</v>
      </c>
    </row>
    <row r="171" spans="1:5">
      <c r="A171" t="s">
        <v>1239</v>
      </c>
      <c r="B171" t="s">
        <v>1234</v>
      </c>
      <c r="C171" t="s">
        <v>484</v>
      </c>
      <c r="D171" t="s">
        <v>1235</v>
      </c>
      <c r="E171">
        <v>3</v>
      </c>
    </row>
    <row r="172" spans="1:5">
      <c r="A172" t="s">
        <v>1240</v>
      </c>
      <c r="B172" t="s">
        <v>1234</v>
      </c>
      <c r="C172" t="s">
        <v>482</v>
      </c>
      <c r="D172" t="s">
        <v>1235</v>
      </c>
      <c r="E172">
        <v>2</v>
      </c>
    </row>
    <row r="173" spans="1:5">
      <c r="A173" t="s">
        <v>1241</v>
      </c>
      <c r="B173" t="s">
        <v>671</v>
      </c>
      <c r="C173" t="s">
        <v>1225</v>
      </c>
      <c r="D173">
        <v>6</v>
      </c>
      <c r="E173">
        <v>1</v>
      </c>
    </row>
    <row r="174" spans="1:5">
      <c r="A174" t="s">
        <v>1242</v>
      </c>
      <c r="B174" t="s">
        <v>705</v>
      </c>
      <c r="C174">
        <v>101701006</v>
      </c>
      <c r="D174">
        <v>48</v>
      </c>
      <c r="E174">
        <v>1</v>
      </c>
    </row>
    <row r="175" spans="1:5">
      <c r="A175" t="s">
        <v>1243</v>
      </c>
      <c r="B175" t="s">
        <v>187</v>
      </c>
      <c r="C175">
        <v>191702001</v>
      </c>
      <c r="D175">
        <v>120</v>
      </c>
      <c r="E175">
        <v>1</v>
      </c>
    </row>
    <row r="176" spans="1:5">
      <c r="A176" t="s">
        <v>1243</v>
      </c>
      <c r="B176" t="s">
        <v>187</v>
      </c>
      <c r="C176">
        <v>191702003</v>
      </c>
      <c r="D176">
        <v>120</v>
      </c>
      <c r="E176">
        <v>2</v>
      </c>
    </row>
    <row r="177" spans="1:5">
      <c r="A177" t="s">
        <v>1244</v>
      </c>
      <c r="B177" t="s">
        <v>736</v>
      </c>
      <c r="C177" t="s">
        <v>1140</v>
      </c>
      <c r="D177">
        <v>24</v>
      </c>
      <c r="E177">
        <v>1</v>
      </c>
    </row>
    <row r="178" spans="1:5">
      <c r="A178" t="s">
        <v>1245</v>
      </c>
      <c r="B178" t="s">
        <v>736</v>
      </c>
      <c r="C178" t="s">
        <v>1142</v>
      </c>
      <c r="D178">
        <v>24</v>
      </c>
      <c r="E178">
        <v>1</v>
      </c>
    </row>
    <row r="179" spans="1:5">
      <c r="A179" t="s">
        <v>1246</v>
      </c>
      <c r="B179" t="s">
        <v>671</v>
      </c>
      <c r="C179" t="s">
        <v>1224</v>
      </c>
      <c r="D179">
        <v>12</v>
      </c>
      <c r="E179">
        <v>1</v>
      </c>
    </row>
    <row r="180" spans="1:5">
      <c r="A180" t="s">
        <v>1296</v>
      </c>
      <c r="B180" t="s">
        <v>705</v>
      </c>
      <c r="C180" t="s">
        <v>1283</v>
      </c>
      <c r="D180">
        <v>48</v>
      </c>
      <c r="E180">
        <v>1</v>
      </c>
    </row>
    <row r="181" spans="1:5">
      <c r="A181" t="s">
        <v>1297</v>
      </c>
      <c r="B181" t="s">
        <v>705</v>
      </c>
      <c r="C181">
        <v>171701001</v>
      </c>
      <c r="D181">
        <v>24</v>
      </c>
      <c r="E181">
        <v>1</v>
      </c>
    </row>
    <row r="182" spans="1:5">
      <c r="A182" t="s">
        <v>1298</v>
      </c>
      <c r="B182" t="s">
        <v>705</v>
      </c>
      <c r="C182">
        <v>171701000</v>
      </c>
      <c r="D182">
        <v>48</v>
      </c>
      <c r="E182">
        <v>1</v>
      </c>
    </row>
    <row r="183" spans="1:5">
      <c r="A183" t="s">
        <v>1299</v>
      </c>
      <c r="B183" t="s">
        <v>732</v>
      </c>
      <c r="C183" t="s">
        <v>1289</v>
      </c>
      <c r="D183">
        <v>48</v>
      </c>
      <c r="E183">
        <v>1</v>
      </c>
    </row>
    <row r="184" spans="1:5">
      <c r="A184" t="s">
        <v>1300</v>
      </c>
      <c r="B184" t="s">
        <v>732</v>
      </c>
      <c r="C184" t="s">
        <v>1146</v>
      </c>
      <c r="D184" t="s">
        <v>1146</v>
      </c>
      <c r="E184">
        <v>1</v>
      </c>
    </row>
    <row r="185" spans="1:5">
      <c r="A185" t="s">
        <v>1301</v>
      </c>
      <c r="B185" t="s">
        <v>1295</v>
      </c>
      <c r="C185" t="s">
        <v>1313</v>
      </c>
      <c r="D185">
        <v>12</v>
      </c>
      <c r="E185">
        <v>1</v>
      </c>
    </row>
    <row r="186" spans="1:5">
      <c r="A186" t="s">
        <v>1302</v>
      </c>
      <c r="B186" t="s">
        <v>187</v>
      </c>
      <c r="C186">
        <v>191701700</v>
      </c>
      <c r="D186">
        <v>48</v>
      </c>
      <c r="E186">
        <v>1</v>
      </c>
    </row>
    <row r="187" spans="1:5">
      <c r="A187" t="s">
        <v>1303</v>
      </c>
      <c r="B187" t="s">
        <v>187</v>
      </c>
      <c r="C187" t="s">
        <v>1276</v>
      </c>
      <c r="D187">
        <v>72</v>
      </c>
      <c r="E187">
        <v>1</v>
      </c>
    </row>
    <row r="188" spans="1:5">
      <c r="A188" t="s">
        <v>1304</v>
      </c>
      <c r="B188" t="s">
        <v>736</v>
      </c>
      <c r="C188" t="s">
        <v>1258</v>
      </c>
      <c r="D188">
        <v>24</v>
      </c>
      <c r="E188">
        <v>1</v>
      </c>
    </row>
    <row r="189" spans="1:5">
      <c r="A189" t="s">
        <v>1305</v>
      </c>
      <c r="B189" t="s">
        <v>732</v>
      </c>
      <c r="C189">
        <v>131702001</v>
      </c>
      <c r="D189">
        <v>120</v>
      </c>
      <c r="E189">
        <v>1</v>
      </c>
    </row>
    <row r="190" spans="1:5">
      <c r="A190" t="s">
        <v>1306</v>
      </c>
      <c r="B190" t="s">
        <v>732</v>
      </c>
      <c r="C190">
        <v>131703001</v>
      </c>
      <c r="D190">
        <v>120</v>
      </c>
      <c r="E190">
        <v>1</v>
      </c>
    </row>
    <row r="191" spans="1:5">
      <c r="A191" t="s">
        <v>1307</v>
      </c>
      <c r="B191" t="s">
        <v>671</v>
      </c>
      <c r="C191" t="s">
        <v>1290</v>
      </c>
      <c r="D191">
        <v>24</v>
      </c>
      <c r="E191">
        <v>1</v>
      </c>
    </row>
    <row r="192" spans="1:5">
      <c r="A192" t="s">
        <v>1308</v>
      </c>
      <c r="B192" t="s">
        <v>671</v>
      </c>
      <c r="C192" t="s">
        <v>1291</v>
      </c>
      <c r="D192">
        <v>24</v>
      </c>
      <c r="E192">
        <v>1</v>
      </c>
    </row>
    <row r="193" spans="1:5">
      <c r="A193" t="s">
        <v>1309</v>
      </c>
      <c r="B193">
        <v>0</v>
      </c>
      <c r="C193" t="s">
        <v>1146</v>
      </c>
      <c r="D193" t="s">
        <v>1146</v>
      </c>
    </row>
    <row r="194" spans="1:5">
      <c r="A194" t="s">
        <v>1312</v>
      </c>
      <c r="B194" t="s">
        <v>705</v>
      </c>
      <c r="C194" t="s">
        <v>1310</v>
      </c>
      <c r="D194">
        <v>48</v>
      </c>
    </row>
    <row r="195" spans="1:5">
      <c r="A195" t="s">
        <v>1336</v>
      </c>
      <c r="B195" t="s">
        <v>733</v>
      </c>
      <c r="C195">
        <v>101701008</v>
      </c>
      <c r="D195">
        <v>96</v>
      </c>
      <c r="E195">
        <v>1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3788-73D9-44DC-993A-5237164DC59A}">
  <sheetPr>
    <tabColor rgb="FFFFFF00"/>
  </sheetPr>
  <dimension ref="A1:F193"/>
  <sheetViews>
    <sheetView workbookViewId="0">
      <selection activeCell="C14" sqref="C14"/>
    </sheetView>
  </sheetViews>
  <sheetFormatPr defaultRowHeight="15"/>
  <cols>
    <col min="1" max="1" width="18.5703125" bestFit="1" customWidth="1"/>
    <col min="2" max="2" width="12" bestFit="1" customWidth="1"/>
    <col min="3" max="3" width="18" bestFit="1" customWidth="1"/>
    <col min="4" max="4" width="9.85546875" bestFit="1" customWidth="1"/>
    <col min="5" max="5" width="22.42578125" bestFit="1" customWidth="1"/>
    <col min="6" max="6" width="16.5703125" bestFit="1" customWidth="1"/>
  </cols>
  <sheetData>
    <row r="1" spans="1:6">
      <c r="A1" t="s">
        <v>150</v>
      </c>
      <c r="B1" t="s">
        <v>0</v>
      </c>
      <c r="C1" t="s">
        <v>12</v>
      </c>
      <c r="D1" t="s">
        <v>4</v>
      </c>
      <c r="E1" t="s">
        <v>151</v>
      </c>
      <c r="F1" t="s">
        <v>1237</v>
      </c>
    </row>
    <row r="2" spans="1:6">
      <c r="A2" t="s">
        <v>789</v>
      </c>
      <c r="B2" t="s">
        <v>384</v>
      </c>
      <c r="C2" t="s">
        <v>735</v>
      </c>
      <c r="D2">
        <v>6</v>
      </c>
      <c r="E2">
        <v>1</v>
      </c>
      <c r="F2" t="str">
        <f>Pvt_Map_1[[#This Row],[Kode Barang Win]]</f>
        <v>F4011100007010</v>
      </c>
    </row>
    <row r="3" spans="1:6">
      <c r="A3" t="s">
        <v>790</v>
      </c>
      <c r="B3" t="s">
        <v>407</v>
      </c>
      <c r="C3" t="s">
        <v>671</v>
      </c>
      <c r="D3">
        <v>24</v>
      </c>
      <c r="E3">
        <v>1</v>
      </c>
      <c r="F3" t="str">
        <f>Pvt_Map_1[[#This Row],[Kode Barang Win]]</f>
        <v>F4012101040010</v>
      </c>
    </row>
    <row r="4" spans="1:6">
      <c r="A4" t="s">
        <v>791</v>
      </c>
      <c r="B4" t="s">
        <v>409</v>
      </c>
      <c r="C4" t="s">
        <v>671</v>
      </c>
      <c r="D4">
        <v>24</v>
      </c>
      <c r="E4">
        <v>1</v>
      </c>
      <c r="F4" t="str">
        <f>Pvt_Map_1[[#This Row],[Kode Barang Win]]</f>
        <v>F4012102040010</v>
      </c>
    </row>
    <row r="5" spans="1:6">
      <c r="A5" t="s">
        <v>792</v>
      </c>
      <c r="B5" t="s">
        <v>408</v>
      </c>
      <c r="C5" t="s">
        <v>730</v>
      </c>
      <c r="D5">
        <v>24</v>
      </c>
      <c r="E5">
        <v>1</v>
      </c>
      <c r="F5" t="str">
        <f>Pvt_Map_1[[#This Row],[Kode Barang Win]]</f>
        <v>F4012001048020</v>
      </c>
    </row>
    <row r="6" spans="1:6">
      <c r="A6" t="s">
        <v>793</v>
      </c>
      <c r="B6" t="s">
        <v>410</v>
      </c>
      <c r="C6" t="s">
        <v>730</v>
      </c>
      <c r="D6">
        <v>24</v>
      </c>
      <c r="E6">
        <v>1</v>
      </c>
      <c r="F6" t="str">
        <f>Pvt_Map_1[[#This Row],[Kode Barang Win]]</f>
        <v>F4012002048020</v>
      </c>
    </row>
    <row r="7" spans="1:6">
      <c r="A7" t="s">
        <v>794</v>
      </c>
      <c r="B7" t="s">
        <v>386</v>
      </c>
      <c r="C7" t="s">
        <v>187</v>
      </c>
      <c r="D7">
        <v>72</v>
      </c>
      <c r="E7">
        <v>1</v>
      </c>
      <c r="F7" t="str">
        <f>Pvt_Map_1[[#This Row],[Kode Barang Win]]</f>
        <v>F4013001007010</v>
      </c>
    </row>
    <row r="8" spans="1:6">
      <c r="A8" t="s">
        <v>795</v>
      </c>
      <c r="B8" t="s">
        <v>385</v>
      </c>
      <c r="C8" t="s">
        <v>187</v>
      </c>
      <c r="D8">
        <v>72</v>
      </c>
      <c r="E8">
        <v>1</v>
      </c>
      <c r="F8" t="str">
        <f>Pvt_Map_1[[#This Row],[Kode Barang Win]]</f>
        <v>F4013002007010</v>
      </c>
    </row>
    <row r="9" spans="1:6">
      <c r="A9" t="s">
        <v>796</v>
      </c>
      <c r="B9" t="s">
        <v>503</v>
      </c>
      <c r="C9" t="s">
        <v>187</v>
      </c>
      <c r="D9">
        <v>72</v>
      </c>
      <c r="E9">
        <v>1</v>
      </c>
      <c r="F9" t="str">
        <f>Pvt_Map_1[[#This Row],[Kode Barang Win]]</f>
        <v>F4021001010010</v>
      </c>
    </row>
    <row r="10" spans="1:6">
      <c r="A10" t="s">
        <v>797</v>
      </c>
      <c r="B10" t="s">
        <v>415</v>
      </c>
      <c r="C10" t="s">
        <v>730</v>
      </c>
      <c r="D10">
        <v>24</v>
      </c>
      <c r="E10">
        <v>1</v>
      </c>
      <c r="F10" t="str">
        <f>Pvt_Map_1[[#This Row],[Kode Barang Win]]</f>
        <v>F4031101040010</v>
      </c>
    </row>
    <row r="11" spans="1:6">
      <c r="A11" t="s">
        <v>798</v>
      </c>
      <c r="B11" t="s">
        <v>413</v>
      </c>
      <c r="C11" t="s">
        <v>671</v>
      </c>
      <c r="D11">
        <v>24</v>
      </c>
      <c r="E11">
        <v>1</v>
      </c>
      <c r="F11" t="str">
        <f>Pvt_Map_1[[#This Row],[Kode Barang Win]]</f>
        <v>F4031102040020</v>
      </c>
    </row>
    <row r="12" spans="1:6">
      <c r="A12" t="s">
        <v>799</v>
      </c>
      <c r="B12" t="s">
        <v>411</v>
      </c>
      <c r="C12" t="s">
        <v>671</v>
      </c>
      <c r="D12">
        <v>24</v>
      </c>
      <c r="E12">
        <v>1</v>
      </c>
      <c r="F12" t="str">
        <f>Pvt_Map_1[[#This Row],[Kode Barang Win]]</f>
        <v>F4031103040020</v>
      </c>
    </row>
    <row r="13" spans="1:6">
      <c r="A13" t="s">
        <v>800</v>
      </c>
      <c r="B13" t="s">
        <v>416</v>
      </c>
      <c r="C13" t="s">
        <v>705</v>
      </c>
      <c r="D13">
        <v>24</v>
      </c>
      <c r="E13">
        <v>1</v>
      </c>
      <c r="F13" t="str">
        <f>Pvt_Map_1[[#This Row],[Kode Barang Win]]</f>
        <v>F4031001048030</v>
      </c>
    </row>
    <row r="14" spans="1:6">
      <c r="A14" t="s">
        <v>801</v>
      </c>
      <c r="B14" t="s">
        <v>414</v>
      </c>
      <c r="C14" t="s">
        <v>705</v>
      </c>
      <c r="D14">
        <v>24</v>
      </c>
      <c r="E14">
        <v>1</v>
      </c>
      <c r="F14" t="str">
        <f>Pvt_Map_1[[#This Row],[Kode Barang Win]]</f>
        <v>F4031002048030</v>
      </c>
    </row>
    <row r="15" spans="1:6">
      <c r="A15" t="s">
        <v>802</v>
      </c>
      <c r="B15" t="s">
        <v>412</v>
      </c>
      <c r="C15" t="s">
        <v>730</v>
      </c>
      <c r="D15">
        <v>24</v>
      </c>
      <c r="E15">
        <v>1</v>
      </c>
      <c r="F15" t="str">
        <f>Pvt_Map_1[[#This Row],[Kode Barang Win]]</f>
        <v>F4031003048010</v>
      </c>
    </row>
    <row r="16" spans="1:6">
      <c r="A16" t="s">
        <v>803</v>
      </c>
      <c r="B16" t="s">
        <v>392</v>
      </c>
      <c r="C16" t="s">
        <v>736</v>
      </c>
      <c r="D16">
        <v>24</v>
      </c>
      <c r="E16">
        <v>1</v>
      </c>
      <c r="F16" t="str">
        <f>Pvt_Map_1[[#This Row],[Kode Barang Win]]</f>
        <v>F4032001007510</v>
      </c>
    </row>
    <row r="17" spans="1:6">
      <c r="A17" t="s">
        <v>804</v>
      </c>
      <c r="B17" t="s">
        <v>388</v>
      </c>
      <c r="C17" t="s">
        <v>187</v>
      </c>
      <c r="D17">
        <v>72</v>
      </c>
      <c r="E17">
        <v>1</v>
      </c>
      <c r="F17" t="str">
        <f>Pvt_Map_1[[#This Row],[Kode Barang Win]]</f>
        <v>F4032001007520</v>
      </c>
    </row>
    <row r="18" spans="1:6">
      <c r="A18" t="s">
        <v>805</v>
      </c>
      <c r="B18" t="s">
        <v>391</v>
      </c>
      <c r="C18" t="s">
        <v>736</v>
      </c>
      <c r="D18">
        <v>24</v>
      </c>
      <c r="E18">
        <v>1</v>
      </c>
      <c r="F18" t="str">
        <f>Pvt_Map_1[[#This Row],[Kode Barang Win]]</f>
        <v>F4032002007510</v>
      </c>
    </row>
    <row r="19" spans="1:6">
      <c r="A19" t="s">
        <v>806</v>
      </c>
      <c r="B19" t="s">
        <v>389</v>
      </c>
      <c r="C19" t="s">
        <v>187</v>
      </c>
      <c r="D19">
        <v>72</v>
      </c>
      <c r="E19">
        <v>1</v>
      </c>
      <c r="F19" t="str">
        <f>Pvt_Map_1[[#This Row],[Kode Barang Win]]</f>
        <v>F4032002007520</v>
      </c>
    </row>
    <row r="20" spans="1:6">
      <c r="A20" t="s">
        <v>807</v>
      </c>
      <c r="B20" t="s">
        <v>390</v>
      </c>
      <c r="C20" t="s">
        <v>736</v>
      </c>
      <c r="D20">
        <v>24</v>
      </c>
      <c r="E20">
        <v>1</v>
      </c>
      <c r="F20" t="str">
        <f>Pvt_Map_1[[#This Row],[Kode Barang Win]]</f>
        <v>F4032003007510</v>
      </c>
    </row>
    <row r="21" spans="1:6">
      <c r="A21" t="s">
        <v>808</v>
      </c>
      <c r="B21" t="s">
        <v>387</v>
      </c>
      <c r="C21" t="s">
        <v>187</v>
      </c>
      <c r="D21">
        <v>72</v>
      </c>
      <c r="E21">
        <v>1</v>
      </c>
      <c r="F21" t="str">
        <f>Pvt_Map_1[[#This Row],[Kode Barang Win]]</f>
        <v>F4032003007520</v>
      </c>
    </row>
    <row r="22" spans="1:6">
      <c r="A22" t="s">
        <v>809</v>
      </c>
      <c r="B22" t="s">
        <v>486</v>
      </c>
      <c r="C22" t="s">
        <v>705</v>
      </c>
      <c r="D22">
        <v>48</v>
      </c>
      <c r="E22">
        <v>1</v>
      </c>
      <c r="F22" t="str">
        <f>Pvt_Map_1[[#This Row],[Kode Barang Win]]</f>
        <v>F4041001020010</v>
      </c>
    </row>
    <row r="23" spans="1:6">
      <c r="A23" t="s">
        <v>810</v>
      </c>
      <c r="B23" t="s">
        <v>485</v>
      </c>
      <c r="C23" t="s">
        <v>705</v>
      </c>
      <c r="D23">
        <v>48</v>
      </c>
      <c r="E23">
        <v>1</v>
      </c>
      <c r="F23" t="str">
        <f>Pvt_Map_1[[#This Row],[Kode Barang Win]]</f>
        <v>F4041002020010</v>
      </c>
    </row>
    <row r="24" spans="1:6">
      <c r="A24" t="s">
        <v>811</v>
      </c>
      <c r="B24" t="s">
        <v>484</v>
      </c>
      <c r="C24" t="s">
        <v>737</v>
      </c>
      <c r="D24">
        <v>48</v>
      </c>
      <c r="E24">
        <v>2</v>
      </c>
      <c r="F24" t="str">
        <f>Pvt_Map_1[[#This Row],[Kode Barang Win]]</f>
        <v>F4041002000920</v>
      </c>
    </row>
    <row r="25" spans="1:6">
      <c r="A25" t="s">
        <v>811</v>
      </c>
      <c r="B25" t="s">
        <v>1090</v>
      </c>
      <c r="C25" t="s">
        <v>737</v>
      </c>
      <c r="D25">
        <v>48</v>
      </c>
      <c r="E25">
        <v>1</v>
      </c>
      <c r="F25" t="str">
        <f>Pvt_Map_1[[#This Row],[Kode Barang Win]]</f>
        <v>F4041002000920</v>
      </c>
    </row>
    <row r="26" spans="1:6">
      <c r="A26" t="s">
        <v>812</v>
      </c>
      <c r="B26" t="s">
        <v>483</v>
      </c>
      <c r="C26" t="s">
        <v>731</v>
      </c>
      <c r="D26">
        <v>48</v>
      </c>
      <c r="E26">
        <v>1</v>
      </c>
      <c r="F26" t="str">
        <f>Pvt_Map_1[[#This Row],[Kode Barang Win]]</f>
        <v>F4041003020010</v>
      </c>
    </row>
    <row r="27" spans="1:6">
      <c r="A27" t="s">
        <v>813</v>
      </c>
      <c r="B27" t="s">
        <v>482</v>
      </c>
      <c r="C27" t="s">
        <v>737</v>
      </c>
      <c r="D27">
        <v>48</v>
      </c>
      <c r="E27">
        <v>1</v>
      </c>
      <c r="F27" t="str">
        <f>Pvt_Map_1[[#This Row],[Kode Barang Win]]</f>
        <v>F4041003000920</v>
      </c>
    </row>
    <row r="28" spans="1:6">
      <c r="A28" t="s">
        <v>814</v>
      </c>
      <c r="B28" t="s">
        <v>469</v>
      </c>
      <c r="C28" t="s">
        <v>732</v>
      </c>
      <c r="D28">
        <v>24</v>
      </c>
      <c r="E28">
        <v>1</v>
      </c>
      <c r="F28" t="str">
        <f>Pvt_Map_1[[#This Row],[Kode Barang Win]]</f>
        <v>F4051001036011</v>
      </c>
    </row>
    <row r="29" spans="1:6">
      <c r="A29" t="s">
        <v>815</v>
      </c>
      <c r="B29" t="s">
        <v>417</v>
      </c>
      <c r="C29" t="s">
        <v>732</v>
      </c>
      <c r="D29">
        <v>48</v>
      </c>
      <c r="E29">
        <v>1</v>
      </c>
      <c r="F29" t="str">
        <f>Pvt_Map_1[[#This Row],[Kode Barang Win]]</f>
        <v>F4052001018010</v>
      </c>
    </row>
    <row r="30" spans="1:6">
      <c r="A30" t="s">
        <v>816</v>
      </c>
      <c r="B30" t="s">
        <v>421</v>
      </c>
      <c r="C30" t="s">
        <v>732</v>
      </c>
      <c r="D30">
        <v>48</v>
      </c>
      <c r="E30">
        <v>1</v>
      </c>
      <c r="F30" t="str">
        <f>Pvt_Map_1[[#This Row],[Kode Barang Win]]</f>
        <v>F4052001007010</v>
      </c>
    </row>
    <row r="31" spans="1:6">
      <c r="A31" t="s">
        <v>817</v>
      </c>
      <c r="B31" t="s">
        <v>420</v>
      </c>
      <c r="C31" t="s">
        <v>732</v>
      </c>
      <c r="D31">
        <v>48</v>
      </c>
      <c r="E31">
        <v>1</v>
      </c>
      <c r="F31" t="str">
        <f>Pvt_Map_1[[#This Row],[Kode Barang Win]]</f>
        <v>F4052002018010</v>
      </c>
    </row>
    <row r="32" spans="1:6">
      <c r="A32" t="s">
        <v>818</v>
      </c>
      <c r="B32" t="s">
        <v>424</v>
      </c>
      <c r="C32" t="s">
        <v>732</v>
      </c>
      <c r="D32">
        <v>48</v>
      </c>
      <c r="E32">
        <v>1</v>
      </c>
      <c r="F32" t="str">
        <f>Pvt_Map_1[[#This Row],[Kode Barang Win]]</f>
        <v>F4052002007010</v>
      </c>
    </row>
    <row r="33" spans="1:6">
      <c r="A33" t="s">
        <v>819</v>
      </c>
      <c r="B33" t="s">
        <v>418</v>
      </c>
      <c r="C33" t="s">
        <v>732</v>
      </c>
      <c r="D33">
        <v>48</v>
      </c>
      <c r="E33">
        <v>1</v>
      </c>
      <c r="F33" t="str">
        <f>Pvt_Map_1[[#This Row],[Kode Barang Win]]</f>
        <v>F4052003018010</v>
      </c>
    </row>
    <row r="34" spans="1:6">
      <c r="A34" t="s">
        <v>820</v>
      </c>
      <c r="B34" t="s">
        <v>422</v>
      </c>
      <c r="C34" t="s">
        <v>732</v>
      </c>
      <c r="D34">
        <v>48</v>
      </c>
      <c r="E34">
        <v>1</v>
      </c>
      <c r="F34" t="str">
        <f>Pvt_Map_1[[#This Row],[Kode Barang Win]]</f>
        <v>F4052003007010</v>
      </c>
    </row>
    <row r="35" spans="1:6">
      <c r="A35" t="s">
        <v>821</v>
      </c>
      <c r="B35" t="s">
        <v>419</v>
      </c>
      <c r="C35" t="s">
        <v>732</v>
      </c>
      <c r="D35">
        <v>48</v>
      </c>
      <c r="E35">
        <v>1</v>
      </c>
      <c r="F35" t="str">
        <f>Pvt_Map_1[[#This Row],[Kode Barang Win]]</f>
        <v>F4052004018010</v>
      </c>
    </row>
    <row r="36" spans="1:6">
      <c r="A36" t="s">
        <v>822</v>
      </c>
      <c r="B36" t="s">
        <v>423</v>
      </c>
      <c r="C36" t="s">
        <v>732</v>
      </c>
      <c r="D36">
        <v>48</v>
      </c>
      <c r="E36">
        <v>1</v>
      </c>
      <c r="F36" t="str">
        <f>Pvt_Map_1[[#This Row],[Kode Barang Win]]</f>
        <v>F4052004007010</v>
      </c>
    </row>
    <row r="37" spans="1:6">
      <c r="A37" t="s">
        <v>823</v>
      </c>
      <c r="B37" t="s">
        <v>431</v>
      </c>
      <c r="C37" t="s">
        <v>671</v>
      </c>
      <c r="D37">
        <v>24</v>
      </c>
      <c r="E37">
        <v>1</v>
      </c>
      <c r="F37" t="str">
        <f>Pvt_Map_1[[#This Row],[Kode Barang Win]]</f>
        <v>F4061101038010</v>
      </c>
    </row>
    <row r="38" spans="1:6">
      <c r="A38" t="s">
        <v>824</v>
      </c>
      <c r="B38" t="s">
        <v>450</v>
      </c>
      <c r="C38" t="s">
        <v>671</v>
      </c>
      <c r="D38">
        <v>24</v>
      </c>
      <c r="E38">
        <v>1</v>
      </c>
      <c r="F38" t="str">
        <f>Pvt_Map_1[[#This Row],[Kode Barang Win]]</f>
        <v>F4061102038010</v>
      </c>
    </row>
    <row r="39" spans="1:6">
      <c r="A39" t="s">
        <v>825</v>
      </c>
      <c r="B39" t="s">
        <v>437</v>
      </c>
      <c r="C39" t="s">
        <v>671</v>
      </c>
      <c r="D39">
        <v>24</v>
      </c>
      <c r="E39">
        <v>1</v>
      </c>
      <c r="F39" t="str">
        <f>Pvt_Map_1[[#This Row],[Kode Barang Win]]</f>
        <v>F4061103038010</v>
      </c>
    </row>
    <row r="40" spans="1:6">
      <c r="A40" t="s">
        <v>826</v>
      </c>
      <c r="B40" t="s">
        <v>436</v>
      </c>
      <c r="C40" t="s">
        <v>671</v>
      </c>
      <c r="D40">
        <v>12</v>
      </c>
      <c r="E40">
        <v>1</v>
      </c>
      <c r="F40" t="str">
        <f>Pvt_Map_1[[#This Row],[Kode Barang Win]]</f>
        <v>F4061103072510</v>
      </c>
    </row>
    <row r="41" spans="1:6">
      <c r="A41" t="s">
        <v>827</v>
      </c>
      <c r="B41" t="s">
        <v>435</v>
      </c>
      <c r="C41" t="s">
        <v>734</v>
      </c>
      <c r="D41">
        <v>48</v>
      </c>
      <c r="E41">
        <v>1</v>
      </c>
      <c r="F41" t="str">
        <f>Pvt_Map_1[[#This Row],[Kode Barang Win]]</f>
        <v>F4061103008510</v>
      </c>
    </row>
    <row r="42" spans="1:6">
      <c r="A42" t="s">
        <v>828</v>
      </c>
      <c r="B42" t="s">
        <v>427</v>
      </c>
      <c r="C42" t="s">
        <v>671</v>
      </c>
      <c r="D42">
        <v>24</v>
      </c>
      <c r="E42">
        <v>1</v>
      </c>
      <c r="F42" t="str">
        <f>Pvt_Map_1[[#This Row],[Kode Barang Win]]</f>
        <v>F4061104038010</v>
      </c>
    </row>
    <row r="43" spans="1:6">
      <c r="A43" t="s">
        <v>829</v>
      </c>
      <c r="B43" t="s">
        <v>426</v>
      </c>
      <c r="C43" t="s">
        <v>671</v>
      </c>
      <c r="D43">
        <v>12</v>
      </c>
      <c r="E43">
        <v>1</v>
      </c>
      <c r="F43" t="str">
        <f>Pvt_Map_1[[#This Row],[Kode Barang Win]]</f>
        <v>F4061104072510</v>
      </c>
    </row>
    <row r="44" spans="1:6">
      <c r="A44" t="s">
        <v>830</v>
      </c>
      <c r="B44" t="s">
        <v>425</v>
      </c>
      <c r="C44" t="s">
        <v>734</v>
      </c>
      <c r="D44">
        <v>48</v>
      </c>
      <c r="E44">
        <v>1</v>
      </c>
      <c r="F44" t="str">
        <f>Pvt_Map_1[[#This Row],[Kode Barang Win]]</f>
        <v>F4061109008510</v>
      </c>
    </row>
    <row r="45" spans="1:6">
      <c r="A45" t="s">
        <v>831</v>
      </c>
      <c r="B45" t="s">
        <v>441</v>
      </c>
      <c r="C45" t="s">
        <v>671</v>
      </c>
      <c r="D45">
        <v>24</v>
      </c>
      <c r="E45">
        <v>1</v>
      </c>
      <c r="F45" t="str">
        <f>Pvt_Map_1[[#This Row],[Kode Barang Win]]</f>
        <v>F4061110038010</v>
      </c>
    </row>
    <row r="46" spans="1:6">
      <c r="A46" t="s">
        <v>832</v>
      </c>
      <c r="B46" t="s">
        <v>446</v>
      </c>
      <c r="C46" t="s">
        <v>671</v>
      </c>
      <c r="D46">
        <v>24</v>
      </c>
      <c r="E46">
        <v>1</v>
      </c>
      <c r="F46" t="str">
        <f>Pvt_Map_1[[#This Row],[Kode Barang Win]]</f>
        <v>F4061111038010</v>
      </c>
    </row>
    <row r="47" spans="1:6">
      <c r="A47" t="s">
        <v>833</v>
      </c>
      <c r="B47" t="s">
        <v>445</v>
      </c>
      <c r="C47" t="s">
        <v>671</v>
      </c>
      <c r="D47">
        <v>12</v>
      </c>
      <c r="E47">
        <v>1</v>
      </c>
      <c r="F47" t="str">
        <f>Pvt_Map_1[[#This Row],[Kode Barang Win]]</f>
        <v>F4061111072510</v>
      </c>
    </row>
    <row r="48" spans="1:6">
      <c r="A48" t="s">
        <v>834</v>
      </c>
      <c r="B48" t="s">
        <v>489</v>
      </c>
      <c r="C48" t="s">
        <v>705</v>
      </c>
      <c r="D48">
        <v>48</v>
      </c>
      <c r="E48">
        <v>1</v>
      </c>
      <c r="F48" t="str">
        <f>Pvt_Map_1[[#This Row],[Kode Barang Win]]</f>
        <v>F4062001010010</v>
      </c>
    </row>
    <row r="49" spans="1:6">
      <c r="A49" t="s">
        <v>835</v>
      </c>
      <c r="B49" t="s">
        <v>490</v>
      </c>
      <c r="C49" t="s">
        <v>705</v>
      </c>
      <c r="D49">
        <v>48</v>
      </c>
      <c r="E49">
        <v>1</v>
      </c>
      <c r="F49" t="str">
        <f>Pvt_Map_1[[#This Row],[Kode Barang Win]]</f>
        <v>F4062001021010</v>
      </c>
    </row>
    <row r="50" spans="1:6">
      <c r="A50" t="s">
        <v>836</v>
      </c>
      <c r="B50" t="s">
        <v>491</v>
      </c>
      <c r="C50" t="s">
        <v>705</v>
      </c>
      <c r="D50">
        <v>48</v>
      </c>
      <c r="E50">
        <v>1</v>
      </c>
      <c r="F50" t="str">
        <f>Pvt_Map_1[[#This Row],[Kode Barang Win]]</f>
        <v>F4062002010010</v>
      </c>
    </row>
    <row r="51" spans="1:6">
      <c r="A51" t="s">
        <v>837</v>
      </c>
      <c r="B51" t="s">
        <v>492</v>
      </c>
      <c r="C51" t="s">
        <v>705</v>
      </c>
      <c r="D51">
        <v>48</v>
      </c>
      <c r="E51">
        <v>1</v>
      </c>
      <c r="F51" t="str">
        <f>Pvt_Map_1[[#This Row],[Kode Barang Win]]</f>
        <v>F4062002021010</v>
      </c>
    </row>
    <row r="52" spans="1:6">
      <c r="A52" t="s">
        <v>838</v>
      </c>
      <c r="B52" t="s">
        <v>487</v>
      </c>
      <c r="C52" t="s">
        <v>705</v>
      </c>
      <c r="D52">
        <v>48</v>
      </c>
      <c r="E52">
        <v>1</v>
      </c>
      <c r="F52" t="str">
        <f>Pvt_Map_1[[#This Row],[Kode Barang Win]]</f>
        <v>F4062003010010</v>
      </c>
    </row>
    <row r="53" spans="1:6">
      <c r="A53" t="s">
        <v>839</v>
      </c>
      <c r="B53" t="s">
        <v>488</v>
      </c>
      <c r="C53" t="s">
        <v>705</v>
      </c>
      <c r="D53">
        <v>48</v>
      </c>
      <c r="E53">
        <v>1</v>
      </c>
      <c r="F53" t="str">
        <f>Pvt_Map_1[[#This Row],[Kode Barang Win]]</f>
        <v>F4062003021010</v>
      </c>
    </row>
    <row r="54" spans="1:6">
      <c r="A54" t="s">
        <v>840</v>
      </c>
      <c r="B54" t="s">
        <v>493</v>
      </c>
      <c r="C54" t="s">
        <v>705</v>
      </c>
      <c r="D54">
        <v>48</v>
      </c>
      <c r="E54">
        <v>1</v>
      </c>
      <c r="F54" t="str">
        <f>Pvt_Map_1[[#This Row],[Kode Barang Win]]</f>
        <v>F4062004010010</v>
      </c>
    </row>
    <row r="55" spans="1:6">
      <c r="A55" t="s">
        <v>841</v>
      </c>
      <c r="B55" t="s">
        <v>494</v>
      </c>
      <c r="C55" t="s">
        <v>705</v>
      </c>
      <c r="D55">
        <v>48</v>
      </c>
      <c r="E55">
        <v>1</v>
      </c>
      <c r="F55" t="str">
        <f>Pvt_Map_1[[#This Row],[Kode Barang Win]]</f>
        <v>F4062004021010</v>
      </c>
    </row>
    <row r="56" spans="1:6">
      <c r="A56" t="s">
        <v>842</v>
      </c>
      <c r="B56" t="s">
        <v>472</v>
      </c>
      <c r="C56" t="s">
        <v>733</v>
      </c>
      <c r="D56">
        <v>48</v>
      </c>
      <c r="E56">
        <v>1</v>
      </c>
      <c r="F56" t="str">
        <f>Pvt_Map_1[[#This Row],[Kode Barang Win]]</f>
        <v>F4063001011010</v>
      </c>
    </row>
    <row r="57" spans="1:6">
      <c r="A57" t="s">
        <v>843</v>
      </c>
      <c r="B57" t="s">
        <v>473</v>
      </c>
      <c r="C57" t="s">
        <v>733</v>
      </c>
      <c r="D57">
        <v>48</v>
      </c>
      <c r="E57">
        <v>1</v>
      </c>
      <c r="F57" t="str">
        <f>Pvt_Map_1[[#This Row],[Kode Barang Win]]</f>
        <v>F4063001020010</v>
      </c>
    </row>
    <row r="58" spans="1:6">
      <c r="A58" t="s">
        <v>844</v>
      </c>
      <c r="B58" t="s">
        <v>480</v>
      </c>
      <c r="C58" t="s">
        <v>733</v>
      </c>
      <c r="D58">
        <v>96</v>
      </c>
      <c r="E58">
        <v>1</v>
      </c>
      <c r="F58" t="str">
        <f>Pvt_Map_1[[#This Row],[Kode Barang Win]]</f>
        <v>F4063002011010</v>
      </c>
    </row>
    <row r="59" spans="1:6">
      <c r="A59" t="s">
        <v>845</v>
      </c>
      <c r="B59" t="s">
        <v>481</v>
      </c>
      <c r="C59" t="s">
        <v>733</v>
      </c>
      <c r="D59">
        <v>48</v>
      </c>
      <c r="E59">
        <v>1</v>
      </c>
      <c r="F59" t="str">
        <f>Pvt_Map_1[[#This Row],[Kode Barang Win]]</f>
        <v>F4063002020010</v>
      </c>
    </row>
    <row r="60" spans="1:6">
      <c r="A60" t="s">
        <v>846</v>
      </c>
      <c r="B60" t="s">
        <v>474</v>
      </c>
      <c r="C60" t="s">
        <v>733</v>
      </c>
      <c r="D60">
        <v>96</v>
      </c>
      <c r="E60">
        <v>1</v>
      </c>
      <c r="F60" t="str">
        <f>Pvt_Map_1[[#This Row],[Kode Barang Win]]</f>
        <v>F4063003011010</v>
      </c>
    </row>
    <row r="61" spans="1:6">
      <c r="A61" t="s">
        <v>847</v>
      </c>
      <c r="B61" t="s">
        <v>475</v>
      </c>
      <c r="C61" t="s">
        <v>733</v>
      </c>
      <c r="D61">
        <v>48</v>
      </c>
      <c r="E61">
        <v>1</v>
      </c>
      <c r="F61" t="str">
        <f>Pvt_Map_1[[#This Row],[Kode Barang Win]]</f>
        <v>F4063003020010</v>
      </c>
    </row>
    <row r="62" spans="1:6">
      <c r="A62" t="s">
        <v>848</v>
      </c>
      <c r="B62" t="s">
        <v>470</v>
      </c>
      <c r="C62" t="s">
        <v>733</v>
      </c>
      <c r="D62">
        <v>96</v>
      </c>
      <c r="E62">
        <v>1</v>
      </c>
      <c r="F62" t="str">
        <f>Pvt_Map_1[[#This Row],[Kode Barang Win]]</f>
        <v>F4063004011010</v>
      </c>
    </row>
    <row r="63" spans="1:6">
      <c r="A63" t="s">
        <v>849</v>
      </c>
      <c r="B63" t="s">
        <v>471</v>
      </c>
      <c r="C63" t="s">
        <v>733</v>
      </c>
      <c r="D63">
        <v>48</v>
      </c>
      <c r="E63">
        <v>1</v>
      </c>
      <c r="F63" t="str">
        <f>Pvt_Map_1[[#This Row],[Kode Barang Win]]</f>
        <v>F4063004020010</v>
      </c>
    </row>
    <row r="64" spans="1:6">
      <c r="A64" t="s">
        <v>850</v>
      </c>
      <c r="B64" t="s">
        <v>476</v>
      </c>
      <c r="C64" t="s">
        <v>733</v>
      </c>
      <c r="D64">
        <v>96</v>
      </c>
      <c r="E64">
        <v>1</v>
      </c>
      <c r="F64" t="str">
        <f>Pvt_Map_1[[#This Row],[Kode Barang Win]]</f>
        <v>F4063005011010</v>
      </c>
    </row>
    <row r="65" spans="1:6">
      <c r="A65" t="s">
        <v>851</v>
      </c>
      <c r="B65" t="s">
        <v>477</v>
      </c>
      <c r="C65" t="s">
        <v>733</v>
      </c>
      <c r="D65">
        <v>48</v>
      </c>
      <c r="E65">
        <v>1</v>
      </c>
      <c r="F65" t="str">
        <f>Pvt_Map_1[[#This Row],[Kode Barang Win]]</f>
        <v>F4063005020010</v>
      </c>
    </row>
    <row r="66" spans="1:6">
      <c r="A66" t="s">
        <v>852</v>
      </c>
      <c r="B66" t="s">
        <v>478</v>
      </c>
      <c r="C66" t="s">
        <v>733</v>
      </c>
      <c r="D66">
        <v>96</v>
      </c>
      <c r="E66">
        <v>1</v>
      </c>
      <c r="F66" t="str">
        <f>Pvt_Map_1[[#This Row],[Kode Barang Win]]</f>
        <v>F4063006011010</v>
      </c>
    </row>
    <row r="67" spans="1:6">
      <c r="A67" t="s">
        <v>853</v>
      </c>
      <c r="B67" t="s">
        <v>479</v>
      </c>
      <c r="C67" t="s">
        <v>733</v>
      </c>
      <c r="D67">
        <v>48</v>
      </c>
      <c r="E67">
        <v>1</v>
      </c>
      <c r="F67" t="str">
        <f>Pvt_Map_1[[#This Row],[Kode Barang Win]]</f>
        <v>F4063006020010</v>
      </c>
    </row>
    <row r="68" spans="1:6">
      <c r="A68" t="s">
        <v>854</v>
      </c>
      <c r="B68" t="s">
        <v>496</v>
      </c>
      <c r="C68" t="s">
        <v>732</v>
      </c>
      <c r="D68">
        <v>48</v>
      </c>
      <c r="E68">
        <v>1</v>
      </c>
      <c r="F68" t="str">
        <f>Pvt_Map_1[[#This Row],[Kode Barang Win]]</f>
        <v>F4064001013010</v>
      </c>
    </row>
    <row r="69" spans="1:6">
      <c r="A69" t="s">
        <v>855</v>
      </c>
      <c r="B69" t="s">
        <v>497</v>
      </c>
      <c r="C69" t="s">
        <v>732</v>
      </c>
      <c r="D69">
        <v>48</v>
      </c>
      <c r="E69">
        <v>1</v>
      </c>
      <c r="F69" t="str">
        <f>Pvt_Map_1[[#This Row],[Kode Barang Win]]</f>
        <v>F4064002013010</v>
      </c>
    </row>
    <row r="70" spans="1:6">
      <c r="A70" t="s">
        <v>856</v>
      </c>
      <c r="B70" t="s">
        <v>495</v>
      </c>
      <c r="C70" t="s">
        <v>732</v>
      </c>
      <c r="D70">
        <v>48</v>
      </c>
      <c r="E70">
        <v>1</v>
      </c>
      <c r="F70" t="str">
        <f>Pvt_Map_1[[#This Row],[Kode Barang Win]]</f>
        <v>F4064003013010</v>
      </c>
    </row>
    <row r="71" spans="1:6">
      <c r="A71" t="s">
        <v>857</v>
      </c>
      <c r="B71" t="s">
        <v>502</v>
      </c>
      <c r="C71" t="s">
        <v>732</v>
      </c>
      <c r="D71">
        <v>48</v>
      </c>
      <c r="E71">
        <v>1</v>
      </c>
      <c r="F71" t="str">
        <f>Pvt_Map_1[[#This Row],[Kode Barang Win]]</f>
        <v>F4065001008011</v>
      </c>
    </row>
    <row r="72" spans="1:6">
      <c r="A72" t="s">
        <v>858</v>
      </c>
      <c r="B72" t="s">
        <v>501</v>
      </c>
      <c r="C72" t="s">
        <v>732</v>
      </c>
      <c r="D72">
        <v>48</v>
      </c>
      <c r="E72">
        <v>1</v>
      </c>
      <c r="F72" t="str">
        <f>Pvt_Map_1[[#This Row],[Kode Barang Win]]</f>
        <v>F4065002008011</v>
      </c>
    </row>
    <row r="73" spans="1:6">
      <c r="A73" t="s">
        <v>858</v>
      </c>
      <c r="B73">
        <v>191703000</v>
      </c>
      <c r="C73" t="s">
        <v>732</v>
      </c>
      <c r="D73">
        <v>48</v>
      </c>
      <c r="E73">
        <v>1</v>
      </c>
      <c r="F73" t="str">
        <f>Pvt_Map_1[[#This Row],[Kode Barang Win]]</f>
        <v>F4065002008011</v>
      </c>
    </row>
    <row r="74" spans="1:6">
      <c r="A74" t="s">
        <v>859</v>
      </c>
      <c r="B74">
        <v>191702000</v>
      </c>
      <c r="C74" t="s">
        <v>732</v>
      </c>
      <c r="D74">
        <v>12</v>
      </c>
      <c r="E74">
        <v>1</v>
      </c>
      <c r="F74" t="str">
        <f>Pvt_Map_1[[#This Row],[Kode Barang Win]]</f>
        <v>F4065003002010</v>
      </c>
    </row>
    <row r="75" spans="1:6">
      <c r="A75" t="s">
        <v>860</v>
      </c>
      <c r="B75" t="s">
        <v>394</v>
      </c>
      <c r="C75" t="s">
        <v>187</v>
      </c>
      <c r="D75">
        <v>144</v>
      </c>
      <c r="E75">
        <v>1</v>
      </c>
      <c r="F75" t="str">
        <f>Pvt_Map_1[[#This Row],[Kode Barang Win]]</f>
        <v>F4066001008010</v>
      </c>
    </row>
    <row r="76" spans="1:6">
      <c r="A76" t="s">
        <v>861</v>
      </c>
      <c r="B76" t="s">
        <v>398</v>
      </c>
      <c r="C76" t="s">
        <v>187</v>
      </c>
      <c r="D76">
        <v>144</v>
      </c>
      <c r="E76">
        <v>1</v>
      </c>
      <c r="F76" t="str">
        <f>Pvt_Map_1[[#This Row],[Kode Barang Win]]</f>
        <v>F4066002008010</v>
      </c>
    </row>
    <row r="77" spans="1:6">
      <c r="A77" t="s">
        <v>862</v>
      </c>
      <c r="B77" t="s">
        <v>395</v>
      </c>
      <c r="C77" t="s">
        <v>187</v>
      </c>
      <c r="D77">
        <v>144</v>
      </c>
      <c r="E77">
        <v>1</v>
      </c>
      <c r="F77" t="str">
        <f>Pvt_Map_1[[#This Row],[Kode Barang Win]]</f>
        <v>F4066003008010</v>
      </c>
    </row>
    <row r="78" spans="1:6">
      <c r="A78" t="s">
        <v>863</v>
      </c>
      <c r="B78" t="s">
        <v>393</v>
      </c>
      <c r="C78" t="s">
        <v>187</v>
      </c>
      <c r="D78">
        <v>144</v>
      </c>
      <c r="E78">
        <v>1</v>
      </c>
      <c r="F78" t="str">
        <f>Pvt_Map_1[[#This Row],[Kode Barang Win]]</f>
        <v>F4066004008010</v>
      </c>
    </row>
    <row r="79" spans="1:6">
      <c r="A79" t="s">
        <v>864</v>
      </c>
      <c r="B79" t="s">
        <v>396</v>
      </c>
      <c r="C79" t="s">
        <v>187</v>
      </c>
      <c r="D79">
        <v>144</v>
      </c>
      <c r="E79">
        <v>1</v>
      </c>
      <c r="F79" t="str">
        <f>Pvt_Map_1[[#This Row],[Kode Barang Win]]</f>
        <v>F4066005008010</v>
      </c>
    </row>
    <row r="80" spans="1:6">
      <c r="A80" t="s">
        <v>865</v>
      </c>
      <c r="B80" t="s">
        <v>397</v>
      </c>
      <c r="C80" t="s">
        <v>187</v>
      </c>
      <c r="D80">
        <v>144</v>
      </c>
      <c r="E80">
        <v>1</v>
      </c>
      <c r="F80" t="str">
        <f>Pvt_Map_1[[#This Row],[Kode Barang Win]]</f>
        <v>F4066006008010</v>
      </c>
    </row>
    <row r="81" spans="1:6">
      <c r="A81" t="s">
        <v>866</v>
      </c>
      <c r="B81" t="s">
        <v>451</v>
      </c>
      <c r="C81" t="s">
        <v>671</v>
      </c>
      <c r="D81">
        <v>48</v>
      </c>
      <c r="E81">
        <v>1</v>
      </c>
      <c r="F81" t="str">
        <f>Pvt_Map_1[[#This Row],[Kode Barang Win]]</f>
        <v>F4067101018010</v>
      </c>
    </row>
    <row r="82" spans="1:6">
      <c r="A82" t="s">
        <v>867</v>
      </c>
      <c r="B82" t="s">
        <v>438</v>
      </c>
      <c r="C82" t="s">
        <v>671</v>
      </c>
      <c r="D82">
        <v>48</v>
      </c>
      <c r="E82">
        <v>1</v>
      </c>
      <c r="F82" t="str">
        <f>Pvt_Map_1[[#This Row],[Kode Barang Win]]</f>
        <v>F4067102018010</v>
      </c>
    </row>
    <row r="83" spans="1:6">
      <c r="A83" t="s">
        <v>868</v>
      </c>
      <c r="B83" t="s">
        <v>442</v>
      </c>
      <c r="C83" t="s">
        <v>671</v>
      </c>
      <c r="D83">
        <v>48</v>
      </c>
      <c r="E83">
        <v>1</v>
      </c>
      <c r="F83" t="str">
        <f>Pvt_Map_1[[#This Row],[Kode Barang Win]]</f>
        <v>F4067103018010</v>
      </c>
    </row>
    <row r="84" spans="1:6">
      <c r="A84" t="s">
        <v>869</v>
      </c>
      <c r="B84" t="s">
        <v>447</v>
      </c>
      <c r="C84" t="s">
        <v>671</v>
      </c>
      <c r="D84">
        <v>48</v>
      </c>
      <c r="E84">
        <v>1</v>
      </c>
      <c r="F84" t="str">
        <f>Pvt_Map_1[[#This Row],[Kode Barang Win]]</f>
        <v>F4067104018010</v>
      </c>
    </row>
    <row r="85" spans="1:6">
      <c r="A85" t="s">
        <v>870</v>
      </c>
      <c r="B85" t="s">
        <v>432</v>
      </c>
      <c r="C85" t="s">
        <v>671</v>
      </c>
      <c r="D85">
        <v>48</v>
      </c>
      <c r="E85">
        <v>1</v>
      </c>
      <c r="F85" t="str">
        <f>Pvt_Map_1[[#This Row],[Kode Barang Win]]</f>
        <v>F4067005018010</v>
      </c>
    </row>
    <row r="86" spans="1:6">
      <c r="A86" t="s">
        <v>871</v>
      </c>
      <c r="B86" t="s">
        <v>434</v>
      </c>
      <c r="C86" t="s">
        <v>730</v>
      </c>
      <c r="D86">
        <v>24</v>
      </c>
      <c r="E86">
        <v>1</v>
      </c>
      <c r="F86" t="str">
        <f>Pvt_Map_1[[#This Row],[Kode Barang Win]]</f>
        <v>F4067005048020</v>
      </c>
    </row>
    <row r="87" spans="1:6">
      <c r="A87" t="s">
        <v>872</v>
      </c>
      <c r="B87" t="s">
        <v>453</v>
      </c>
      <c r="C87" t="s">
        <v>730</v>
      </c>
      <c r="D87">
        <v>24</v>
      </c>
      <c r="E87">
        <v>1</v>
      </c>
      <c r="F87" t="str">
        <f>Pvt_Map_1[[#This Row],[Kode Barang Win]]</f>
        <v>F4067006048020</v>
      </c>
    </row>
    <row r="88" spans="1:6">
      <c r="A88" t="s">
        <v>873</v>
      </c>
      <c r="B88" t="s">
        <v>439</v>
      </c>
      <c r="C88" t="s">
        <v>705</v>
      </c>
      <c r="D88">
        <v>48</v>
      </c>
      <c r="E88">
        <v>1</v>
      </c>
      <c r="F88" t="str">
        <f>Pvt_Map_1[[#This Row],[Kode Barang Win]]</f>
        <v>F4067007022530</v>
      </c>
    </row>
    <row r="89" spans="1:6">
      <c r="A89" t="s">
        <v>874</v>
      </c>
      <c r="B89" t="s">
        <v>440</v>
      </c>
      <c r="C89" t="s">
        <v>705</v>
      </c>
      <c r="D89">
        <v>24</v>
      </c>
      <c r="E89">
        <v>1</v>
      </c>
      <c r="F89" t="str">
        <f>Pvt_Map_1[[#This Row],[Kode Barang Win]]</f>
        <v>F4067007048030</v>
      </c>
    </row>
    <row r="90" spans="1:6">
      <c r="A90" t="s">
        <v>875</v>
      </c>
      <c r="B90" t="s">
        <v>429</v>
      </c>
      <c r="C90" t="s">
        <v>705</v>
      </c>
      <c r="D90">
        <v>48</v>
      </c>
      <c r="E90">
        <v>1</v>
      </c>
      <c r="F90" t="str">
        <f>Pvt_Map_1[[#This Row],[Kode Barang Win]]</f>
        <v>F4067008022530</v>
      </c>
    </row>
    <row r="91" spans="1:6">
      <c r="A91" t="s">
        <v>876</v>
      </c>
      <c r="B91" t="s">
        <v>430</v>
      </c>
      <c r="C91" t="s">
        <v>731</v>
      </c>
      <c r="D91">
        <v>24</v>
      </c>
      <c r="E91">
        <v>1</v>
      </c>
      <c r="F91" t="str">
        <f>Pvt_Map_1[[#This Row],[Kode Barang Win]]</f>
        <v>F4067008048030</v>
      </c>
    </row>
    <row r="92" spans="1:6">
      <c r="A92" t="s">
        <v>877</v>
      </c>
      <c r="B92" t="s">
        <v>444</v>
      </c>
      <c r="C92" t="s">
        <v>730</v>
      </c>
      <c r="D92">
        <v>24</v>
      </c>
      <c r="E92">
        <v>1</v>
      </c>
      <c r="F92" t="str">
        <f>Pvt_Map_1[[#This Row],[Kode Barang Win]]</f>
        <v>F4067009048020</v>
      </c>
    </row>
    <row r="93" spans="1:6">
      <c r="A93" t="s">
        <v>878</v>
      </c>
      <c r="B93" t="s">
        <v>428</v>
      </c>
      <c r="C93" t="s">
        <v>671</v>
      </c>
      <c r="D93">
        <v>48</v>
      </c>
      <c r="E93">
        <v>1</v>
      </c>
      <c r="F93" t="str">
        <f>Pvt_Map_1[[#This Row],[Kode Barang Win]]</f>
        <v>F4067010018010</v>
      </c>
    </row>
    <row r="94" spans="1:6">
      <c r="A94" t="s">
        <v>879</v>
      </c>
      <c r="B94" t="s">
        <v>498</v>
      </c>
      <c r="C94" t="s">
        <v>732</v>
      </c>
      <c r="D94">
        <v>48</v>
      </c>
      <c r="E94">
        <v>1</v>
      </c>
      <c r="F94" t="str">
        <f>Pvt_Map_1[[#This Row],[Kode Barang Win]]</f>
        <v>F4068001002010</v>
      </c>
    </row>
    <row r="95" spans="1:6">
      <c r="A95" t="s">
        <v>880</v>
      </c>
      <c r="B95" t="s">
        <v>499</v>
      </c>
      <c r="C95" t="s">
        <v>733</v>
      </c>
      <c r="D95">
        <v>48</v>
      </c>
      <c r="E95">
        <v>1</v>
      </c>
      <c r="F95" t="str">
        <f>Pvt_Map_1[[#This Row],[Kode Barang Win]]</f>
        <v>F4068002003020</v>
      </c>
    </row>
    <row r="96" spans="1:6">
      <c r="A96" t="s">
        <v>881</v>
      </c>
      <c r="B96" t="s">
        <v>500</v>
      </c>
      <c r="C96" t="s">
        <v>732</v>
      </c>
      <c r="D96">
        <v>48</v>
      </c>
      <c r="E96">
        <v>1</v>
      </c>
      <c r="F96" t="str">
        <f>Pvt_Map_1[[#This Row],[Kode Barang Win]]</f>
        <v>F4069001003010</v>
      </c>
    </row>
    <row r="97" spans="1:6">
      <c r="A97" t="s">
        <v>882</v>
      </c>
      <c r="B97" t="s">
        <v>463</v>
      </c>
      <c r="C97" t="s">
        <v>671</v>
      </c>
      <c r="D97">
        <v>24</v>
      </c>
      <c r="E97">
        <v>1</v>
      </c>
      <c r="F97" t="str">
        <f>Pvt_Map_1[[#This Row],[Kode Barang Win]]</f>
        <v>F4071101040010</v>
      </c>
    </row>
    <row r="98" spans="1:6">
      <c r="A98" t="s">
        <v>883</v>
      </c>
      <c r="B98" t="s">
        <v>467</v>
      </c>
      <c r="C98" t="s">
        <v>671</v>
      </c>
      <c r="D98">
        <v>24</v>
      </c>
      <c r="E98">
        <v>1</v>
      </c>
      <c r="F98" t="str">
        <f>Pvt_Map_1[[#This Row],[Kode Barang Win]]</f>
        <v>F4071102040010</v>
      </c>
    </row>
    <row r="99" spans="1:6">
      <c r="A99" t="s">
        <v>883</v>
      </c>
      <c r="B99" t="s">
        <v>1292</v>
      </c>
      <c r="C99" t="s">
        <v>671</v>
      </c>
      <c r="D99">
        <v>24</v>
      </c>
      <c r="E99">
        <v>2</v>
      </c>
      <c r="F99" t="str">
        <f>Pvt_Map_1[[#This Row],[Kode Barang Win]]</f>
        <v>F4071102040010</v>
      </c>
    </row>
    <row r="100" spans="1:6">
      <c r="A100" t="s">
        <v>884</v>
      </c>
      <c r="B100" t="s">
        <v>456</v>
      </c>
      <c r="C100" t="s">
        <v>671</v>
      </c>
      <c r="D100">
        <v>48</v>
      </c>
      <c r="E100">
        <v>1</v>
      </c>
      <c r="F100" t="str">
        <f>Pvt_Map_1[[#This Row],[Kode Barang Win]]</f>
        <v>F4071103008510</v>
      </c>
    </row>
    <row r="101" spans="1:6">
      <c r="A101" t="s">
        <v>885</v>
      </c>
      <c r="B101" t="s">
        <v>462</v>
      </c>
      <c r="C101" t="s">
        <v>671</v>
      </c>
      <c r="D101">
        <v>48</v>
      </c>
      <c r="E101">
        <v>1</v>
      </c>
      <c r="F101" t="str">
        <f>Pvt_Map_1[[#This Row],[Kode Barang Win]]</f>
        <v>F4071104008510</v>
      </c>
    </row>
    <row r="102" spans="1:6">
      <c r="A102" t="s">
        <v>886</v>
      </c>
      <c r="B102" t="s">
        <v>457</v>
      </c>
      <c r="C102" t="s">
        <v>671</v>
      </c>
      <c r="D102">
        <v>24</v>
      </c>
      <c r="E102">
        <v>1</v>
      </c>
      <c r="F102" t="str">
        <f>Pvt_Map_1[[#This Row],[Kode Barang Win]]</f>
        <v>F4071105040010</v>
      </c>
    </row>
    <row r="103" spans="1:6">
      <c r="A103" t="s">
        <v>887</v>
      </c>
      <c r="B103" t="s">
        <v>459</v>
      </c>
      <c r="C103" t="s">
        <v>671</v>
      </c>
      <c r="D103">
        <v>48</v>
      </c>
      <c r="E103">
        <v>1</v>
      </c>
      <c r="F103" t="str">
        <f>Pvt_Map_1[[#This Row],[Kode Barang Win]]</f>
        <v>F4071105008510</v>
      </c>
    </row>
    <row r="104" spans="1:6">
      <c r="A104" t="s">
        <v>888</v>
      </c>
      <c r="B104" t="s">
        <v>464</v>
      </c>
      <c r="C104" t="s">
        <v>730</v>
      </c>
      <c r="D104">
        <v>24</v>
      </c>
      <c r="E104">
        <v>1</v>
      </c>
      <c r="F104" t="str">
        <f>Pvt_Map_1[[#This Row],[Kode Barang Win]]</f>
        <v>F4071001048030</v>
      </c>
    </row>
    <row r="105" spans="1:6">
      <c r="A105" t="s">
        <v>889</v>
      </c>
      <c r="B105" t="s">
        <v>468</v>
      </c>
      <c r="C105" t="s">
        <v>730</v>
      </c>
      <c r="D105">
        <v>24</v>
      </c>
      <c r="E105">
        <v>1</v>
      </c>
      <c r="F105" t="str">
        <f>Pvt_Map_1[[#This Row],[Kode Barang Win]]</f>
        <v>F4071002048030</v>
      </c>
    </row>
    <row r="106" spans="1:6">
      <c r="A106" t="s">
        <v>890</v>
      </c>
      <c r="B106" t="s">
        <v>458</v>
      </c>
      <c r="C106" t="s">
        <v>730</v>
      </c>
      <c r="D106">
        <v>24</v>
      </c>
      <c r="E106">
        <v>1</v>
      </c>
      <c r="F106" t="str">
        <f>Pvt_Map_1[[#This Row],[Kode Barang Win]]</f>
        <v>F4071003048030</v>
      </c>
    </row>
    <row r="107" spans="1:6">
      <c r="A107" t="s">
        <v>891</v>
      </c>
      <c r="B107" t="s">
        <v>455</v>
      </c>
      <c r="C107" t="s">
        <v>671</v>
      </c>
      <c r="D107">
        <v>24</v>
      </c>
      <c r="E107">
        <v>1</v>
      </c>
      <c r="F107" t="str">
        <f>Pvt_Map_1[[#This Row],[Kode Barang Win]]</f>
        <v>F4072101040010</v>
      </c>
    </row>
    <row r="108" spans="1:6">
      <c r="A108" t="s">
        <v>892</v>
      </c>
      <c r="B108" t="s">
        <v>460</v>
      </c>
      <c r="C108" t="s">
        <v>671</v>
      </c>
      <c r="D108">
        <v>24</v>
      </c>
      <c r="E108">
        <v>1</v>
      </c>
      <c r="F108" t="str">
        <f>Pvt_Map_1[[#This Row],[Kode Barang Win]]</f>
        <v>F4072102040010</v>
      </c>
    </row>
    <row r="109" spans="1:6">
      <c r="A109" t="s">
        <v>893</v>
      </c>
      <c r="B109" t="s">
        <v>465</v>
      </c>
      <c r="C109" t="s">
        <v>671</v>
      </c>
      <c r="D109">
        <v>24</v>
      </c>
      <c r="E109">
        <v>1</v>
      </c>
      <c r="F109" t="str">
        <f>Pvt_Map_1[[#This Row],[Kode Barang Win]]</f>
        <v>F4072103040010</v>
      </c>
    </row>
    <row r="110" spans="1:6">
      <c r="A110" t="s">
        <v>893</v>
      </c>
      <c r="B110" t="s">
        <v>1259</v>
      </c>
      <c r="C110" t="s">
        <v>671</v>
      </c>
      <c r="D110">
        <v>24</v>
      </c>
      <c r="E110">
        <v>1</v>
      </c>
      <c r="F110" t="str">
        <f>Pvt_Map_1[[#This Row],[Kode Barang Win]]</f>
        <v>F4072103040010</v>
      </c>
    </row>
    <row r="111" spans="1:6">
      <c r="A111" t="s">
        <v>894</v>
      </c>
      <c r="B111" t="s">
        <v>454</v>
      </c>
      <c r="C111" t="s">
        <v>730</v>
      </c>
      <c r="D111">
        <v>24</v>
      </c>
      <c r="E111">
        <v>1</v>
      </c>
      <c r="F111" t="str">
        <f>Pvt_Map_1[[#This Row],[Kode Barang Win]]</f>
        <v>F4072001048020</v>
      </c>
    </row>
    <row r="112" spans="1:6">
      <c r="A112" t="s">
        <v>895</v>
      </c>
      <c r="B112" t="s">
        <v>461</v>
      </c>
      <c r="C112" t="s">
        <v>730</v>
      </c>
      <c r="D112">
        <v>24</v>
      </c>
      <c r="E112">
        <v>1</v>
      </c>
      <c r="F112" t="str">
        <f>Pvt_Map_1[[#This Row],[Kode Barang Win]]</f>
        <v>F4072002048020</v>
      </c>
    </row>
    <row r="113" spans="1:6">
      <c r="A113" t="s">
        <v>896</v>
      </c>
      <c r="B113" t="s">
        <v>466</v>
      </c>
      <c r="C113" t="s">
        <v>730</v>
      </c>
      <c r="D113">
        <v>24</v>
      </c>
      <c r="E113">
        <v>1</v>
      </c>
      <c r="F113" t="str">
        <f>Pvt_Map_1[[#This Row],[Kode Barang Win]]</f>
        <v>F4072003048020</v>
      </c>
    </row>
    <row r="114" spans="1:6">
      <c r="A114" t="s">
        <v>897</v>
      </c>
      <c r="B114" t="s">
        <v>1146</v>
      </c>
      <c r="C114" t="s">
        <v>735</v>
      </c>
      <c r="D114">
        <v>6</v>
      </c>
      <c r="E114">
        <v>2</v>
      </c>
      <c r="F114" t="str">
        <f>Pvt_Map_1[[#This Row],[Kode Barang Win]]</f>
        <v>F4073101008010</v>
      </c>
    </row>
    <row r="115" spans="1:6">
      <c r="A115" t="s">
        <v>898</v>
      </c>
      <c r="B115" t="s">
        <v>404</v>
      </c>
      <c r="C115" t="s">
        <v>187</v>
      </c>
      <c r="D115">
        <v>72</v>
      </c>
      <c r="E115">
        <v>1</v>
      </c>
      <c r="F115" t="str">
        <f>Pvt_Map_1[[#This Row],[Kode Barang Win]]</f>
        <v>F4073002006010</v>
      </c>
    </row>
    <row r="116" spans="1:6">
      <c r="A116" t="s">
        <v>899</v>
      </c>
      <c r="B116" t="s">
        <v>405</v>
      </c>
      <c r="C116" t="s">
        <v>736</v>
      </c>
      <c r="D116">
        <v>24</v>
      </c>
      <c r="E116">
        <v>1</v>
      </c>
      <c r="F116" t="str">
        <f>Pvt_Map_1[[#This Row],[Kode Barang Win]]</f>
        <v>F4073003007020</v>
      </c>
    </row>
    <row r="117" spans="1:6">
      <c r="A117" t="s">
        <v>899</v>
      </c>
      <c r="B117" t="s">
        <v>1217</v>
      </c>
      <c r="C117" t="s">
        <v>736</v>
      </c>
      <c r="D117">
        <v>24</v>
      </c>
      <c r="E117">
        <v>2</v>
      </c>
      <c r="F117" t="str">
        <f>Pvt_Map_1[[#This Row],[Kode Barang Win]]</f>
        <v>F4073003007020</v>
      </c>
    </row>
    <row r="118" spans="1:6">
      <c r="A118" t="s">
        <v>900</v>
      </c>
      <c r="B118" t="s">
        <v>406</v>
      </c>
      <c r="C118" t="s">
        <v>736</v>
      </c>
      <c r="D118">
        <v>24</v>
      </c>
      <c r="E118">
        <v>1</v>
      </c>
      <c r="F118" t="str">
        <f>Pvt_Map_1[[#This Row],[Kode Barang Win]]</f>
        <v>F4073004007020</v>
      </c>
    </row>
    <row r="119" spans="1:6">
      <c r="A119" t="s">
        <v>900</v>
      </c>
      <c r="B119" t="s">
        <v>1131</v>
      </c>
      <c r="C119" t="s">
        <v>736</v>
      </c>
      <c r="D119">
        <v>24</v>
      </c>
      <c r="E119">
        <v>2</v>
      </c>
      <c r="F119" t="str">
        <f>Pvt_Map_1[[#This Row],[Kode Barang Win]]</f>
        <v>F4073004007020</v>
      </c>
    </row>
    <row r="120" spans="1:6">
      <c r="A120" t="s">
        <v>900</v>
      </c>
      <c r="B120" t="s">
        <v>1341</v>
      </c>
      <c r="C120" t="s">
        <v>736</v>
      </c>
      <c r="D120">
        <v>24</v>
      </c>
      <c r="E120">
        <v>3</v>
      </c>
      <c r="F120" t="str">
        <f>Pvt_Map_1[[#This Row],[Kode Barang Win]]</f>
        <v>F4073004007020</v>
      </c>
    </row>
    <row r="121" spans="1:6">
      <c r="A121" t="s">
        <v>901</v>
      </c>
      <c r="B121" t="s">
        <v>400</v>
      </c>
      <c r="C121" t="s">
        <v>736</v>
      </c>
      <c r="D121">
        <v>24</v>
      </c>
      <c r="E121">
        <v>1</v>
      </c>
      <c r="F121" t="str">
        <f>Pvt_Map_1[[#This Row],[Kode Barang Win]]</f>
        <v>F4073005007020</v>
      </c>
    </row>
    <row r="122" spans="1:6">
      <c r="A122" t="s">
        <v>901</v>
      </c>
      <c r="B122" t="s">
        <v>1123</v>
      </c>
      <c r="C122" t="s">
        <v>736</v>
      </c>
      <c r="D122">
        <v>24</v>
      </c>
      <c r="E122">
        <v>2</v>
      </c>
      <c r="F122" t="str">
        <f>Pvt_Map_1[[#This Row],[Kode Barang Win]]</f>
        <v>F4073005007020</v>
      </c>
    </row>
    <row r="123" spans="1:6">
      <c r="A123" t="s">
        <v>901</v>
      </c>
      <c r="B123" t="s">
        <v>1340</v>
      </c>
      <c r="C123" t="s">
        <v>736</v>
      </c>
      <c r="D123">
        <v>24</v>
      </c>
      <c r="E123">
        <v>3</v>
      </c>
      <c r="F123" t="str">
        <f>Pvt_Map_1[[#This Row],[Kode Barang Win]]</f>
        <v>F4073005007020</v>
      </c>
    </row>
    <row r="124" spans="1:6">
      <c r="A124" t="s">
        <v>902</v>
      </c>
      <c r="B124" t="s">
        <v>401</v>
      </c>
      <c r="C124" t="s">
        <v>736</v>
      </c>
      <c r="D124">
        <v>24</v>
      </c>
      <c r="E124">
        <v>1</v>
      </c>
      <c r="F124" t="str">
        <f>Pvt_Map_1[[#This Row],[Kode Barang Win]]</f>
        <v>F4073006007020</v>
      </c>
    </row>
    <row r="125" spans="1:6">
      <c r="A125" t="s">
        <v>902</v>
      </c>
      <c r="B125" t="s">
        <v>1126</v>
      </c>
      <c r="C125" t="s">
        <v>736</v>
      </c>
      <c r="D125">
        <v>24</v>
      </c>
      <c r="E125">
        <v>2</v>
      </c>
      <c r="F125" t="str">
        <f>Pvt_Map_1[[#This Row],[Kode Barang Win]]</f>
        <v>F4073006007020</v>
      </c>
    </row>
    <row r="126" spans="1:6">
      <c r="A126" t="s">
        <v>903</v>
      </c>
      <c r="B126" t="s">
        <v>402</v>
      </c>
      <c r="C126" t="s">
        <v>736</v>
      </c>
      <c r="D126">
        <v>24</v>
      </c>
      <c r="E126">
        <v>1</v>
      </c>
      <c r="F126" t="str">
        <f>Pvt_Map_1[[#This Row],[Kode Barang Win]]</f>
        <v>F4073007007020</v>
      </c>
    </row>
    <row r="127" spans="1:6">
      <c r="A127" t="s">
        <v>903</v>
      </c>
      <c r="B127" t="s">
        <v>1129</v>
      </c>
      <c r="C127" t="s">
        <v>736</v>
      </c>
      <c r="D127">
        <v>24</v>
      </c>
      <c r="E127">
        <v>2</v>
      </c>
      <c r="F127" t="str">
        <f>Pvt_Map_1[[#This Row],[Kode Barang Win]]</f>
        <v>F4073007007020</v>
      </c>
    </row>
    <row r="128" spans="1:6">
      <c r="A128" t="s">
        <v>904</v>
      </c>
      <c r="B128" t="s">
        <v>403</v>
      </c>
      <c r="C128" t="s">
        <v>736</v>
      </c>
      <c r="D128">
        <v>24</v>
      </c>
      <c r="E128">
        <v>1</v>
      </c>
      <c r="F128" t="str">
        <f>Pvt_Map_1[[#This Row],[Kode Barang Win]]</f>
        <v>F4073008007020</v>
      </c>
    </row>
    <row r="129" spans="1:6">
      <c r="A129" t="s">
        <v>904</v>
      </c>
      <c r="B129" t="s">
        <v>1128</v>
      </c>
      <c r="C129" t="s">
        <v>736</v>
      </c>
      <c r="D129">
        <v>24</v>
      </c>
      <c r="E129">
        <v>2</v>
      </c>
      <c r="F129" t="str">
        <f>Pvt_Map_1[[#This Row],[Kode Barang Win]]</f>
        <v>F4073008007020</v>
      </c>
    </row>
    <row r="130" spans="1:6">
      <c r="A130" t="s">
        <v>1062</v>
      </c>
      <c r="B130" t="s">
        <v>449</v>
      </c>
      <c r="C130" t="s">
        <v>730</v>
      </c>
      <c r="D130">
        <v>24</v>
      </c>
      <c r="E130">
        <v>1</v>
      </c>
      <c r="F130" t="str">
        <f>Pvt_Map_1[[#This Row],[Kode Barang Win]]</f>
        <v>F4067011048020</v>
      </c>
    </row>
    <row r="131" spans="1:6">
      <c r="A131" t="s">
        <v>1147</v>
      </c>
      <c r="B131">
        <v>112603000</v>
      </c>
      <c r="C131" t="s">
        <v>705</v>
      </c>
      <c r="D131">
        <v>48</v>
      </c>
      <c r="E131">
        <v>1</v>
      </c>
      <c r="F131" t="str">
        <f>Pvt_Map_1[[#This Row],[Kode Barang Win]]</f>
        <v>F4053004003020</v>
      </c>
    </row>
    <row r="132" spans="1:6">
      <c r="A132" t="s">
        <v>1148</v>
      </c>
      <c r="B132">
        <v>112601000</v>
      </c>
      <c r="C132" t="s">
        <v>705</v>
      </c>
      <c r="D132">
        <v>48</v>
      </c>
      <c r="E132">
        <v>1</v>
      </c>
      <c r="F132" t="str">
        <f>Pvt_Map_1[[#This Row],[Kode Barang Win]]</f>
        <v>F4053001003020</v>
      </c>
    </row>
    <row r="133" spans="1:6">
      <c r="A133" t="s">
        <v>1149</v>
      </c>
      <c r="B133">
        <v>112604000</v>
      </c>
      <c r="C133" t="s">
        <v>705</v>
      </c>
      <c r="D133">
        <v>48</v>
      </c>
      <c r="E133">
        <v>1</v>
      </c>
      <c r="F133" t="str">
        <f>Pvt_Map_1[[#This Row],[Kode Barang Win]]</f>
        <v>F4053002003020</v>
      </c>
    </row>
    <row r="134" spans="1:6">
      <c r="A134" t="s">
        <v>1150</v>
      </c>
      <c r="B134">
        <v>112602000</v>
      </c>
      <c r="C134" t="s">
        <v>705</v>
      </c>
      <c r="D134">
        <v>48</v>
      </c>
      <c r="E134">
        <v>1</v>
      </c>
      <c r="F134" t="str">
        <f>Pvt_Map_1[[#This Row],[Kode Barang Win]]</f>
        <v>F4053003003020</v>
      </c>
    </row>
    <row r="135" spans="1:6">
      <c r="A135" t="s">
        <v>1151</v>
      </c>
      <c r="B135" t="s">
        <v>1083</v>
      </c>
      <c r="C135" t="s">
        <v>671</v>
      </c>
      <c r="D135">
        <v>12</v>
      </c>
      <c r="E135">
        <v>1</v>
      </c>
      <c r="F135" t="str">
        <f>Pvt_Map_1[[#This Row],[Kode Barang Win]]</f>
        <v>F4061104040011</v>
      </c>
    </row>
    <row r="136" spans="1:6">
      <c r="A136" t="s">
        <v>1151</v>
      </c>
      <c r="B136" t="s">
        <v>1092</v>
      </c>
      <c r="C136" t="s">
        <v>671</v>
      </c>
      <c r="D136">
        <v>12</v>
      </c>
      <c r="F136" t="str">
        <f>Pvt_Map_1[[#This Row],[Kode Barang Win]]</f>
        <v>F4061104040011</v>
      </c>
    </row>
    <row r="137" spans="1:6">
      <c r="A137" t="s">
        <v>1152</v>
      </c>
      <c r="B137" t="s">
        <v>1103</v>
      </c>
      <c r="C137" t="s">
        <v>671</v>
      </c>
      <c r="D137">
        <v>24</v>
      </c>
      <c r="E137">
        <v>1</v>
      </c>
      <c r="F137" t="str">
        <f>Pvt_Map_1[[#This Row],[Kode Barang Win]]</f>
        <v>F4061204042010</v>
      </c>
    </row>
    <row r="138" spans="1:6">
      <c r="A138" t="s">
        <v>1153</v>
      </c>
      <c r="B138" t="s">
        <v>1104</v>
      </c>
      <c r="C138" t="s">
        <v>671</v>
      </c>
      <c r="D138">
        <v>24</v>
      </c>
      <c r="E138">
        <v>1</v>
      </c>
      <c r="F138" t="str">
        <f>Pvt_Map_1[[#This Row],[Kode Barang Win]]</f>
        <v>F4061301042010</v>
      </c>
    </row>
    <row r="139" spans="1:6">
      <c r="A139" t="s">
        <v>1154</v>
      </c>
      <c r="B139" t="s">
        <v>1105</v>
      </c>
      <c r="C139" t="s">
        <v>671</v>
      </c>
      <c r="D139">
        <v>24</v>
      </c>
      <c r="E139">
        <v>1</v>
      </c>
      <c r="F139" t="str">
        <f>Pvt_Map_1[[#This Row],[Kode Barang Win]]</f>
        <v>F4061403042010</v>
      </c>
    </row>
    <row r="140" spans="1:6">
      <c r="A140" t="s">
        <v>1155</v>
      </c>
      <c r="B140" t="s">
        <v>1106</v>
      </c>
      <c r="C140" t="s">
        <v>671</v>
      </c>
      <c r="D140">
        <v>24</v>
      </c>
      <c r="E140">
        <v>1</v>
      </c>
      <c r="F140" t="str">
        <f>Pvt_Map_1[[#This Row],[Kode Barang Win]]</f>
        <v>F4061510042010</v>
      </c>
    </row>
    <row r="141" spans="1:6">
      <c r="A141" t="s">
        <v>1156</v>
      </c>
      <c r="B141" t="s">
        <v>1107</v>
      </c>
      <c r="C141" t="s">
        <v>671</v>
      </c>
      <c r="D141">
        <v>24</v>
      </c>
      <c r="E141">
        <v>1</v>
      </c>
      <c r="F141" t="str">
        <f>Pvt_Map_1[[#This Row],[Kode Barang Win]]</f>
        <v>F4061611042010</v>
      </c>
    </row>
    <row r="142" spans="1:6">
      <c r="A142" t="s">
        <v>1157</v>
      </c>
      <c r="B142" t="s">
        <v>1108</v>
      </c>
      <c r="C142" t="s">
        <v>671</v>
      </c>
      <c r="D142">
        <v>24</v>
      </c>
      <c r="E142">
        <v>1</v>
      </c>
      <c r="F142" t="str">
        <f>Pvt_Map_1[[#This Row],[Kode Barang Win]]</f>
        <v>F4061702042010</v>
      </c>
    </row>
    <row r="143" spans="1:6">
      <c r="A143" t="s">
        <v>1158</v>
      </c>
      <c r="B143" t="s">
        <v>1084</v>
      </c>
      <c r="C143" t="s">
        <v>671</v>
      </c>
      <c r="D143">
        <v>24</v>
      </c>
      <c r="E143">
        <v>1</v>
      </c>
      <c r="F143" t="str">
        <f>Pvt_Map_1[[#This Row],[Kode Barang Win]]</f>
        <v>F4061111040011</v>
      </c>
    </row>
    <row r="144" spans="1:6">
      <c r="A144" t="s">
        <v>1159</v>
      </c>
      <c r="B144" t="s">
        <v>1134</v>
      </c>
      <c r="C144" t="s">
        <v>733</v>
      </c>
      <c r="D144">
        <v>48</v>
      </c>
      <c r="E144">
        <v>1</v>
      </c>
      <c r="F144" t="str">
        <f>Pvt_Map_1[[#This Row],[Kode Barang Win]]</f>
        <v>F40630050200111</v>
      </c>
    </row>
    <row r="145" spans="1:6">
      <c r="A145" t="s">
        <v>1160</v>
      </c>
      <c r="B145" t="s">
        <v>1133</v>
      </c>
      <c r="C145" t="s">
        <v>733</v>
      </c>
      <c r="D145">
        <v>48</v>
      </c>
      <c r="E145">
        <v>1</v>
      </c>
      <c r="F145" t="str">
        <f>Pvt_Map_1[[#This Row],[Kode Barang Win]]</f>
        <v>F40630030200111</v>
      </c>
    </row>
    <row r="146" spans="1:6">
      <c r="A146" t="s">
        <v>1161</v>
      </c>
      <c r="B146" t="s">
        <v>1135</v>
      </c>
      <c r="C146" t="s">
        <v>733</v>
      </c>
      <c r="D146">
        <v>48</v>
      </c>
      <c r="E146">
        <v>1</v>
      </c>
      <c r="F146" t="str">
        <f>Pvt_Map_1[[#This Row],[Kode Barang Win]]</f>
        <v>F40630060200111</v>
      </c>
    </row>
    <row r="147" spans="1:6">
      <c r="A147" t="s">
        <v>1162</v>
      </c>
      <c r="B147" t="s">
        <v>1144</v>
      </c>
      <c r="C147" t="s">
        <v>733</v>
      </c>
      <c r="D147">
        <v>48</v>
      </c>
      <c r="E147">
        <v>1</v>
      </c>
      <c r="F147" t="str">
        <f>Pvt_Map_1[[#This Row],[Kode Barang Win]]</f>
        <v>F40630040200111</v>
      </c>
    </row>
    <row r="148" spans="1:6">
      <c r="A148" t="s">
        <v>1163</v>
      </c>
      <c r="B148">
        <v>161702000</v>
      </c>
      <c r="C148" t="s">
        <v>732</v>
      </c>
      <c r="D148">
        <v>48</v>
      </c>
      <c r="E148">
        <v>1</v>
      </c>
      <c r="F148" t="str">
        <f>Pvt_Map_1[[#This Row],[Kode Barang Win]]</f>
        <v>F40690010030121</v>
      </c>
    </row>
    <row r="149" spans="1:6">
      <c r="A149" t="s">
        <v>1164</v>
      </c>
      <c r="B149">
        <v>191702002</v>
      </c>
      <c r="C149" t="s">
        <v>732</v>
      </c>
      <c r="D149">
        <v>48</v>
      </c>
      <c r="E149">
        <v>1</v>
      </c>
      <c r="F149" t="str">
        <f>Pvt_Map_1[[#This Row],[Kode Barang Win]]</f>
        <v>F4065001008012</v>
      </c>
    </row>
    <row r="150" spans="1:6">
      <c r="A150" t="s">
        <v>1165</v>
      </c>
      <c r="B150" t="s">
        <v>1146</v>
      </c>
      <c r="C150" t="s">
        <v>187</v>
      </c>
      <c r="D150">
        <v>72</v>
      </c>
      <c r="E150">
        <v>1</v>
      </c>
      <c r="F150" t="str">
        <f>Pvt_Map_1[[#This Row],[Kode Barang Win]]</f>
        <v>F4066004006010</v>
      </c>
    </row>
    <row r="151" spans="1:6">
      <c r="A151" t="s">
        <v>1166</v>
      </c>
      <c r="B151" t="s">
        <v>1146</v>
      </c>
      <c r="C151" t="s">
        <v>187</v>
      </c>
      <c r="D151">
        <v>72</v>
      </c>
      <c r="E151">
        <v>1</v>
      </c>
      <c r="F151" t="str">
        <f>Pvt_Map_1[[#This Row],[Kode Barang Win]]</f>
        <v>F4066003006010</v>
      </c>
    </row>
    <row r="152" spans="1:6">
      <c r="A152" t="s">
        <v>1167</v>
      </c>
      <c r="B152" t="s">
        <v>433</v>
      </c>
      <c r="C152" t="s">
        <v>705</v>
      </c>
      <c r="D152">
        <v>48</v>
      </c>
      <c r="E152">
        <v>1</v>
      </c>
      <c r="F152" t="str">
        <f>Pvt_Map_1[[#This Row],[Kode Barang Win]]</f>
        <v>F4067005022530</v>
      </c>
    </row>
    <row r="153" spans="1:6">
      <c r="A153" t="s">
        <v>1168</v>
      </c>
      <c r="B153" t="s">
        <v>452</v>
      </c>
      <c r="C153" t="s">
        <v>705</v>
      </c>
      <c r="D153">
        <v>48</v>
      </c>
      <c r="E153">
        <v>1</v>
      </c>
      <c r="F153" t="str">
        <f>Pvt_Map_1[[#This Row],[Kode Barang Win]]</f>
        <v>F4067006022530</v>
      </c>
    </row>
    <row r="154" spans="1:6">
      <c r="A154" t="s">
        <v>1169</v>
      </c>
      <c r="B154" t="s">
        <v>443</v>
      </c>
      <c r="C154" t="s">
        <v>705</v>
      </c>
      <c r="D154">
        <v>48</v>
      </c>
      <c r="E154">
        <v>1</v>
      </c>
      <c r="F154" t="str">
        <f>Pvt_Map_1[[#This Row],[Kode Barang Win]]</f>
        <v>F4067009022530</v>
      </c>
    </row>
    <row r="155" spans="1:6">
      <c r="A155" t="s">
        <v>1170</v>
      </c>
      <c r="B155" t="s">
        <v>448</v>
      </c>
      <c r="C155" t="s">
        <v>705</v>
      </c>
      <c r="D155">
        <v>48</v>
      </c>
      <c r="E155">
        <v>1</v>
      </c>
      <c r="F155" t="str">
        <f>Pvt_Map_1[[#This Row],[Kode Barang Win]]</f>
        <v>F4067011022530</v>
      </c>
    </row>
    <row r="156" spans="1:6">
      <c r="A156" t="s">
        <v>1171</v>
      </c>
      <c r="B156" t="s">
        <v>1085</v>
      </c>
      <c r="C156" t="s">
        <v>671</v>
      </c>
      <c r="D156">
        <v>24</v>
      </c>
      <c r="E156">
        <v>1</v>
      </c>
      <c r="F156" t="str">
        <f>Pvt_Map_1[[#This Row],[Kode Barang Win]]</f>
        <v>F4071103040011</v>
      </c>
    </row>
    <row r="157" spans="1:6">
      <c r="A157" t="s">
        <v>1172</v>
      </c>
      <c r="B157" t="s">
        <v>1086</v>
      </c>
      <c r="C157" t="s">
        <v>671</v>
      </c>
      <c r="D157">
        <v>24</v>
      </c>
      <c r="E157">
        <v>1</v>
      </c>
      <c r="F157" t="str">
        <f>Pvt_Map_1[[#This Row],[Kode Barang Win]]</f>
        <v>F4071104040011</v>
      </c>
    </row>
    <row r="158" spans="1:6">
      <c r="A158" t="s">
        <v>1173</v>
      </c>
      <c r="B158">
        <v>52506000</v>
      </c>
      <c r="C158" t="s">
        <v>671</v>
      </c>
      <c r="D158">
        <v>48</v>
      </c>
      <c r="E158">
        <v>1</v>
      </c>
      <c r="F158" t="str">
        <f>Pvt_Map_1[[#This Row],[Kode Barang Win]]</f>
        <v>F40711020085101</v>
      </c>
    </row>
    <row r="159" spans="1:6">
      <c r="A159" t="s">
        <v>1174</v>
      </c>
      <c r="B159" t="s">
        <v>1088</v>
      </c>
      <c r="C159" t="s">
        <v>671</v>
      </c>
      <c r="D159">
        <v>24</v>
      </c>
      <c r="E159">
        <v>1</v>
      </c>
      <c r="F159" t="str">
        <f>Pvt_Map_1[[#This Row],[Kode Barang Win]]</f>
        <v>F4071105040011</v>
      </c>
    </row>
    <row r="160" spans="1:6">
      <c r="A160" t="s">
        <v>1175</v>
      </c>
      <c r="B160" t="s">
        <v>1087</v>
      </c>
      <c r="C160" t="s">
        <v>671</v>
      </c>
      <c r="D160">
        <v>24</v>
      </c>
      <c r="E160">
        <v>1</v>
      </c>
      <c r="F160" t="str">
        <f>Pvt_Map_1[[#This Row],[Kode Barang Win]]</f>
        <v>F4071106040011</v>
      </c>
    </row>
    <row r="161" spans="1:6">
      <c r="A161" t="s">
        <v>1176</v>
      </c>
      <c r="B161" t="s">
        <v>1122</v>
      </c>
      <c r="C161" t="s">
        <v>187</v>
      </c>
      <c r="D161">
        <v>72</v>
      </c>
      <c r="E161">
        <v>1</v>
      </c>
      <c r="F161" t="str">
        <f>Pvt_Map_1[[#This Row],[Kode Barang Win]]</f>
        <v>F4073005008010</v>
      </c>
    </row>
    <row r="162" spans="1:6">
      <c r="A162" t="s">
        <v>1177</v>
      </c>
      <c r="B162" t="s">
        <v>1080</v>
      </c>
      <c r="C162" t="s">
        <v>736</v>
      </c>
      <c r="D162">
        <v>18</v>
      </c>
      <c r="E162">
        <v>1</v>
      </c>
      <c r="F162" t="str">
        <f>Pvt_Map_1[[#This Row],[Kode Barang Win]]</f>
        <v>F4073208007020</v>
      </c>
    </row>
    <row r="163" spans="1:6">
      <c r="A163" t="s">
        <v>1177</v>
      </c>
      <c r="B163" t="s">
        <v>1081</v>
      </c>
      <c r="C163" t="s">
        <v>736</v>
      </c>
      <c r="D163">
        <v>18</v>
      </c>
      <c r="E163">
        <v>2</v>
      </c>
      <c r="F163" t="str">
        <f>Pvt_Map_1[[#This Row],[Kode Barang Win]]</f>
        <v>F4073208007020</v>
      </c>
    </row>
    <row r="164" spans="1:6">
      <c r="A164" t="s">
        <v>1178</v>
      </c>
      <c r="B164" t="s">
        <v>1082</v>
      </c>
      <c r="C164" t="s">
        <v>736</v>
      </c>
      <c r="D164">
        <v>18</v>
      </c>
      <c r="E164">
        <v>3</v>
      </c>
      <c r="F164" t="str">
        <f>Pvt_Map_1[[#This Row],[Kode Barang Win]]</f>
        <v>F4073208006020</v>
      </c>
    </row>
    <row r="165" spans="1:6">
      <c r="A165" t="s">
        <v>1179</v>
      </c>
      <c r="B165" t="s">
        <v>1089</v>
      </c>
      <c r="C165" t="s">
        <v>735</v>
      </c>
      <c r="D165">
        <v>6</v>
      </c>
      <c r="E165">
        <v>1</v>
      </c>
      <c r="F165" t="str">
        <f>Pvt_Map_1[[#This Row],[Kode Barang Win]]</f>
        <v>F4073101007010</v>
      </c>
    </row>
    <row r="166" spans="1:6">
      <c r="A166" t="s">
        <v>1179</v>
      </c>
      <c r="B166" t="s">
        <v>1146</v>
      </c>
      <c r="C166" t="s">
        <v>735</v>
      </c>
      <c r="D166">
        <v>12</v>
      </c>
      <c r="E166">
        <v>1</v>
      </c>
      <c r="F166" t="str">
        <f>Pvt_Map_1[[#This Row],[Kode Barang Win]]</f>
        <v>F4073101007010</v>
      </c>
    </row>
    <row r="167" spans="1:6">
      <c r="A167" t="s">
        <v>1180</v>
      </c>
      <c r="B167" t="s">
        <v>399</v>
      </c>
      <c r="C167" t="s">
        <v>735</v>
      </c>
      <c r="D167">
        <v>6</v>
      </c>
      <c r="E167">
        <v>1</v>
      </c>
      <c r="F167" t="str">
        <f>Pvt_Map_1[[#This Row],[Kode Barang Win]]</f>
        <v>F4073101007010N</v>
      </c>
    </row>
    <row r="168" spans="1:6">
      <c r="A168" t="s">
        <v>1238</v>
      </c>
      <c r="B168" t="s">
        <v>415</v>
      </c>
      <c r="C168" t="s">
        <v>671</v>
      </c>
      <c r="D168">
        <v>24</v>
      </c>
      <c r="E168">
        <v>1</v>
      </c>
      <c r="F168" t="str">
        <f>Pvt_Map_1[[#This Row],[Kode Barang Win]]</f>
        <v>F4031101040020</v>
      </c>
    </row>
    <row r="169" spans="1:6">
      <c r="A169" t="s">
        <v>1239</v>
      </c>
      <c r="B169" t="s">
        <v>484</v>
      </c>
      <c r="C169" t="s">
        <v>1234</v>
      </c>
      <c r="D169" t="s">
        <v>1235</v>
      </c>
      <c r="E169">
        <v>3</v>
      </c>
      <c r="F169" t="str">
        <f>Pvt_Map_1[[#This Row],[Kode Barang Win]]</f>
        <v>F4041002000930</v>
      </c>
    </row>
    <row r="170" spans="1:6">
      <c r="A170" t="s">
        <v>1240</v>
      </c>
      <c r="B170" t="s">
        <v>482</v>
      </c>
      <c r="C170" t="s">
        <v>1234</v>
      </c>
      <c r="D170" t="s">
        <v>1235</v>
      </c>
      <c r="E170">
        <v>2</v>
      </c>
      <c r="F170" t="str">
        <f>Pvt_Map_1[[#This Row],[Kode Barang Win]]</f>
        <v>F4041003000930</v>
      </c>
    </row>
    <row r="171" spans="1:6">
      <c r="A171" t="s">
        <v>1241</v>
      </c>
      <c r="B171" t="s">
        <v>1225</v>
      </c>
      <c r="C171" t="s">
        <v>671</v>
      </c>
      <c r="D171">
        <v>6</v>
      </c>
      <c r="E171">
        <v>1</v>
      </c>
      <c r="F171" t="str">
        <f>Pvt_Map_1[[#This Row],[Kode Barang Win]]</f>
        <v>F4061111150010</v>
      </c>
    </row>
    <row r="172" spans="1:6">
      <c r="A172" t="s">
        <v>1242</v>
      </c>
      <c r="B172">
        <v>101701006</v>
      </c>
      <c r="C172" t="s">
        <v>705</v>
      </c>
      <c r="D172">
        <v>48</v>
      </c>
      <c r="E172">
        <v>1</v>
      </c>
      <c r="F172" t="str">
        <f>Pvt_Map_1[[#This Row],[Kode Barang Win]]</f>
        <v>F4061001005010</v>
      </c>
    </row>
    <row r="173" spans="1:6">
      <c r="A173" t="s">
        <v>1243</v>
      </c>
      <c r="B173">
        <v>191702001</v>
      </c>
      <c r="C173" t="s">
        <v>187</v>
      </c>
      <c r="D173">
        <v>120</v>
      </c>
      <c r="E173">
        <v>1</v>
      </c>
      <c r="F173" t="str">
        <f>Pvt_Map_1[[#This Row],[Kode Barang Win]]</f>
        <v>F4065001002020</v>
      </c>
    </row>
    <row r="174" spans="1:6">
      <c r="A174" t="s">
        <v>1243</v>
      </c>
      <c r="B174">
        <v>191702003</v>
      </c>
      <c r="C174" t="s">
        <v>187</v>
      </c>
      <c r="D174">
        <v>120</v>
      </c>
      <c r="E174">
        <v>2</v>
      </c>
      <c r="F174" t="str">
        <f>Pvt_Map_1[[#This Row],[Kode Barang Win]]</f>
        <v>F4065001002020</v>
      </c>
    </row>
    <row r="175" spans="1:6">
      <c r="A175" t="s">
        <v>1244</v>
      </c>
      <c r="B175" t="s">
        <v>1140</v>
      </c>
      <c r="C175" t="s">
        <v>736</v>
      </c>
      <c r="D175">
        <v>24</v>
      </c>
      <c r="E175">
        <v>1</v>
      </c>
      <c r="F175" t="str">
        <f>Pvt_Map_1[[#This Row],[Kode Barang Win]]</f>
        <v>F4066004006020</v>
      </c>
    </row>
    <row r="176" spans="1:6">
      <c r="A176" t="s">
        <v>1245</v>
      </c>
      <c r="B176" t="s">
        <v>1142</v>
      </c>
      <c r="C176" t="s">
        <v>736</v>
      </c>
      <c r="D176">
        <v>24</v>
      </c>
      <c r="E176">
        <v>1</v>
      </c>
      <c r="F176" t="str">
        <f>Pvt_Map_1[[#This Row],[Kode Barang Win]]</f>
        <v>F4066003006020</v>
      </c>
    </row>
    <row r="177" spans="1:6">
      <c r="A177" t="s">
        <v>1246</v>
      </c>
      <c r="B177" t="s">
        <v>1224</v>
      </c>
      <c r="C177" t="s">
        <v>671</v>
      </c>
      <c r="D177">
        <v>12</v>
      </c>
      <c r="E177">
        <v>1</v>
      </c>
      <c r="F177" t="str">
        <f>Pvt_Map_1[[#This Row],[Kode Barang Win]]</f>
        <v>F4071103080010</v>
      </c>
    </row>
    <row r="178" spans="1:6">
      <c r="A178" t="s">
        <v>1296</v>
      </c>
      <c r="B178" t="s">
        <v>1283</v>
      </c>
      <c r="C178" t="s">
        <v>705</v>
      </c>
      <c r="D178">
        <v>48</v>
      </c>
      <c r="E178">
        <v>1</v>
      </c>
      <c r="F178" t="str">
        <f>Pvt_Map_1[[#This Row],[Kode Barang Win]]</f>
        <v>F4062005021010</v>
      </c>
    </row>
    <row r="179" spans="1:6">
      <c r="A179" t="s">
        <v>1297</v>
      </c>
      <c r="B179">
        <v>171701001</v>
      </c>
      <c r="C179" t="s">
        <v>705</v>
      </c>
      <c r="D179">
        <v>24</v>
      </c>
      <c r="E179">
        <v>1</v>
      </c>
      <c r="F179" t="str">
        <f>Pvt_Map_1[[#This Row],[Kode Barang Win]]</f>
        <v>F40610001030010</v>
      </c>
    </row>
    <row r="180" spans="1:6">
      <c r="A180" t="s">
        <v>1298</v>
      </c>
      <c r="B180">
        <v>171701000</v>
      </c>
      <c r="C180" t="s">
        <v>705</v>
      </c>
      <c r="D180">
        <v>48</v>
      </c>
      <c r="E180">
        <v>1</v>
      </c>
      <c r="F180" t="str">
        <f>Pvt_Map_1[[#This Row],[Kode Barang Win]]</f>
        <v>F40610001015010</v>
      </c>
    </row>
    <row r="181" spans="1:6">
      <c r="A181" t="s">
        <v>1299</v>
      </c>
      <c r="B181" t="s">
        <v>1289</v>
      </c>
      <c r="C181" t="s">
        <v>732</v>
      </c>
      <c r="D181">
        <v>48</v>
      </c>
      <c r="E181">
        <v>1</v>
      </c>
      <c r="F181" t="str">
        <f>Pvt_Map_1[[#This Row],[Kode Barang Win]]</f>
        <v>F4064001026010</v>
      </c>
    </row>
    <row r="182" spans="1:6">
      <c r="A182" t="s">
        <v>1300</v>
      </c>
      <c r="B182" t="s">
        <v>1146</v>
      </c>
      <c r="C182" t="s">
        <v>732</v>
      </c>
      <c r="D182" t="s">
        <v>1146</v>
      </c>
      <c r="E182">
        <v>1</v>
      </c>
      <c r="F182" t="str">
        <f>Pvt_Map_1[[#This Row],[Kode Barang Win]]</f>
        <v>F4065002008012</v>
      </c>
    </row>
    <row r="183" spans="1:6">
      <c r="A183" t="s">
        <v>1301</v>
      </c>
      <c r="B183" t="s">
        <v>1313</v>
      </c>
      <c r="C183" t="s">
        <v>1295</v>
      </c>
      <c r="D183">
        <v>12</v>
      </c>
      <c r="E183">
        <v>1</v>
      </c>
      <c r="F183" t="str">
        <f>Pvt_Map_1[[#This Row],[Kode Barang Win]]</f>
        <v>F4065003002013</v>
      </c>
    </row>
    <row r="184" spans="1:6">
      <c r="A184" t="s">
        <v>1302</v>
      </c>
      <c r="B184">
        <v>191701700</v>
      </c>
      <c r="C184" t="s">
        <v>187</v>
      </c>
      <c r="D184">
        <v>48</v>
      </c>
      <c r="E184">
        <v>1</v>
      </c>
      <c r="F184" t="str">
        <f>Pvt_Map_1[[#This Row],[Kode Barang Win]]</f>
        <v>F4065004008020</v>
      </c>
    </row>
    <row r="185" spans="1:6">
      <c r="A185" t="s">
        <v>1303</v>
      </c>
      <c r="B185" t="s">
        <v>1276</v>
      </c>
      <c r="C185" t="s">
        <v>187</v>
      </c>
      <c r="D185">
        <v>72</v>
      </c>
      <c r="E185">
        <v>1</v>
      </c>
      <c r="F185" t="str">
        <f>Pvt_Map_1[[#This Row],[Kode Barang Win]]</f>
        <v>F4066003006013</v>
      </c>
    </row>
    <row r="186" spans="1:6">
      <c r="A186" t="s">
        <v>1304</v>
      </c>
      <c r="B186" t="s">
        <v>1258</v>
      </c>
      <c r="C186" t="s">
        <v>736</v>
      </c>
      <c r="D186">
        <v>24</v>
      </c>
      <c r="E186">
        <v>1</v>
      </c>
      <c r="F186" t="str">
        <f>Pvt_Map_1[[#This Row],[Kode Barang Win]]</f>
        <v>F4066006006020</v>
      </c>
    </row>
    <row r="187" spans="1:6">
      <c r="A187" t="s">
        <v>1305</v>
      </c>
      <c r="B187">
        <v>131702001</v>
      </c>
      <c r="C187" t="s">
        <v>732</v>
      </c>
      <c r="D187">
        <v>120</v>
      </c>
      <c r="E187">
        <v>1</v>
      </c>
      <c r="F187" t="str">
        <f>Pvt_Map_1[[#This Row],[Kode Barang Win]]</f>
        <v>F40611001001010</v>
      </c>
    </row>
    <row r="188" spans="1:6">
      <c r="A188" t="s">
        <v>1306</v>
      </c>
      <c r="B188">
        <v>131703001</v>
      </c>
      <c r="C188" t="s">
        <v>732</v>
      </c>
      <c r="D188">
        <v>120</v>
      </c>
      <c r="E188">
        <v>1</v>
      </c>
      <c r="F188" t="str">
        <f>Pvt_Map_1[[#This Row],[Kode Barang Win]]</f>
        <v>F40611002001010</v>
      </c>
    </row>
    <row r="189" spans="1:6">
      <c r="A189" t="s">
        <v>1307</v>
      </c>
      <c r="B189" t="s">
        <v>1290</v>
      </c>
      <c r="C189" t="s">
        <v>671</v>
      </c>
      <c r="D189">
        <v>24</v>
      </c>
      <c r="E189">
        <v>1</v>
      </c>
      <c r="F189" t="str">
        <f>Pvt_Map_1[[#This Row],[Kode Barang Win]]</f>
        <v>F4071103038010</v>
      </c>
    </row>
    <row r="190" spans="1:6">
      <c r="A190" t="s">
        <v>1308</v>
      </c>
      <c r="B190" t="s">
        <v>1291</v>
      </c>
      <c r="C190" t="s">
        <v>671</v>
      </c>
      <c r="D190">
        <v>24</v>
      </c>
      <c r="E190">
        <v>1</v>
      </c>
      <c r="F190" t="str">
        <f>Pvt_Map_1[[#This Row],[Kode Barang Win]]</f>
        <v>F4071104038010</v>
      </c>
    </row>
    <row r="191" spans="1:6">
      <c r="A191" t="s">
        <v>1309</v>
      </c>
      <c r="B191" t="s">
        <v>1146</v>
      </c>
      <c r="C191">
        <v>0</v>
      </c>
      <c r="D191" t="s">
        <v>1146</v>
      </c>
      <c r="F191" t="str">
        <f>Pvt_Map_1[[#This Row],[Kode Barang Win]]</f>
        <v/>
      </c>
    </row>
    <row r="192" spans="1:6">
      <c r="A192" t="s">
        <v>1312</v>
      </c>
      <c r="B192" t="s">
        <v>1310</v>
      </c>
      <c r="C192" t="s">
        <v>705</v>
      </c>
      <c r="D192">
        <v>48</v>
      </c>
      <c r="F192" t="str">
        <f>Pvt_Map_1[[#This Row],[Kode Barang Win]]</f>
        <v>F4062005010010</v>
      </c>
    </row>
    <row r="193" spans="1:6">
      <c r="A193" t="s">
        <v>1336</v>
      </c>
      <c r="B193">
        <v>101701008</v>
      </c>
      <c r="C193" t="s">
        <v>733</v>
      </c>
      <c r="D193">
        <v>96</v>
      </c>
      <c r="E193">
        <v>1</v>
      </c>
      <c r="F193" t="str">
        <f>Pvt_Map_1[[#This Row],[Kode Barang Win]]</f>
        <v>F4068002001520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8114-43A3-485B-8740-EA83B0BF86FB}">
  <sheetPr>
    <tabColor rgb="FFFFFF00"/>
  </sheetPr>
  <dimension ref="A1:W136"/>
  <sheetViews>
    <sheetView workbookViewId="0">
      <selection activeCell="B67" sqref="B67"/>
    </sheetView>
  </sheetViews>
  <sheetFormatPr defaultRowHeight="15"/>
  <cols>
    <col min="1" max="1" width="16.5703125" bestFit="1" customWidth="1"/>
    <col min="2" max="2" width="54.7109375" bestFit="1" customWidth="1"/>
    <col min="3" max="3" width="9.85546875" bestFit="1" customWidth="1"/>
    <col min="4" max="4" width="10.7109375" bestFit="1" customWidth="1"/>
    <col min="5" max="5" width="23.28515625" bestFit="1" customWidth="1"/>
    <col min="6" max="6" width="22.7109375" bestFit="1" customWidth="1"/>
    <col min="7" max="7" width="22.85546875" bestFit="1" customWidth="1"/>
    <col min="8" max="8" width="23" bestFit="1" customWidth="1"/>
    <col min="9" max="9" width="22.7109375" bestFit="1" customWidth="1"/>
    <col min="10" max="10" width="25.7109375" bestFit="1" customWidth="1"/>
    <col min="11" max="11" width="25.85546875" bestFit="1" customWidth="1"/>
    <col min="12" max="12" width="25.28515625" bestFit="1" customWidth="1"/>
    <col min="13" max="13" width="25.7109375" bestFit="1" customWidth="1"/>
    <col min="14" max="14" width="26.140625" bestFit="1" customWidth="1"/>
    <col min="15" max="15" width="26.28515625" bestFit="1" customWidth="1"/>
    <col min="16" max="16" width="26.42578125" bestFit="1" customWidth="1"/>
    <col min="17" max="17" width="26.140625" bestFit="1" customWidth="1"/>
    <col min="18" max="18" width="26.85546875" bestFit="1" customWidth="1"/>
    <col min="19" max="23" width="14.28515625" bestFit="1" customWidth="1"/>
  </cols>
  <sheetData>
    <row r="1" spans="1:23">
      <c r="A1" t="s">
        <v>189</v>
      </c>
      <c r="B1" t="s">
        <v>190</v>
      </c>
      <c r="C1" t="s">
        <v>4</v>
      </c>
      <c r="D1" t="s">
        <v>1</v>
      </c>
      <c r="E1" t="s">
        <v>191</v>
      </c>
      <c r="F1" t="s">
        <v>40</v>
      </c>
      <c r="G1" t="s">
        <v>39</v>
      </c>
      <c r="H1" t="s">
        <v>41</v>
      </c>
      <c r="I1" t="s">
        <v>42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192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</row>
    <row r="2" spans="1:23">
      <c r="A2" t="s">
        <v>789</v>
      </c>
      <c r="B2" t="s">
        <v>905</v>
      </c>
      <c r="C2">
        <v>6</v>
      </c>
      <c r="D2" t="s">
        <v>735</v>
      </c>
      <c r="E2" t="s">
        <v>906</v>
      </c>
      <c r="F2">
        <v>30029.189189189186</v>
      </c>
      <c r="G2">
        <v>180175.13513513512</v>
      </c>
      <c r="H2">
        <v>33332.400000000001</v>
      </c>
      <c r="I2">
        <v>199994.4</v>
      </c>
      <c r="J2">
        <v>32432.43243243243</v>
      </c>
      <c r="K2">
        <v>194594.59459459459</v>
      </c>
      <c r="L2">
        <v>36000</v>
      </c>
      <c r="M2">
        <v>216000</v>
      </c>
      <c r="O2">
        <v>0</v>
      </c>
      <c r="P2">
        <v>0</v>
      </c>
      <c r="Q2">
        <v>0</v>
      </c>
      <c r="R2" t="s">
        <v>637</v>
      </c>
      <c r="S2" t="str">
        <f>IFERROR(VLOOKUP(CONCATENATE(Fix_Mapping[[#This Row],[KODE BARANG]],1),'Form Fix'!$A$6:$F$286,4,0),0)</f>
        <v>040411111</v>
      </c>
      <c r="T2">
        <f>IFERROR(VLOOKUP(CONCATENATE(Fix_Mapping[[#This Row],[KODE BARANG]],2),'Form Fix'!$A$6:$F$286,4,0),0)</f>
        <v>0</v>
      </c>
      <c r="U2">
        <f>IFERROR(VLOOKUP(CONCATENATE(Fix_Mapping[[#This Row],[KODE BARANG]],3),'Form Fix'!$A$6:$F$286,4,0),0)</f>
        <v>0</v>
      </c>
      <c r="V2">
        <f>IFERROR(VLOOKUP(CONCATENATE(Fix_Mapping[[#This Row],[KODE BARANG]],4),'Form Fix'!$A$6:$F$286,4,0),0)</f>
        <v>0</v>
      </c>
      <c r="W2">
        <f>IFERROR(VLOOKUP(CONCATENATE(Fix_Mapping[[#This Row],[KODE BARANG]],5),'Form Fix'!$A$6:$F$286,4,0),0)</f>
        <v>0</v>
      </c>
    </row>
    <row r="3" spans="1:23">
      <c r="A3" t="s">
        <v>790</v>
      </c>
      <c r="B3" t="s">
        <v>907</v>
      </c>
      <c r="C3">
        <v>24</v>
      </c>
      <c r="D3" t="s">
        <v>671</v>
      </c>
      <c r="E3" t="s">
        <v>1020</v>
      </c>
      <c r="F3">
        <v>21937.990990990987</v>
      </c>
      <c r="G3">
        <v>526511.78378378367</v>
      </c>
      <c r="H3">
        <v>24351.17</v>
      </c>
      <c r="I3">
        <v>584428.07999999996</v>
      </c>
      <c r="J3">
        <v>23693.693693693695</v>
      </c>
      <c r="K3">
        <v>568648.64864864864</v>
      </c>
      <c r="L3">
        <v>26300.000000000004</v>
      </c>
      <c r="M3">
        <v>631200</v>
      </c>
      <c r="O3">
        <v>0</v>
      </c>
      <c r="P3">
        <v>0</v>
      </c>
      <c r="Q3">
        <v>0</v>
      </c>
      <c r="R3" t="s">
        <v>637</v>
      </c>
      <c r="S3" t="str">
        <f>IFERROR(VLOOKUP(CONCATENATE(Fix_Mapping[[#This Row],[KODE BARANG]],1),'Form Fix'!$A$6:$F$286,4,0),0)</f>
        <v>050413100</v>
      </c>
      <c r="T3">
        <f>IFERROR(VLOOKUP(CONCATENATE(Fix_Mapping[[#This Row],[KODE BARANG]],2),'Form Fix'!$A$6:$F$286,4,0),0)</f>
        <v>0</v>
      </c>
      <c r="U3">
        <f>IFERROR(VLOOKUP(CONCATENATE(Fix_Mapping[[#This Row],[KODE BARANG]],3),'Form Fix'!$A$6:$F$286,4,0),0)</f>
        <v>0</v>
      </c>
      <c r="V3">
        <f>IFERROR(VLOOKUP(CONCATENATE(Fix_Mapping[[#This Row],[KODE BARANG]],4),'Form Fix'!$A$6:$F$286,4,0),0)</f>
        <v>0</v>
      </c>
      <c r="W3">
        <f>IFERROR(VLOOKUP(CONCATENATE(Fix_Mapping[[#This Row],[KODE BARANG]],5),'Form Fix'!$A$6:$F$286,4,0),0)</f>
        <v>0</v>
      </c>
    </row>
    <row r="4" spans="1:23">
      <c r="A4" t="s">
        <v>791</v>
      </c>
      <c r="B4" t="s">
        <v>908</v>
      </c>
      <c r="C4">
        <v>24</v>
      </c>
      <c r="D4" t="s">
        <v>671</v>
      </c>
      <c r="E4" t="s">
        <v>1020</v>
      </c>
      <c r="F4">
        <v>21937.990990990987</v>
      </c>
      <c r="G4">
        <v>526511.78378378367</v>
      </c>
      <c r="H4">
        <v>24351.17</v>
      </c>
      <c r="I4">
        <v>584428.07999999996</v>
      </c>
      <c r="J4">
        <v>23693.693693693695</v>
      </c>
      <c r="K4">
        <v>568648.64864864864</v>
      </c>
      <c r="L4">
        <v>26300.000000000004</v>
      </c>
      <c r="M4">
        <v>631200</v>
      </c>
      <c r="O4">
        <v>0</v>
      </c>
      <c r="P4">
        <v>0</v>
      </c>
      <c r="Q4">
        <v>0</v>
      </c>
      <c r="R4" t="s">
        <v>637</v>
      </c>
      <c r="S4" t="str">
        <f>IFERROR(VLOOKUP(CONCATENATE(Fix_Mapping[[#This Row],[KODE BARANG]],1),'Form Fix'!$A$6:$F$286,4,0),0)</f>
        <v>050415100</v>
      </c>
      <c r="T4">
        <f>IFERROR(VLOOKUP(CONCATENATE(Fix_Mapping[[#This Row],[KODE BARANG]],2),'Form Fix'!$A$6:$F$286,4,0),0)</f>
        <v>0</v>
      </c>
      <c r="U4">
        <f>IFERROR(VLOOKUP(CONCATENATE(Fix_Mapping[[#This Row],[KODE BARANG]],3),'Form Fix'!$A$6:$F$286,4,0),0)</f>
        <v>0</v>
      </c>
      <c r="V4">
        <f>IFERROR(VLOOKUP(CONCATENATE(Fix_Mapping[[#This Row],[KODE BARANG]],4),'Form Fix'!$A$6:$F$286,4,0),0)</f>
        <v>0</v>
      </c>
      <c r="W4">
        <f>IFERROR(VLOOKUP(CONCATENATE(Fix_Mapping[[#This Row],[KODE BARANG]],5),'Form Fix'!$A$6:$F$286,4,0),0)</f>
        <v>0</v>
      </c>
    </row>
    <row r="5" spans="1:23">
      <c r="A5" t="s">
        <v>792</v>
      </c>
      <c r="B5" t="s">
        <v>909</v>
      </c>
      <c r="C5">
        <v>24</v>
      </c>
      <c r="D5" t="s">
        <v>730</v>
      </c>
      <c r="E5" t="s">
        <v>1020</v>
      </c>
      <c r="F5">
        <v>35034.054054054046</v>
      </c>
      <c r="G5">
        <v>840817.29729729705</v>
      </c>
      <c r="H5">
        <v>38887.799999999996</v>
      </c>
      <c r="I5">
        <v>933307.19999999984</v>
      </c>
      <c r="J5">
        <v>37837.837837837833</v>
      </c>
      <c r="K5">
        <v>908108.10810810793</v>
      </c>
      <c r="L5">
        <v>42000</v>
      </c>
      <c r="M5">
        <v>1007999.9999999999</v>
      </c>
      <c r="O5">
        <v>0</v>
      </c>
      <c r="P5">
        <v>0</v>
      </c>
      <c r="Q5">
        <v>0</v>
      </c>
      <c r="R5" t="s">
        <v>637</v>
      </c>
      <c r="S5" t="str">
        <f>IFERROR(VLOOKUP(CONCATENATE(Fix_Mapping[[#This Row],[KODE BARANG]],1),'Form Fix'!$A$6:$F$286,4,0),0)</f>
        <v>050413200</v>
      </c>
      <c r="T5">
        <f>IFERROR(VLOOKUP(CONCATENATE(Fix_Mapping[[#This Row],[KODE BARANG]],2),'Form Fix'!$A$6:$F$286,4,0),0)</f>
        <v>0</v>
      </c>
      <c r="U5">
        <f>IFERROR(VLOOKUP(CONCATENATE(Fix_Mapping[[#This Row],[KODE BARANG]],3),'Form Fix'!$A$6:$F$286,4,0),0)</f>
        <v>0</v>
      </c>
      <c r="V5">
        <f>IFERROR(VLOOKUP(CONCATENATE(Fix_Mapping[[#This Row],[KODE BARANG]],4),'Form Fix'!$A$6:$F$286,4,0),0)</f>
        <v>0</v>
      </c>
      <c r="W5">
        <f>IFERROR(VLOOKUP(CONCATENATE(Fix_Mapping[[#This Row],[KODE BARANG]],5),'Form Fix'!$A$6:$F$286,4,0),0)</f>
        <v>0</v>
      </c>
    </row>
    <row r="6" spans="1:23">
      <c r="A6" t="s">
        <v>793</v>
      </c>
      <c r="B6" t="s">
        <v>910</v>
      </c>
      <c r="C6">
        <v>24</v>
      </c>
      <c r="D6" t="s">
        <v>730</v>
      </c>
      <c r="E6" t="s">
        <v>1020</v>
      </c>
      <c r="F6">
        <v>35034.054054054046</v>
      </c>
      <c r="G6">
        <v>840817.29729729705</v>
      </c>
      <c r="H6">
        <v>38887.799999999996</v>
      </c>
      <c r="I6">
        <v>933307.19999999984</v>
      </c>
      <c r="J6">
        <v>37837.837837837833</v>
      </c>
      <c r="K6">
        <v>908108.10810810793</v>
      </c>
      <c r="L6">
        <v>42000</v>
      </c>
      <c r="M6">
        <v>1007999.9999999999</v>
      </c>
      <c r="O6">
        <v>0</v>
      </c>
      <c r="P6">
        <v>0</v>
      </c>
      <c r="Q6">
        <v>0</v>
      </c>
      <c r="R6" t="s">
        <v>637</v>
      </c>
      <c r="S6" t="str">
        <f>IFERROR(VLOOKUP(CONCATENATE(Fix_Mapping[[#This Row],[KODE BARANG]],1),'Form Fix'!$A$6:$F$286,4,0),0)</f>
        <v>050415200</v>
      </c>
      <c r="T6">
        <f>IFERROR(VLOOKUP(CONCATENATE(Fix_Mapping[[#This Row],[KODE BARANG]],2),'Form Fix'!$A$6:$F$286,4,0),0)</f>
        <v>0</v>
      </c>
      <c r="U6">
        <f>IFERROR(VLOOKUP(CONCATENATE(Fix_Mapping[[#This Row],[KODE BARANG]],3),'Form Fix'!$A$6:$F$286,4,0),0)</f>
        <v>0</v>
      </c>
      <c r="V6">
        <f>IFERROR(VLOOKUP(CONCATENATE(Fix_Mapping[[#This Row],[KODE BARANG]],4),'Form Fix'!$A$6:$F$286,4,0),0)</f>
        <v>0</v>
      </c>
      <c r="W6">
        <f>IFERROR(VLOOKUP(CONCATENATE(Fix_Mapping[[#This Row],[KODE BARANG]],5),'Form Fix'!$A$6:$F$286,4,0),0)</f>
        <v>0</v>
      </c>
    </row>
    <row r="7" spans="1:23">
      <c r="A7" t="s">
        <v>794</v>
      </c>
      <c r="B7" t="s">
        <v>911</v>
      </c>
      <c r="C7">
        <v>72</v>
      </c>
      <c r="D7" t="s">
        <v>187</v>
      </c>
      <c r="E7" t="s">
        <v>1022</v>
      </c>
      <c r="F7">
        <v>2585.8468468468468</v>
      </c>
      <c r="G7">
        <v>186180.97297297296</v>
      </c>
      <c r="H7">
        <v>2870.2900000000004</v>
      </c>
      <c r="I7">
        <v>206660.88</v>
      </c>
      <c r="J7">
        <v>2792.7927927927926</v>
      </c>
      <c r="K7">
        <v>201081.08108108107</v>
      </c>
      <c r="L7">
        <v>3100</v>
      </c>
      <c r="M7">
        <v>223200</v>
      </c>
      <c r="O7">
        <v>0</v>
      </c>
      <c r="P7">
        <v>0</v>
      </c>
      <c r="Q7">
        <v>0</v>
      </c>
      <c r="R7" t="s">
        <v>637</v>
      </c>
      <c r="S7" t="str">
        <f>IFERROR(VLOOKUP(CONCATENATE(Fix_Mapping[[#This Row],[KODE BARANG]],1),'Form Fix'!$A$6:$F$286,4,0),0)</f>
        <v>040413100</v>
      </c>
      <c r="T7">
        <f>IFERROR(VLOOKUP(CONCATENATE(Fix_Mapping[[#This Row],[KODE BARANG]],2),'Form Fix'!$A$6:$F$286,4,0),0)</f>
        <v>0</v>
      </c>
      <c r="U7">
        <f>IFERROR(VLOOKUP(CONCATENATE(Fix_Mapping[[#This Row],[KODE BARANG]],3),'Form Fix'!$A$6:$F$286,4,0),0)</f>
        <v>0</v>
      </c>
      <c r="V7">
        <f>IFERROR(VLOOKUP(CONCATENATE(Fix_Mapping[[#This Row],[KODE BARANG]],4),'Form Fix'!$A$6:$F$286,4,0),0)</f>
        <v>0</v>
      </c>
      <c r="W7">
        <f>IFERROR(VLOOKUP(CONCATENATE(Fix_Mapping[[#This Row],[KODE BARANG]],5),'Form Fix'!$A$6:$F$286,4,0),0)</f>
        <v>0</v>
      </c>
    </row>
    <row r="8" spans="1:23">
      <c r="A8" t="s">
        <v>795</v>
      </c>
      <c r="B8" t="s">
        <v>912</v>
      </c>
      <c r="C8">
        <v>72</v>
      </c>
      <c r="D8" t="s">
        <v>187</v>
      </c>
      <c r="E8" t="s">
        <v>1022</v>
      </c>
      <c r="F8">
        <v>2585.8468468468468</v>
      </c>
      <c r="G8">
        <v>186180.97297297296</v>
      </c>
      <c r="H8">
        <v>2870.2900000000004</v>
      </c>
      <c r="I8">
        <v>206660.88</v>
      </c>
      <c r="J8">
        <v>2792.7927927927926</v>
      </c>
      <c r="K8">
        <v>201081.08108108107</v>
      </c>
      <c r="L8">
        <v>3100</v>
      </c>
      <c r="M8">
        <v>223200</v>
      </c>
      <c r="O8">
        <v>0</v>
      </c>
      <c r="P8">
        <v>0</v>
      </c>
      <c r="Q8">
        <v>0</v>
      </c>
      <c r="R8" t="s">
        <v>637</v>
      </c>
      <c r="S8" t="str">
        <f>IFERROR(VLOOKUP(CONCATENATE(Fix_Mapping[[#This Row],[KODE BARANG]],1),'Form Fix'!$A$6:$F$286,4,0),0)</f>
        <v>040415100</v>
      </c>
      <c r="T8">
        <f>IFERROR(VLOOKUP(CONCATENATE(Fix_Mapping[[#This Row],[KODE BARANG]],2),'Form Fix'!$A$6:$F$286,4,0),0)</f>
        <v>0</v>
      </c>
      <c r="U8">
        <f>IFERROR(VLOOKUP(CONCATENATE(Fix_Mapping[[#This Row],[KODE BARANG]],3),'Form Fix'!$A$6:$F$286,4,0),0)</f>
        <v>0</v>
      </c>
      <c r="V8">
        <f>IFERROR(VLOOKUP(CONCATENATE(Fix_Mapping[[#This Row],[KODE BARANG]],4),'Form Fix'!$A$6:$F$286,4,0),0)</f>
        <v>0</v>
      </c>
      <c r="W8">
        <f>IFERROR(VLOOKUP(CONCATENATE(Fix_Mapping[[#This Row],[KODE BARANG]],5),'Form Fix'!$A$6:$F$286,4,0),0)</f>
        <v>0</v>
      </c>
    </row>
    <row r="9" spans="1:23">
      <c r="A9" t="s">
        <v>796</v>
      </c>
      <c r="B9" t="s">
        <v>913</v>
      </c>
      <c r="C9">
        <v>72</v>
      </c>
      <c r="D9" t="s">
        <v>187</v>
      </c>
      <c r="E9" t="s">
        <v>1024</v>
      </c>
      <c r="F9">
        <v>7507.2972972972966</v>
      </c>
      <c r="G9">
        <v>540525.40540540533</v>
      </c>
      <c r="H9">
        <v>8333.1</v>
      </c>
      <c r="I9">
        <v>599983.19999999995</v>
      </c>
      <c r="J9">
        <v>8108.1081081081084</v>
      </c>
      <c r="K9">
        <v>583783.78378378379</v>
      </c>
      <c r="L9">
        <v>9000.0000000000018</v>
      </c>
      <c r="M9">
        <v>648000.00000000012</v>
      </c>
      <c r="O9">
        <v>0</v>
      </c>
      <c r="P9">
        <v>0</v>
      </c>
      <c r="Q9">
        <v>0</v>
      </c>
      <c r="R9" t="s">
        <v>637</v>
      </c>
      <c r="S9" t="str">
        <f>IFERROR(VLOOKUP(CONCATENATE(Fix_Mapping[[#This Row],[KODE BARANG]],1),'Form Fix'!$A$6:$F$286,4,0),0)</f>
        <v>040402200</v>
      </c>
      <c r="T9">
        <f>IFERROR(VLOOKUP(CONCATENATE(Fix_Mapping[[#This Row],[KODE BARANG]],2),'Form Fix'!$A$6:$F$286,4,0),0)</f>
        <v>0</v>
      </c>
      <c r="U9">
        <f>IFERROR(VLOOKUP(CONCATENATE(Fix_Mapping[[#This Row],[KODE BARANG]],3),'Form Fix'!$A$6:$F$286,4,0),0)</f>
        <v>0</v>
      </c>
      <c r="V9">
        <f>IFERROR(VLOOKUP(CONCATENATE(Fix_Mapping[[#This Row],[KODE BARANG]],4),'Form Fix'!$A$6:$F$286,4,0),0)</f>
        <v>0</v>
      </c>
      <c r="W9">
        <f>IFERROR(VLOOKUP(CONCATENATE(Fix_Mapping[[#This Row],[KODE BARANG]],5),'Form Fix'!$A$6:$F$286,4,0),0)</f>
        <v>0</v>
      </c>
    </row>
    <row r="10" spans="1:23">
      <c r="A10" t="s">
        <v>797</v>
      </c>
      <c r="B10" t="s">
        <v>914</v>
      </c>
      <c r="C10">
        <v>24</v>
      </c>
      <c r="D10" t="s">
        <v>730</v>
      </c>
      <c r="E10" t="s">
        <v>1026</v>
      </c>
      <c r="F10">
        <v>19685.801801801801</v>
      </c>
      <c r="G10">
        <v>472459.2432432432</v>
      </c>
      <c r="H10">
        <v>21851.24</v>
      </c>
      <c r="I10">
        <v>524429.76</v>
      </c>
      <c r="J10">
        <v>21261.261261261261</v>
      </c>
      <c r="K10">
        <v>510270.2702702703</v>
      </c>
      <c r="L10">
        <v>23600.000000000004</v>
      </c>
      <c r="M10">
        <v>566400.00000000012</v>
      </c>
      <c r="O10">
        <v>0</v>
      </c>
      <c r="P10">
        <v>0</v>
      </c>
      <c r="Q10">
        <v>0</v>
      </c>
      <c r="R10" t="s">
        <v>637</v>
      </c>
      <c r="S10" t="str">
        <f>IFERROR(VLOOKUP(CONCATENATE(Fix_Mapping[[#This Row],[KODE BARANG]],1),'Form Fix'!$A$6:$F$286,4,0),0)</f>
        <v>050703100</v>
      </c>
      <c r="T10">
        <f>IFERROR(VLOOKUP(CONCATENATE(Fix_Mapping[[#This Row],[KODE BARANG]],2),'Form Fix'!$A$6:$F$286,4,0),0)</f>
        <v>0</v>
      </c>
      <c r="U10">
        <f>IFERROR(VLOOKUP(CONCATENATE(Fix_Mapping[[#This Row],[KODE BARANG]],3),'Form Fix'!$A$6:$F$286,4,0),0)</f>
        <v>0</v>
      </c>
      <c r="V10">
        <f>IFERROR(VLOOKUP(CONCATENATE(Fix_Mapping[[#This Row],[KODE BARANG]],4),'Form Fix'!$A$6:$F$286,4,0),0)</f>
        <v>0</v>
      </c>
      <c r="W10">
        <f>IFERROR(VLOOKUP(CONCATENATE(Fix_Mapping[[#This Row],[KODE BARANG]],5),'Form Fix'!$A$6:$F$286,4,0),0)</f>
        <v>0</v>
      </c>
    </row>
    <row r="11" spans="1:23">
      <c r="A11" t="s">
        <v>798</v>
      </c>
      <c r="B11" t="s">
        <v>915</v>
      </c>
      <c r="C11">
        <v>24</v>
      </c>
      <c r="D11" t="s">
        <v>671</v>
      </c>
      <c r="E11" t="s">
        <v>1026</v>
      </c>
      <c r="F11">
        <v>19685.801801801801</v>
      </c>
      <c r="G11">
        <v>472459.2432432432</v>
      </c>
      <c r="H11">
        <v>21851.24</v>
      </c>
      <c r="I11">
        <v>524429.76</v>
      </c>
      <c r="J11">
        <v>21261.261261261261</v>
      </c>
      <c r="K11">
        <v>510270.2702702703</v>
      </c>
      <c r="L11">
        <v>23600.000000000004</v>
      </c>
      <c r="M11">
        <v>566400.00000000012</v>
      </c>
      <c r="O11">
        <v>0</v>
      </c>
      <c r="P11">
        <v>0</v>
      </c>
      <c r="Q11">
        <v>0</v>
      </c>
      <c r="R11" t="s">
        <v>637</v>
      </c>
      <c r="S11" t="str">
        <f>IFERROR(VLOOKUP(CONCATENATE(Fix_Mapping[[#This Row],[KODE BARANG]],1),'Form Fix'!$A$6:$F$286,4,0),0)</f>
        <v>050702100</v>
      </c>
      <c r="T11">
        <f>IFERROR(VLOOKUP(CONCATENATE(Fix_Mapping[[#This Row],[KODE BARANG]],2),'Form Fix'!$A$6:$F$286,4,0),0)</f>
        <v>0</v>
      </c>
      <c r="U11">
        <f>IFERROR(VLOOKUP(CONCATENATE(Fix_Mapping[[#This Row],[KODE BARANG]],3),'Form Fix'!$A$6:$F$286,4,0),0)</f>
        <v>0</v>
      </c>
      <c r="V11">
        <f>IFERROR(VLOOKUP(CONCATENATE(Fix_Mapping[[#This Row],[KODE BARANG]],4),'Form Fix'!$A$6:$F$286,4,0),0)</f>
        <v>0</v>
      </c>
      <c r="W11">
        <f>IFERROR(VLOOKUP(CONCATENATE(Fix_Mapping[[#This Row],[KODE BARANG]],5),'Form Fix'!$A$6:$F$286,4,0),0)</f>
        <v>0</v>
      </c>
    </row>
    <row r="12" spans="1:23">
      <c r="A12" t="s">
        <v>799</v>
      </c>
      <c r="B12" t="s">
        <v>916</v>
      </c>
      <c r="C12">
        <v>24</v>
      </c>
      <c r="D12" t="s">
        <v>671</v>
      </c>
      <c r="E12" t="s">
        <v>1026</v>
      </c>
      <c r="F12">
        <v>19685.801801801801</v>
      </c>
      <c r="G12">
        <v>472459.2432432432</v>
      </c>
      <c r="H12">
        <v>21851.24</v>
      </c>
      <c r="I12">
        <v>524429.76</v>
      </c>
      <c r="J12">
        <v>21261.261261261261</v>
      </c>
      <c r="K12">
        <v>510270.2702702703</v>
      </c>
      <c r="L12">
        <v>23600.000000000004</v>
      </c>
      <c r="M12">
        <v>566400.00000000012</v>
      </c>
      <c r="O12">
        <v>0</v>
      </c>
      <c r="P12">
        <v>0</v>
      </c>
      <c r="Q12">
        <v>0</v>
      </c>
      <c r="R12" t="s">
        <v>637</v>
      </c>
      <c r="S12" t="str">
        <f>IFERROR(VLOOKUP(CONCATENATE(Fix_Mapping[[#This Row],[KODE BARANG]],1),'Form Fix'!$A$6:$F$286,4,0),0)</f>
        <v>050701100</v>
      </c>
      <c r="T12">
        <f>IFERROR(VLOOKUP(CONCATENATE(Fix_Mapping[[#This Row],[KODE BARANG]],2),'Form Fix'!$A$6:$F$286,4,0),0)</f>
        <v>0</v>
      </c>
      <c r="U12">
        <f>IFERROR(VLOOKUP(CONCATENATE(Fix_Mapping[[#This Row],[KODE BARANG]],3),'Form Fix'!$A$6:$F$286,4,0),0)</f>
        <v>0</v>
      </c>
      <c r="V12">
        <f>IFERROR(VLOOKUP(CONCATENATE(Fix_Mapping[[#This Row],[KODE BARANG]],4),'Form Fix'!$A$6:$F$286,4,0),0)</f>
        <v>0</v>
      </c>
      <c r="W12">
        <f>IFERROR(VLOOKUP(CONCATENATE(Fix_Mapping[[#This Row],[KODE BARANG]],5),'Form Fix'!$A$6:$F$286,4,0),0)</f>
        <v>0</v>
      </c>
    </row>
    <row r="13" spans="1:23">
      <c r="A13" t="s">
        <v>800</v>
      </c>
      <c r="B13" t="s">
        <v>917</v>
      </c>
      <c r="C13">
        <v>24</v>
      </c>
      <c r="D13" t="s">
        <v>705</v>
      </c>
      <c r="E13" t="s">
        <v>1026</v>
      </c>
      <c r="F13">
        <v>28360.900900900899</v>
      </c>
      <c r="G13">
        <v>680661.62162162154</v>
      </c>
      <c r="H13">
        <v>31480.6</v>
      </c>
      <c r="I13">
        <v>755534.4</v>
      </c>
      <c r="J13">
        <v>30630.630630630625</v>
      </c>
      <c r="K13">
        <v>735135.13513513503</v>
      </c>
      <c r="L13">
        <v>34000</v>
      </c>
      <c r="M13">
        <v>816000</v>
      </c>
      <c r="O13">
        <v>0</v>
      </c>
      <c r="P13">
        <v>0</v>
      </c>
      <c r="Q13">
        <v>0</v>
      </c>
      <c r="R13" t="s">
        <v>637</v>
      </c>
      <c r="S13" t="str">
        <f>IFERROR(VLOOKUP(CONCATENATE(Fix_Mapping[[#This Row],[KODE BARANG]],1),'Form Fix'!$A$6:$F$286,4,0),0)</f>
        <v>050703101</v>
      </c>
      <c r="T13">
        <f>IFERROR(VLOOKUP(CONCATENATE(Fix_Mapping[[#This Row],[KODE BARANG]],2),'Form Fix'!$A$6:$F$286,4,0),0)</f>
        <v>0</v>
      </c>
      <c r="U13">
        <f>IFERROR(VLOOKUP(CONCATENATE(Fix_Mapping[[#This Row],[KODE BARANG]],3),'Form Fix'!$A$6:$F$286,4,0),0)</f>
        <v>0</v>
      </c>
      <c r="V13">
        <f>IFERROR(VLOOKUP(CONCATENATE(Fix_Mapping[[#This Row],[KODE BARANG]],4),'Form Fix'!$A$6:$F$286,4,0),0)</f>
        <v>0</v>
      </c>
      <c r="W13">
        <f>IFERROR(VLOOKUP(CONCATENATE(Fix_Mapping[[#This Row],[KODE BARANG]],5),'Form Fix'!$A$6:$F$286,4,0),0)</f>
        <v>0</v>
      </c>
    </row>
    <row r="14" spans="1:23">
      <c r="A14" t="s">
        <v>801</v>
      </c>
      <c r="B14" t="s">
        <v>918</v>
      </c>
      <c r="C14">
        <v>24</v>
      </c>
      <c r="D14" t="s">
        <v>705</v>
      </c>
      <c r="E14" t="s">
        <v>1026</v>
      </c>
      <c r="F14">
        <v>28360.900900900899</v>
      </c>
      <c r="G14">
        <v>680661.62162162154</v>
      </c>
      <c r="H14">
        <v>31480.6</v>
      </c>
      <c r="I14">
        <v>755534.4</v>
      </c>
      <c r="J14">
        <v>30630.630630630625</v>
      </c>
      <c r="K14">
        <v>735135.13513513503</v>
      </c>
      <c r="L14">
        <v>34000</v>
      </c>
      <c r="M14">
        <v>816000</v>
      </c>
      <c r="O14">
        <v>0</v>
      </c>
      <c r="P14">
        <v>0</v>
      </c>
      <c r="Q14">
        <v>0</v>
      </c>
      <c r="R14" t="s">
        <v>637</v>
      </c>
      <c r="S14" t="str">
        <f>IFERROR(VLOOKUP(CONCATENATE(Fix_Mapping[[#This Row],[KODE BARANG]],1),'Form Fix'!$A$6:$F$286,4,0),0)</f>
        <v>050702101</v>
      </c>
      <c r="T14">
        <f>IFERROR(VLOOKUP(CONCATENATE(Fix_Mapping[[#This Row],[KODE BARANG]],2),'Form Fix'!$A$6:$F$286,4,0),0)</f>
        <v>0</v>
      </c>
      <c r="U14">
        <f>IFERROR(VLOOKUP(CONCATENATE(Fix_Mapping[[#This Row],[KODE BARANG]],3),'Form Fix'!$A$6:$F$286,4,0),0)</f>
        <v>0</v>
      </c>
      <c r="V14">
        <f>IFERROR(VLOOKUP(CONCATENATE(Fix_Mapping[[#This Row],[KODE BARANG]],4),'Form Fix'!$A$6:$F$286,4,0),0)</f>
        <v>0</v>
      </c>
      <c r="W14">
        <f>IFERROR(VLOOKUP(CONCATENATE(Fix_Mapping[[#This Row],[KODE BARANG]],5),'Form Fix'!$A$6:$F$286,4,0),0)</f>
        <v>0</v>
      </c>
    </row>
    <row r="15" spans="1:23">
      <c r="A15" t="s">
        <v>802</v>
      </c>
      <c r="B15" t="s">
        <v>919</v>
      </c>
      <c r="C15">
        <v>24</v>
      </c>
      <c r="D15" t="s">
        <v>730</v>
      </c>
      <c r="E15" t="s">
        <v>1026</v>
      </c>
      <c r="F15">
        <v>28360.900900900899</v>
      </c>
      <c r="G15">
        <v>680661.62162162154</v>
      </c>
      <c r="H15">
        <v>31480.6</v>
      </c>
      <c r="I15">
        <v>755534.4</v>
      </c>
      <c r="J15">
        <v>30630.630630630625</v>
      </c>
      <c r="K15">
        <v>735135.13513513503</v>
      </c>
      <c r="L15">
        <v>34000</v>
      </c>
      <c r="M15">
        <v>816000</v>
      </c>
      <c r="O15">
        <v>0</v>
      </c>
      <c r="P15">
        <v>0</v>
      </c>
      <c r="Q15">
        <v>0</v>
      </c>
      <c r="R15" t="s">
        <v>637</v>
      </c>
      <c r="S15" t="str">
        <f>IFERROR(VLOOKUP(CONCATENATE(Fix_Mapping[[#This Row],[KODE BARANG]],1),'Form Fix'!$A$6:$F$286,4,0),0)</f>
        <v>050701101</v>
      </c>
      <c r="T15">
        <f>IFERROR(VLOOKUP(CONCATENATE(Fix_Mapping[[#This Row],[KODE BARANG]],2),'Form Fix'!$A$6:$F$286,4,0),0)</f>
        <v>0</v>
      </c>
      <c r="U15">
        <f>IFERROR(VLOOKUP(CONCATENATE(Fix_Mapping[[#This Row],[KODE BARANG]],3),'Form Fix'!$A$6:$F$286,4,0),0)</f>
        <v>0</v>
      </c>
      <c r="V15">
        <f>IFERROR(VLOOKUP(CONCATENATE(Fix_Mapping[[#This Row],[KODE BARANG]],4),'Form Fix'!$A$6:$F$286,4,0),0)</f>
        <v>0</v>
      </c>
      <c r="W15">
        <f>IFERROR(VLOOKUP(CONCATENATE(Fix_Mapping[[#This Row],[KODE BARANG]],5),'Form Fix'!$A$6:$F$286,4,0),0)</f>
        <v>0</v>
      </c>
    </row>
    <row r="16" spans="1:23">
      <c r="A16" t="s">
        <v>803</v>
      </c>
      <c r="B16" t="s">
        <v>920</v>
      </c>
      <c r="C16">
        <v>24</v>
      </c>
      <c r="D16" t="s">
        <v>736</v>
      </c>
      <c r="E16" t="s">
        <v>1028</v>
      </c>
      <c r="F16">
        <v>7090.2252252252247</v>
      </c>
      <c r="G16">
        <v>170165.40540540538</v>
      </c>
      <c r="H16">
        <v>7870.15</v>
      </c>
      <c r="I16">
        <v>188883.6</v>
      </c>
      <c r="J16">
        <v>7657.6576576576563</v>
      </c>
      <c r="K16">
        <v>183783.78378378376</v>
      </c>
      <c r="L16">
        <v>8500</v>
      </c>
      <c r="M16">
        <v>204000</v>
      </c>
      <c r="O16">
        <v>0</v>
      </c>
      <c r="P16">
        <v>0</v>
      </c>
      <c r="Q16">
        <v>0</v>
      </c>
      <c r="R16" t="s">
        <v>637</v>
      </c>
      <c r="S16" t="str">
        <f>IFERROR(VLOOKUP(CONCATENATE(Fix_Mapping[[#This Row],[KODE BARANG]],1),'Form Fix'!$A$6:$F$286,4,0),0)</f>
        <v>040703101</v>
      </c>
      <c r="T16">
        <f>IFERROR(VLOOKUP(CONCATENATE(Fix_Mapping[[#This Row],[KODE BARANG]],2),'Form Fix'!$A$6:$F$286,4,0),0)</f>
        <v>0</v>
      </c>
      <c r="U16">
        <f>IFERROR(VLOOKUP(CONCATENATE(Fix_Mapping[[#This Row],[KODE BARANG]],3),'Form Fix'!$A$6:$F$286,4,0),0)</f>
        <v>0</v>
      </c>
      <c r="V16">
        <f>IFERROR(VLOOKUP(CONCATENATE(Fix_Mapping[[#This Row],[KODE BARANG]],4),'Form Fix'!$A$6:$F$286,4,0),0)</f>
        <v>0</v>
      </c>
      <c r="W16">
        <f>IFERROR(VLOOKUP(CONCATENATE(Fix_Mapping[[#This Row],[KODE BARANG]],5),'Form Fix'!$A$6:$F$286,4,0),0)</f>
        <v>0</v>
      </c>
    </row>
    <row r="17" spans="1:23">
      <c r="A17" t="s">
        <v>804</v>
      </c>
      <c r="B17" t="s">
        <v>921</v>
      </c>
      <c r="C17">
        <v>72</v>
      </c>
      <c r="D17" t="s">
        <v>187</v>
      </c>
      <c r="E17" t="s">
        <v>1028</v>
      </c>
      <c r="F17">
        <v>2460.7252252252251</v>
      </c>
      <c r="G17">
        <v>177172.21621621621</v>
      </c>
      <c r="H17">
        <v>2731.4050000000002</v>
      </c>
      <c r="I17">
        <v>196661.16</v>
      </c>
      <c r="J17">
        <v>2657.6576576576572</v>
      </c>
      <c r="K17">
        <v>191351.3513513513</v>
      </c>
      <c r="L17">
        <v>2949.9999999999995</v>
      </c>
      <c r="M17">
        <v>212399.99999999997</v>
      </c>
      <c r="O17">
        <v>0</v>
      </c>
      <c r="P17">
        <v>0</v>
      </c>
      <c r="Q17">
        <v>0</v>
      </c>
      <c r="R17" t="s">
        <v>637</v>
      </c>
      <c r="S17" t="str">
        <f>IFERROR(VLOOKUP(CONCATENATE(Fix_Mapping[[#This Row],[KODE BARANG]],1),'Form Fix'!$A$6:$F$286,4,0),0)</f>
        <v>040703100</v>
      </c>
      <c r="T17">
        <f>IFERROR(VLOOKUP(CONCATENATE(Fix_Mapping[[#This Row],[KODE BARANG]],2),'Form Fix'!$A$6:$F$286,4,0),0)</f>
        <v>0</v>
      </c>
      <c r="U17">
        <f>IFERROR(VLOOKUP(CONCATENATE(Fix_Mapping[[#This Row],[KODE BARANG]],3),'Form Fix'!$A$6:$F$286,4,0),0)</f>
        <v>0</v>
      </c>
      <c r="V17">
        <f>IFERROR(VLOOKUP(CONCATENATE(Fix_Mapping[[#This Row],[KODE BARANG]],4),'Form Fix'!$A$6:$F$286,4,0),0)</f>
        <v>0</v>
      </c>
      <c r="W17">
        <f>IFERROR(VLOOKUP(CONCATENATE(Fix_Mapping[[#This Row],[KODE BARANG]],5),'Form Fix'!$A$6:$F$286,4,0),0)</f>
        <v>0</v>
      </c>
    </row>
    <row r="18" spans="1:23">
      <c r="A18" t="s">
        <v>805</v>
      </c>
      <c r="B18" t="s">
        <v>922</v>
      </c>
      <c r="C18">
        <v>24</v>
      </c>
      <c r="D18" t="s">
        <v>736</v>
      </c>
      <c r="E18" t="s">
        <v>1028</v>
      </c>
      <c r="F18">
        <v>7090.2252252252247</v>
      </c>
      <c r="G18">
        <v>170165.40540540538</v>
      </c>
      <c r="H18">
        <v>7870.15</v>
      </c>
      <c r="I18">
        <v>188883.6</v>
      </c>
      <c r="J18">
        <v>7657.6576576576563</v>
      </c>
      <c r="K18">
        <v>183783.78378378376</v>
      </c>
      <c r="L18">
        <v>8500</v>
      </c>
      <c r="M18">
        <v>204000</v>
      </c>
      <c r="O18">
        <v>0</v>
      </c>
      <c r="P18">
        <v>0</v>
      </c>
      <c r="Q18">
        <v>0</v>
      </c>
      <c r="R18" t="s">
        <v>637</v>
      </c>
      <c r="S18" t="str">
        <f>IFERROR(VLOOKUP(CONCATENATE(Fix_Mapping[[#This Row],[KODE BARANG]],1),'Form Fix'!$A$6:$F$286,4,0),0)</f>
        <v>040702101</v>
      </c>
      <c r="T18">
        <f>IFERROR(VLOOKUP(CONCATENATE(Fix_Mapping[[#This Row],[KODE BARANG]],2),'Form Fix'!$A$6:$F$286,4,0),0)</f>
        <v>0</v>
      </c>
      <c r="U18">
        <f>IFERROR(VLOOKUP(CONCATENATE(Fix_Mapping[[#This Row],[KODE BARANG]],3),'Form Fix'!$A$6:$F$286,4,0),0)</f>
        <v>0</v>
      </c>
      <c r="V18">
        <f>IFERROR(VLOOKUP(CONCATENATE(Fix_Mapping[[#This Row],[KODE BARANG]],4),'Form Fix'!$A$6:$F$286,4,0),0)</f>
        <v>0</v>
      </c>
      <c r="W18">
        <f>IFERROR(VLOOKUP(CONCATENATE(Fix_Mapping[[#This Row],[KODE BARANG]],5),'Form Fix'!$A$6:$F$286,4,0),0)</f>
        <v>0</v>
      </c>
    </row>
    <row r="19" spans="1:23">
      <c r="A19" t="s">
        <v>806</v>
      </c>
      <c r="B19" t="s">
        <v>923</v>
      </c>
      <c r="C19">
        <v>72</v>
      </c>
      <c r="D19" t="s">
        <v>187</v>
      </c>
      <c r="E19" t="s">
        <v>1028</v>
      </c>
      <c r="F19">
        <v>2460.7252252252251</v>
      </c>
      <c r="G19">
        <v>177172.21621621621</v>
      </c>
      <c r="H19">
        <v>2731.4050000000002</v>
      </c>
      <c r="I19">
        <v>196661.16</v>
      </c>
      <c r="J19">
        <v>2657.6576576576572</v>
      </c>
      <c r="K19">
        <v>191351.3513513513</v>
      </c>
      <c r="L19">
        <v>2949.9999999999995</v>
      </c>
      <c r="M19">
        <v>212399.99999999997</v>
      </c>
      <c r="O19">
        <v>0</v>
      </c>
      <c r="P19">
        <v>0</v>
      </c>
      <c r="Q19">
        <v>0</v>
      </c>
      <c r="R19" t="s">
        <v>637</v>
      </c>
      <c r="S19" t="str">
        <f>IFERROR(VLOOKUP(CONCATENATE(Fix_Mapping[[#This Row],[KODE BARANG]],1),'Form Fix'!$A$6:$F$286,4,0),0)</f>
        <v>040702100</v>
      </c>
      <c r="T19">
        <f>IFERROR(VLOOKUP(CONCATENATE(Fix_Mapping[[#This Row],[KODE BARANG]],2),'Form Fix'!$A$6:$F$286,4,0),0)</f>
        <v>0</v>
      </c>
      <c r="U19">
        <f>IFERROR(VLOOKUP(CONCATENATE(Fix_Mapping[[#This Row],[KODE BARANG]],3),'Form Fix'!$A$6:$F$286,4,0),0)</f>
        <v>0</v>
      </c>
      <c r="V19">
        <f>IFERROR(VLOOKUP(CONCATENATE(Fix_Mapping[[#This Row],[KODE BARANG]],4),'Form Fix'!$A$6:$F$286,4,0),0)</f>
        <v>0</v>
      </c>
      <c r="W19">
        <f>IFERROR(VLOOKUP(CONCATENATE(Fix_Mapping[[#This Row],[KODE BARANG]],5),'Form Fix'!$A$6:$F$286,4,0),0)</f>
        <v>0</v>
      </c>
    </row>
    <row r="20" spans="1:23">
      <c r="A20" t="s">
        <v>807</v>
      </c>
      <c r="B20" t="s">
        <v>924</v>
      </c>
      <c r="C20">
        <v>24</v>
      </c>
      <c r="D20" t="s">
        <v>736</v>
      </c>
      <c r="E20" t="s">
        <v>1028</v>
      </c>
      <c r="F20">
        <v>7090.2252252252247</v>
      </c>
      <c r="G20">
        <v>170165.40540540538</v>
      </c>
      <c r="H20">
        <v>7870.15</v>
      </c>
      <c r="I20">
        <v>188883.6</v>
      </c>
      <c r="J20">
        <v>7657.6576576576563</v>
      </c>
      <c r="K20">
        <v>183783.78378378376</v>
      </c>
      <c r="L20">
        <v>8500</v>
      </c>
      <c r="M20">
        <v>204000</v>
      </c>
      <c r="O20">
        <v>0</v>
      </c>
      <c r="P20">
        <v>0</v>
      </c>
      <c r="Q20">
        <v>0</v>
      </c>
      <c r="R20" t="s">
        <v>637</v>
      </c>
      <c r="S20" t="str">
        <f>IFERROR(VLOOKUP(CONCATENATE(Fix_Mapping[[#This Row],[KODE BARANG]],1),'Form Fix'!$A$6:$F$286,4,0),0)</f>
        <v>040701101</v>
      </c>
      <c r="T20">
        <f>IFERROR(VLOOKUP(CONCATENATE(Fix_Mapping[[#This Row],[KODE BARANG]],2),'Form Fix'!$A$6:$F$286,4,0),0)</f>
        <v>0</v>
      </c>
      <c r="U20">
        <f>IFERROR(VLOOKUP(CONCATENATE(Fix_Mapping[[#This Row],[KODE BARANG]],3),'Form Fix'!$A$6:$F$286,4,0),0)</f>
        <v>0</v>
      </c>
      <c r="V20">
        <f>IFERROR(VLOOKUP(CONCATENATE(Fix_Mapping[[#This Row],[KODE BARANG]],4),'Form Fix'!$A$6:$F$286,4,0),0)</f>
        <v>0</v>
      </c>
      <c r="W20">
        <f>IFERROR(VLOOKUP(CONCATENATE(Fix_Mapping[[#This Row],[KODE BARANG]],5),'Form Fix'!$A$6:$F$286,4,0),0)</f>
        <v>0</v>
      </c>
    </row>
    <row r="21" spans="1:23">
      <c r="A21" t="s">
        <v>808</v>
      </c>
      <c r="B21" t="s">
        <v>925</v>
      </c>
      <c r="C21">
        <v>72</v>
      </c>
      <c r="D21" t="s">
        <v>187</v>
      </c>
      <c r="E21" t="s">
        <v>1028</v>
      </c>
      <c r="F21">
        <v>2460.7252252252251</v>
      </c>
      <c r="G21">
        <v>177172.21621621621</v>
      </c>
      <c r="H21">
        <v>2731.4050000000002</v>
      </c>
      <c r="I21">
        <v>196661.16</v>
      </c>
      <c r="J21">
        <v>2657.6576576576572</v>
      </c>
      <c r="K21">
        <v>191351.3513513513</v>
      </c>
      <c r="L21">
        <v>2949.9999999999995</v>
      </c>
      <c r="M21">
        <v>212399.99999999997</v>
      </c>
      <c r="O21">
        <v>0</v>
      </c>
      <c r="P21">
        <v>0</v>
      </c>
      <c r="Q21">
        <v>0</v>
      </c>
      <c r="R21" t="s">
        <v>637</v>
      </c>
      <c r="S21" t="str">
        <f>IFERROR(VLOOKUP(CONCATENATE(Fix_Mapping[[#This Row],[KODE BARANG]],1),'Form Fix'!$A$6:$F$286,4,0),0)</f>
        <v>040701100</v>
      </c>
      <c r="T21">
        <f>IFERROR(VLOOKUP(CONCATENATE(Fix_Mapping[[#This Row],[KODE BARANG]],2),'Form Fix'!$A$6:$F$286,4,0),0)</f>
        <v>0</v>
      </c>
      <c r="U21">
        <f>IFERROR(VLOOKUP(CONCATENATE(Fix_Mapping[[#This Row],[KODE BARANG]],3),'Form Fix'!$A$6:$F$286,4,0),0)</f>
        <v>0</v>
      </c>
      <c r="V21">
        <f>IFERROR(VLOOKUP(CONCATENATE(Fix_Mapping[[#This Row],[KODE BARANG]],4),'Form Fix'!$A$6:$F$286,4,0),0)</f>
        <v>0</v>
      </c>
      <c r="W21">
        <f>IFERROR(VLOOKUP(CONCATENATE(Fix_Mapping[[#This Row],[KODE BARANG]],5),'Form Fix'!$A$6:$F$286,4,0),0)</f>
        <v>0</v>
      </c>
    </row>
    <row r="22" spans="1:23">
      <c r="A22" t="s">
        <v>809</v>
      </c>
      <c r="B22" t="s">
        <v>926</v>
      </c>
      <c r="C22">
        <v>48</v>
      </c>
      <c r="D22" t="s">
        <v>705</v>
      </c>
      <c r="E22" t="s">
        <v>1030</v>
      </c>
      <c r="F22">
        <v>12887.527027027025</v>
      </c>
      <c r="G22">
        <v>618601.29729729716</v>
      </c>
      <c r="H22">
        <v>14305.154999999999</v>
      </c>
      <c r="I22">
        <v>686647.44</v>
      </c>
      <c r="J22">
        <v>13918.918918918918</v>
      </c>
      <c r="K22">
        <v>668108.10810810805</v>
      </c>
      <c r="L22">
        <v>15450</v>
      </c>
      <c r="M22">
        <v>741600</v>
      </c>
      <c r="O22">
        <v>0</v>
      </c>
      <c r="P22">
        <v>0</v>
      </c>
      <c r="Q22">
        <v>0</v>
      </c>
      <c r="R22" t="s">
        <v>637</v>
      </c>
      <c r="S22" t="str">
        <f>IFERROR(VLOOKUP(CONCATENATE(Fix_Mapping[[#This Row],[KODE BARANG]],1),'Form Fix'!$A$6:$F$286,4,0),0)</f>
        <v>070703292</v>
      </c>
      <c r="T22">
        <f>IFERROR(VLOOKUP(CONCATENATE(Fix_Mapping[[#This Row],[KODE BARANG]],2),'Form Fix'!$A$6:$F$286,4,0),0)</f>
        <v>0</v>
      </c>
      <c r="U22">
        <f>IFERROR(VLOOKUP(CONCATENATE(Fix_Mapping[[#This Row],[KODE BARANG]],3),'Form Fix'!$A$6:$F$286,4,0),0)</f>
        <v>0</v>
      </c>
      <c r="V22">
        <f>IFERROR(VLOOKUP(CONCATENATE(Fix_Mapping[[#This Row],[KODE BARANG]],4),'Form Fix'!$A$6:$F$286,4,0),0)</f>
        <v>0</v>
      </c>
      <c r="W22">
        <f>IFERROR(VLOOKUP(CONCATENATE(Fix_Mapping[[#This Row],[KODE BARANG]],5),'Form Fix'!$A$6:$F$286,4,0),0)</f>
        <v>0</v>
      </c>
    </row>
    <row r="23" spans="1:23">
      <c r="A23" t="s">
        <v>810</v>
      </c>
      <c r="B23" t="s">
        <v>927</v>
      </c>
      <c r="C23">
        <v>48</v>
      </c>
      <c r="D23" t="s">
        <v>705</v>
      </c>
      <c r="E23" t="s">
        <v>1030</v>
      </c>
      <c r="F23">
        <v>12887.527027027025</v>
      </c>
      <c r="G23">
        <v>618601.29729729716</v>
      </c>
      <c r="H23">
        <v>14305.154999999999</v>
      </c>
      <c r="I23">
        <v>686647.44</v>
      </c>
      <c r="J23">
        <v>13918.918918918918</v>
      </c>
      <c r="K23">
        <v>668108.10810810805</v>
      </c>
      <c r="L23">
        <v>15450</v>
      </c>
      <c r="M23">
        <v>741600</v>
      </c>
      <c r="O23">
        <v>0</v>
      </c>
      <c r="P23">
        <v>0</v>
      </c>
      <c r="Q23">
        <v>0</v>
      </c>
      <c r="R23" t="s">
        <v>637</v>
      </c>
      <c r="S23" t="str">
        <f>IFERROR(VLOOKUP(CONCATENATE(Fix_Mapping[[#This Row],[KODE BARANG]],1),'Form Fix'!$A$6:$F$286,4,0),0)</f>
        <v>070702292</v>
      </c>
      <c r="T23">
        <f>IFERROR(VLOOKUP(CONCATENATE(Fix_Mapping[[#This Row],[KODE BARANG]],2),'Form Fix'!$A$6:$F$286,4,0),0)</f>
        <v>0</v>
      </c>
      <c r="U23">
        <f>IFERROR(VLOOKUP(CONCATENATE(Fix_Mapping[[#This Row],[KODE BARANG]],3),'Form Fix'!$A$6:$F$286,4,0),0)</f>
        <v>0</v>
      </c>
      <c r="V23">
        <f>IFERROR(VLOOKUP(CONCATENATE(Fix_Mapping[[#This Row],[KODE BARANG]],4),'Form Fix'!$A$6:$F$286,4,0),0)</f>
        <v>0</v>
      </c>
      <c r="W23">
        <f>IFERROR(VLOOKUP(CONCATENATE(Fix_Mapping[[#This Row],[KODE BARANG]],5),'Form Fix'!$A$6:$F$286,4,0),0)</f>
        <v>0</v>
      </c>
    </row>
    <row r="24" spans="1:23">
      <c r="A24" t="s">
        <v>811</v>
      </c>
      <c r="B24" t="s">
        <v>928</v>
      </c>
      <c r="C24">
        <v>48</v>
      </c>
      <c r="D24" t="s">
        <v>737</v>
      </c>
      <c r="E24" t="s">
        <v>1030</v>
      </c>
      <c r="F24">
        <v>5839.0090090090089</v>
      </c>
      <c r="G24">
        <v>280272.43243243243</v>
      </c>
      <c r="H24">
        <v>6481.3</v>
      </c>
      <c r="I24">
        <v>311102.40000000002</v>
      </c>
      <c r="J24">
        <v>6306.3063063063055</v>
      </c>
      <c r="K24">
        <v>302702.70270270266</v>
      </c>
      <c r="L24">
        <v>7000</v>
      </c>
      <c r="M24">
        <v>336000</v>
      </c>
      <c r="O24">
        <v>0</v>
      </c>
      <c r="P24">
        <v>0</v>
      </c>
      <c r="Q24">
        <v>0</v>
      </c>
      <c r="R24" t="s">
        <v>637</v>
      </c>
      <c r="S24" t="str">
        <f>IFERROR(VLOOKUP(CONCATENATE(Fix_Mapping[[#This Row],[KODE BARANG]],1),'Form Fix'!$A$6:$F$286,4,0),0)</f>
        <v>070702391</v>
      </c>
      <c r="T24" t="str">
        <f>IFERROR(VLOOKUP(CONCATENATE(Fix_Mapping[[#This Row],[KODE BARANG]],2),'Form Fix'!$A$6:$F$286,4,0),0)</f>
        <v>070702000</v>
      </c>
      <c r="U24">
        <f>IFERROR(VLOOKUP(CONCATENATE(Fix_Mapping[[#This Row],[KODE BARANG]],3),'Form Fix'!$A$6:$F$286,4,0),0)</f>
        <v>0</v>
      </c>
      <c r="V24">
        <f>IFERROR(VLOOKUP(CONCATENATE(Fix_Mapping[[#This Row],[KODE BARANG]],4),'Form Fix'!$A$6:$F$286,4,0),0)</f>
        <v>0</v>
      </c>
      <c r="W24">
        <f>IFERROR(VLOOKUP(CONCATENATE(Fix_Mapping[[#This Row],[KODE BARANG]],5),'Form Fix'!$A$6:$F$286,4,0),0)</f>
        <v>0</v>
      </c>
    </row>
    <row r="25" spans="1:23">
      <c r="A25" t="s">
        <v>812</v>
      </c>
      <c r="B25" t="s">
        <v>929</v>
      </c>
      <c r="C25">
        <v>48</v>
      </c>
      <c r="D25" t="s">
        <v>731</v>
      </c>
      <c r="E25" t="s">
        <v>1030</v>
      </c>
      <c r="F25">
        <v>12887.527027027025</v>
      </c>
      <c r="G25">
        <v>618601.29729729716</v>
      </c>
      <c r="H25">
        <v>14305.154999999999</v>
      </c>
      <c r="I25">
        <v>686647.44</v>
      </c>
      <c r="J25">
        <v>13918.918918918918</v>
      </c>
      <c r="K25">
        <v>668108.10810810805</v>
      </c>
      <c r="L25">
        <v>15450</v>
      </c>
      <c r="M25">
        <v>741600</v>
      </c>
      <c r="O25">
        <v>0</v>
      </c>
      <c r="P25">
        <v>0</v>
      </c>
      <c r="Q25">
        <v>0</v>
      </c>
      <c r="R25" t="s">
        <v>637</v>
      </c>
      <c r="S25" t="str">
        <f>IFERROR(VLOOKUP(CONCATENATE(Fix_Mapping[[#This Row],[KODE BARANG]],1),'Form Fix'!$A$6:$F$286,4,0),0)</f>
        <v>070701292</v>
      </c>
      <c r="T25">
        <f>IFERROR(VLOOKUP(CONCATENATE(Fix_Mapping[[#This Row],[KODE BARANG]],2),'Form Fix'!$A$6:$F$286,4,0),0)</f>
        <v>0</v>
      </c>
      <c r="U25">
        <f>IFERROR(VLOOKUP(CONCATENATE(Fix_Mapping[[#This Row],[KODE BARANG]],3),'Form Fix'!$A$6:$F$286,4,0),0)</f>
        <v>0</v>
      </c>
      <c r="V25">
        <f>IFERROR(VLOOKUP(CONCATENATE(Fix_Mapping[[#This Row],[KODE BARANG]],4),'Form Fix'!$A$6:$F$286,4,0),0)</f>
        <v>0</v>
      </c>
      <c r="W25">
        <f>IFERROR(VLOOKUP(CONCATENATE(Fix_Mapping[[#This Row],[KODE BARANG]],5),'Form Fix'!$A$6:$F$286,4,0),0)</f>
        <v>0</v>
      </c>
    </row>
    <row r="26" spans="1:23">
      <c r="A26" t="s">
        <v>813</v>
      </c>
      <c r="B26" t="s">
        <v>930</v>
      </c>
      <c r="C26">
        <v>48</v>
      </c>
      <c r="D26" t="s">
        <v>737</v>
      </c>
      <c r="E26" t="s">
        <v>1030</v>
      </c>
      <c r="F26">
        <v>5839.0090090090089</v>
      </c>
      <c r="G26">
        <v>280272.43243243243</v>
      </c>
      <c r="H26">
        <v>6481.3</v>
      </c>
      <c r="I26">
        <v>311102.40000000002</v>
      </c>
      <c r="J26">
        <v>6306.3063063063055</v>
      </c>
      <c r="K26">
        <v>302702.70270270266</v>
      </c>
      <c r="L26">
        <v>7000</v>
      </c>
      <c r="M26">
        <v>336000</v>
      </c>
      <c r="O26">
        <v>0</v>
      </c>
      <c r="P26">
        <v>0</v>
      </c>
      <c r="Q26">
        <v>0</v>
      </c>
      <c r="R26" t="s">
        <v>637</v>
      </c>
      <c r="S26" t="str">
        <f>IFERROR(VLOOKUP(CONCATENATE(Fix_Mapping[[#This Row],[KODE BARANG]],1),'Form Fix'!$A$6:$F$286,4,0),0)</f>
        <v>070701000</v>
      </c>
      <c r="T26">
        <f>IFERROR(VLOOKUP(CONCATENATE(Fix_Mapping[[#This Row],[KODE BARANG]],2),'Form Fix'!$A$6:$F$286,4,0),0)</f>
        <v>0</v>
      </c>
      <c r="U26">
        <f>IFERROR(VLOOKUP(CONCATENATE(Fix_Mapping[[#This Row],[KODE BARANG]],3),'Form Fix'!$A$6:$F$286,4,0),0)</f>
        <v>0</v>
      </c>
      <c r="V26">
        <f>IFERROR(VLOOKUP(CONCATENATE(Fix_Mapping[[#This Row],[KODE BARANG]],4),'Form Fix'!$A$6:$F$286,4,0),0)</f>
        <v>0</v>
      </c>
      <c r="W26">
        <f>IFERROR(VLOOKUP(CONCATENATE(Fix_Mapping[[#This Row],[KODE BARANG]],5),'Form Fix'!$A$6:$F$286,4,0),0)</f>
        <v>0</v>
      </c>
    </row>
    <row r="27" spans="1:23">
      <c r="A27" t="s">
        <v>814</v>
      </c>
      <c r="B27" t="s">
        <v>931</v>
      </c>
      <c r="C27">
        <v>24</v>
      </c>
      <c r="D27" t="s">
        <v>732</v>
      </c>
      <c r="E27" t="s">
        <v>1032</v>
      </c>
      <c r="F27">
        <v>40038.918918918913</v>
      </c>
      <c r="G27">
        <v>960934.05405405397</v>
      </c>
      <c r="H27">
        <v>44443.199999999997</v>
      </c>
      <c r="I27">
        <v>1066636.8</v>
      </c>
      <c r="J27">
        <v>43243.24324324324</v>
      </c>
      <c r="K27">
        <v>1037837.8378378378</v>
      </c>
      <c r="L27">
        <v>48000</v>
      </c>
      <c r="M27">
        <v>1152000</v>
      </c>
      <c r="O27">
        <v>0</v>
      </c>
      <c r="P27">
        <v>0</v>
      </c>
      <c r="Q27">
        <v>0</v>
      </c>
      <c r="R27" t="s">
        <v>637</v>
      </c>
      <c r="S27" t="str">
        <f>IFERROR(VLOOKUP(CONCATENATE(Fix_Mapping[[#This Row],[KODE BARANG]],1),'Form Fix'!$A$6:$F$286,4,0),0)</f>
        <v>052602001</v>
      </c>
      <c r="T27">
        <f>IFERROR(VLOOKUP(CONCATENATE(Fix_Mapping[[#This Row],[KODE BARANG]],2),'Form Fix'!$A$6:$F$286,4,0),0)</f>
        <v>0</v>
      </c>
      <c r="U27">
        <f>IFERROR(VLOOKUP(CONCATENATE(Fix_Mapping[[#This Row],[KODE BARANG]],3),'Form Fix'!$A$6:$F$286,4,0),0)</f>
        <v>0</v>
      </c>
      <c r="V27">
        <f>IFERROR(VLOOKUP(CONCATENATE(Fix_Mapping[[#This Row],[KODE BARANG]],4),'Form Fix'!$A$6:$F$286,4,0),0)</f>
        <v>0</v>
      </c>
      <c r="W27">
        <f>IFERROR(VLOOKUP(CONCATENATE(Fix_Mapping[[#This Row],[KODE BARANG]],5),'Form Fix'!$A$6:$F$286,4,0),0)</f>
        <v>0</v>
      </c>
    </row>
    <row r="28" spans="1:23">
      <c r="A28" t="s">
        <v>815</v>
      </c>
      <c r="B28" t="s">
        <v>932</v>
      </c>
      <c r="C28">
        <v>48</v>
      </c>
      <c r="D28" t="s">
        <v>732</v>
      </c>
      <c r="E28" t="s">
        <v>1034</v>
      </c>
      <c r="F28">
        <v>40038.918918918913</v>
      </c>
      <c r="G28">
        <v>1921868.1081081079</v>
      </c>
      <c r="H28">
        <v>44443.199999999997</v>
      </c>
      <c r="I28">
        <v>2133273.6000000001</v>
      </c>
      <c r="J28">
        <v>43243.24324324324</v>
      </c>
      <c r="K28">
        <v>2075675.6756756755</v>
      </c>
      <c r="L28">
        <v>48000</v>
      </c>
      <c r="M28">
        <v>2304000</v>
      </c>
      <c r="O28">
        <v>0</v>
      </c>
      <c r="P28">
        <v>0</v>
      </c>
      <c r="Q28">
        <v>0</v>
      </c>
      <c r="R28" t="s">
        <v>637</v>
      </c>
      <c r="S28" t="str">
        <f>IFERROR(VLOOKUP(CONCATENATE(Fix_Mapping[[#This Row],[KODE BARANG]],1),'Form Fix'!$A$6:$F$286,4,0),0)</f>
        <v>050701293</v>
      </c>
      <c r="T28">
        <f>IFERROR(VLOOKUP(CONCATENATE(Fix_Mapping[[#This Row],[KODE BARANG]],2),'Form Fix'!$A$6:$F$286,4,0),0)</f>
        <v>0</v>
      </c>
      <c r="U28">
        <f>IFERROR(VLOOKUP(CONCATENATE(Fix_Mapping[[#This Row],[KODE BARANG]],3),'Form Fix'!$A$6:$F$286,4,0),0)</f>
        <v>0</v>
      </c>
      <c r="V28">
        <f>IFERROR(VLOOKUP(CONCATENATE(Fix_Mapping[[#This Row],[KODE BARANG]],4),'Form Fix'!$A$6:$F$286,4,0),0)</f>
        <v>0</v>
      </c>
      <c r="W28">
        <f>IFERROR(VLOOKUP(CONCATENATE(Fix_Mapping[[#This Row],[KODE BARANG]],5),'Form Fix'!$A$6:$F$286,4,0),0)</f>
        <v>0</v>
      </c>
    </row>
    <row r="29" spans="1:23">
      <c r="A29" t="s">
        <v>816</v>
      </c>
      <c r="B29" t="s">
        <v>933</v>
      </c>
      <c r="C29">
        <v>48</v>
      </c>
      <c r="D29" t="s">
        <v>732</v>
      </c>
      <c r="E29" t="s">
        <v>1034</v>
      </c>
      <c r="F29">
        <v>20019.459459459456</v>
      </c>
      <c r="G29">
        <v>960934.05405405397</v>
      </c>
      <c r="H29">
        <v>22221.599999999999</v>
      </c>
      <c r="I29">
        <v>1066636.8</v>
      </c>
      <c r="J29">
        <v>21621.62162162162</v>
      </c>
      <c r="K29">
        <v>1037837.8378378378</v>
      </c>
      <c r="L29">
        <v>24000</v>
      </c>
      <c r="M29">
        <v>1152000</v>
      </c>
      <c r="O29">
        <v>0</v>
      </c>
      <c r="P29">
        <v>0</v>
      </c>
      <c r="Q29">
        <v>0</v>
      </c>
      <c r="R29" t="s">
        <v>637</v>
      </c>
      <c r="S29" t="str">
        <f>IFERROR(VLOOKUP(CONCATENATE(Fix_Mapping[[#This Row],[KODE BARANG]],1),'Form Fix'!$A$6:$F$286,4,0),0)</f>
        <v>072601000</v>
      </c>
      <c r="T29">
        <f>IFERROR(VLOOKUP(CONCATENATE(Fix_Mapping[[#This Row],[KODE BARANG]],2),'Form Fix'!$A$6:$F$286,4,0),0)</f>
        <v>0</v>
      </c>
      <c r="U29">
        <f>IFERROR(VLOOKUP(CONCATENATE(Fix_Mapping[[#This Row],[KODE BARANG]],3),'Form Fix'!$A$6:$F$286,4,0),0)</f>
        <v>0</v>
      </c>
      <c r="V29">
        <f>IFERROR(VLOOKUP(CONCATENATE(Fix_Mapping[[#This Row],[KODE BARANG]],4),'Form Fix'!$A$6:$F$286,4,0),0)</f>
        <v>0</v>
      </c>
      <c r="W29">
        <f>IFERROR(VLOOKUP(CONCATENATE(Fix_Mapping[[#This Row],[KODE BARANG]],5),'Form Fix'!$A$6:$F$286,4,0),0)</f>
        <v>0</v>
      </c>
    </row>
    <row r="30" spans="1:23">
      <c r="A30" t="s">
        <v>817</v>
      </c>
      <c r="B30" t="s">
        <v>934</v>
      </c>
      <c r="C30">
        <v>48</v>
      </c>
      <c r="D30" t="s">
        <v>732</v>
      </c>
      <c r="E30" t="s">
        <v>1034</v>
      </c>
      <c r="F30">
        <v>40038.918918918913</v>
      </c>
      <c r="G30">
        <v>1921868.1081081079</v>
      </c>
      <c r="H30">
        <v>44443.199999999997</v>
      </c>
      <c r="I30">
        <v>2133273.6000000001</v>
      </c>
      <c r="J30">
        <v>43243.24324324324</v>
      </c>
      <c r="K30">
        <v>2075675.6756756755</v>
      </c>
      <c r="L30">
        <v>48000</v>
      </c>
      <c r="M30">
        <v>2304000</v>
      </c>
      <c r="O30">
        <v>0</v>
      </c>
      <c r="P30">
        <v>0</v>
      </c>
      <c r="Q30">
        <v>0</v>
      </c>
      <c r="R30" t="s">
        <v>637</v>
      </c>
      <c r="S30" t="str">
        <f>IFERROR(VLOOKUP(CONCATENATE(Fix_Mapping[[#This Row],[KODE BARANG]],1),'Form Fix'!$A$6:$F$286,4,0),0)</f>
        <v>050704293</v>
      </c>
      <c r="T30">
        <f>IFERROR(VLOOKUP(CONCATENATE(Fix_Mapping[[#This Row],[KODE BARANG]],2),'Form Fix'!$A$6:$F$286,4,0),0)</f>
        <v>0</v>
      </c>
      <c r="U30">
        <f>IFERROR(VLOOKUP(CONCATENATE(Fix_Mapping[[#This Row],[KODE BARANG]],3),'Form Fix'!$A$6:$F$286,4,0),0)</f>
        <v>0</v>
      </c>
      <c r="V30">
        <f>IFERROR(VLOOKUP(CONCATENATE(Fix_Mapping[[#This Row],[KODE BARANG]],4),'Form Fix'!$A$6:$F$286,4,0),0)</f>
        <v>0</v>
      </c>
      <c r="W30">
        <f>IFERROR(VLOOKUP(CONCATENATE(Fix_Mapping[[#This Row],[KODE BARANG]],5),'Form Fix'!$A$6:$F$286,4,0),0)</f>
        <v>0</v>
      </c>
    </row>
    <row r="31" spans="1:23">
      <c r="A31" t="s">
        <v>818</v>
      </c>
      <c r="B31" t="s">
        <v>935</v>
      </c>
      <c r="C31">
        <v>48</v>
      </c>
      <c r="D31" t="s">
        <v>732</v>
      </c>
      <c r="E31" t="s">
        <v>1034</v>
      </c>
      <c r="F31">
        <v>20019.459459459456</v>
      </c>
      <c r="G31">
        <v>960934.05405405397</v>
      </c>
      <c r="H31">
        <v>22221.599999999999</v>
      </c>
      <c r="I31">
        <v>1066636.8</v>
      </c>
      <c r="J31">
        <v>21621.62162162162</v>
      </c>
      <c r="K31">
        <v>1037837.8378378378</v>
      </c>
      <c r="L31">
        <v>24000</v>
      </c>
      <c r="M31">
        <v>1152000</v>
      </c>
      <c r="O31">
        <v>0</v>
      </c>
      <c r="P31">
        <v>0</v>
      </c>
      <c r="Q31">
        <v>0</v>
      </c>
      <c r="R31" t="s">
        <v>637</v>
      </c>
      <c r="S31" t="str">
        <f>IFERROR(VLOOKUP(CONCATENATE(Fix_Mapping[[#This Row],[KODE BARANG]],1),'Form Fix'!$A$6:$F$286,4,0),0)</f>
        <v>072604000</v>
      </c>
      <c r="T31">
        <f>IFERROR(VLOOKUP(CONCATENATE(Fix_Mapping[[#This Row],[KODE BARANG]],2),'Form Fix'!$A$6:$F$286,4,0),0)</f>
        <v>0</v>
      </c>
      <c r="U31">
        <f>IFERROR(VLOOKUP(CONCATENATE(Fix_Mapping[[#This Row],[KODE BARANG]],3),'Form Fix'!$A$6:$F$286,4,0),0)</f>
        <v>0</v>
      </c>
      <c r="V31">
        <f>IFERROR(VLOOKUP(CONCATENATE(Fix_Mapping[[#This Row],[KODE BARANG]],4),'Form Fix'!$A$6:$F$286,4,0),0)</f>
        <v>0</v>
      </c>
      <c r="W31">
        <f>IFERROR(VLOOKUP(CONCATENATE(Fix_Mapping[[#This Row],[KODE BARANG]],5),'Form Fix'!$A$6:$F$286,4,0),0)</f>
        <v>0</v>
      </c>
    </row>
    <row r="32" spans="1:23">
      <c r="A32" t="s">
        <v>819</v>
      </c>
      <c r="B32" t="s">
        <v>936</v>
      </c>
      <c r="C32">
        <v>48</v>
      </c>
      <c r="D32" t="s">
        <v>732</v>
      </c>
      <c r="E32" t="s">
        <v>1034</v>
      </c>
      <c r="F32">
        <v>40038.918918918913</v>
      </c>
      <c r="G32">
        <v>1921868.1081081079</v>
      </c>
      <c r="H32">
        <v>44443.199999999997</v>
      </c>
      <c r="I32">
        <v>2133273.6000000001</v>
      </c>
      <c r="J32">
        <v>43243.24324324324</v>
      </c>
      <c r="K32">
        <v>2075675.6756756755</v>
      </c>
      <c r="L32">
        <v>48000</v>
      </c>
      <c r="M32">
        <v>2304000</v>
      </c>
      <c r="O32">
        <v>0</v>
      </c>
      <c r="P32">
        <v>0</v>
      </c>
      <c r="Q32">
        <v>0</v>
      </c>
      <c r="R32" t="s">
        <v>637</v>
      </c>
      <c r="S32" t="str">
        <f>IFERROR(VLOOKUP(CONCATENATE(Fix_Mapping[[#This Row],[KODE BARANG]],1),'Form Fix'!$A$6:$F$286,4,0),0)</f>
        <v>050702293</v>
      </c>
      <c r="T32">
        <f>IFERROR(VLOOKUP(CONCATENATE(Fix_Mapping[[#This Row],[KODE BARANG]],2),'Form Fix'!$A$6:$F$286,4,0),0)</f>
        <v>0</v>
      </c>
      <c r="U32">
        <f>IFERROR(VLOOKUP(CONCATENATE(Fix_Mapping[[#This Row],[KODE BARANG]],3),'Form Fix'!$A$6:$F$286,4,0),0)</f>
        <v>0</v>
      </c>
      <c r="V32">
        <f>IFERROR(VLOOKUP(CONCATENATE(Fix_Mapping[[#This Row],[KODE BARANG]],4),'Form Fix'!$A$6:$F$286,4,0),0)</f>
        <v>0</v>
      </c>
      <c r="W32">
        <f>IFERROR(VLOOKUP(CONCATENATE(Fix_Mapping[[#This Row],[KODE BARANG]],5),'Form Fix'!$A$6:$F$286,4,0),0)</f>
        <v>0</v>
      </c>
    </row>
    <row r="33" spans="1:23">
      <c r="A33" t="s">
        <v>820</v>
      </c>
      <c r="B33" t="s">
        <v>937</v>
      </c>
      <c r="C33">
        <v>48</v>
      </c>
      <c r="D33" t="s">
        <v>732</v>
      </c>
      <c r="E33" t="s">
        <v>1034</v>
      </c>
      <c r="F33">
        <v>20019.459459459456</v>
      </c>
      <c r="G33">
        <v>960934.05405405397</v>
      </c>
      <c r="H33">
        <v>22221.599999999999</v>
      </c>
      <c r="I33">
        <v>1066636.8</v>
      </c>
      <c r="J33">
        <v>21621.62162162162</v>
      </c>
      <c r="K33">
        <v>1037837.8378378378</v>
      </c>
      <c r="L33">
        <v>24000</v>
      </c>
      <c r="M33">
        <v>1152000</v>
      </c>
      <c r="O33">
        <v>0</v>
      </c>
      <c r="P33">
        <v>0</v>
      </c>
      <c r="Q33">
        <v>0</v>
      </c>
      <c r="R33" t="s">
        <v>637</v>
      </c>
      <c r="S33" t="str">
        <f>IFERROR(VLOOKUP(CONCATENATE(Fix_Mapping[[#This Row],[KODE BARANG]],1),'Form Fix'!$A$6:$F$286,4,0),0)</f>
        <v>072602000</v>
      </c>
      <c r="T33">
        <f>IFERROR(VLOOKUP(CONCATENATE(Fix_Mapping[[#This Row],[KODE BARANG]],2),'Form Fix'!$A$6:$F$286,4,0),0)</f>
        <v>0</v>
      </c>
      <c r="U33">
        <f>IFERROR(VLOOKUP(CONCATENATE(Fix_Mapping[[#This Row],[KODE BARANG]],3),'Form Fix'!$A$6:$F$286,4,0),0)</f>
        <v>0</v>
      </c>
      <c r="V33">
        <f>IFERROR(VLOOKUP(CONCATENATE(Fix_Mapping[[#This Row],[KODE BARANG]],4),'Form Fix'!$A$6:$F$286,4,0),0)</f>
        <v>0</v>
      </c>
      <c r="W33">
        <f>IFERROR(VLOOKUP(CONCATENATE(Fix_Mapping[[#This Row],[KODE BARANG]],5),'Form Fix'!$A$6:$F$286,4,0),0)</f>
        <v>0</v>
      </c>
    </row>
    <row r="34" spans="1:23">
      <c r="A34" t="s">
        <v>821</v>
      </c>
      <c r="B34" t="s">
        <v>938</v>
      </c>
      <c r="C34">
        <v>48</v>
      </c>
      <c r="D34" t="s">
        <v>732</v>
      </c>
      <c r="E34" t="s">
        <v>1034</v>
      </c>
      <c r="F34">
        <v>40038.918918918913</v>
      </c>
      <c r="G34">
        <v>1921868.1081081079</v>
      </c>
      <c r="H34">
        <v>44443.199999999997</v>
      </c>
      <c r="I34">
        <v>2133273.6000000001</v>
      </c>
      <c r="J34">
        <v>43243.24324324324</v>
      </c>
      <c r="K34">
        <v>2075675.6756756755</v>
      </c>
      <c r="L34">
        <v>48000</v>
      </c>
      <c r="M34">
        <v>2304000</v>
      </c>
      <c r="O34">
        <v>0</v>
      </c>
      <c r="P34">
        <v>0</v>
      </c>
      <c r="Q34">
        <v>0</v>
      </c>
      <c r="R34" t="s">
        <v>637</v>
      </c>
      <c r="S34" t="str">
        <f>IFERROR(VLOOKUP(CONCATENATE(Fix_Mapping[[#This Row],[KODE BARANG]],1),'Form Fix'!$A$6:$F$286,4,0),0)</f>
        <v>050703293</v>
      </c>
      <c r="T34">
        <f>IFERROR(VLOOKUP(CONCATENATE(Fix_Mapping[[#This Row],[KODE BARANG]],2),'Form Fix'!$A$6:$F$286,4,0),0)</f>
        <v>0</v>
      </c>
      <c r="U34">
        <f>IFERROR(VLOOKUP(CONCATENATE(Fix_Mapping[[#This Row],[KODE BARANG]],3),'Form Fix'!$A$6:$F$286,4,0),0)</f>
        <v>0</v>
      </c>
      <c r="V34">
        <f>IFERROR(VLOOKUP(CONCATENATE(Fix_Mapping[[#This Row],[KODE BARANG]],4),'Form Fix'!$A$6:$F$286,4,0),0)</f>
        <v>0</v>
      </c>
      <c r="W34">
        <f>IFERROR(VLOOKUP(CONCATENATE(Fix_Mapping[[#This Row],[KODE BARANG]],5),'Form Fix'!$A$6:$F$286,4,0),0)</f>
        <v>0</v>
      </c>
    </row>
    <row r="35" spans="1:23">
      <c r="A35" t="s">
        <v>822</v>
      </c>
      <c r="B35" t="s">
        <v>939</v>
      </c>
      <c r="C35">
        <v>48</v>
      </c>
      <c r="D35" t="s">
        <v>732</v>
      </c>
      <c r="E35" t="s">
        <v>1034</v>
      </c>
      <c r="F35">
        <v>20019.459459459456</v>
      </c>
      <c r="G35">
        <v>960934.05405405397</v>
      </c>
      <c r="H35">
        <v>22221.599999999999</v>
      </c>
      <c r="I35">
        <v>1066636.8</v>
      </c>
      <c r="J35">
        <v>21621.62162162162</v>
      </c>
      <c r="K35">
        <v>1037837.8378378378</v>
      </c>
      <c r="L35">
        <v>24000</v>
      </c>
      <c r="M35">
        <v>1152000</v>
      </c>
      <c r="O35">
        <v>0</v>
      </c>
      <c r="P35">
        <v>0</v>
      </c>
      <c r="Q35">
        <v>0</v>
      </c>
      <c r="R35" t="s">
        <v>637</v>
      </c>
      <c r="S35" t="str">
        <f>IFERROR(VLOOKUP(CONCATENATE(Fix_Mapping[[#This Row],[KODE BARANG]],1),'Form Fix'!$A$6:$F$286,4,0),0)</f>
        <v>072603000</v>
      </c>
      <c r="T35">
        <f>IFERROR(VLOOKUP(CONCATENATE(Fix_Mapping[[#This Row],[KODE BARANG]],2),'Form Fix'!$A$6:$F$286,4,0),0)</f>
        <v>0</v>
      </c>
      <c r="U35">
        <f>IFERROR(VLOOKUP(CONCATENATE(Fix_Mapping[[#This Row],[KODE BARANG]],3),'Form Fix'!$A$6:$F$286,4,0),0)</f>
        <v>0</v>
      </c>
      <c r="V35">
        <f>IFERROR(VLOOKUP(CONCATENATE(Fix_Mapping[[#This Row],[KODE BARANG]],4),'Form Fix'!$A$6:$F$286,4,0),0)</f>
        <v>0</v>
      </c>
      <c r="W35">
        <f>IFERROR(VLOOKUP(CONCATENATE(Fix_Mapping[[#This Row],[KODE BARANG]],5),'Form Fix'!$A$6:$F$286,4,0),0)</f>
        <v>0</v>
      </c>
    </row>
    <row r="36" spans="1:23">
      <c r="A36" t="s">
        <v>823</v>
      </c>
      <c r="B36" t="s">
        <v>940</v>
      </c>
      <c r="C36">
        <v>24</v>
      </c>
      <c r="D36" t="s">
        <v>671</v>
      </c>
      <c r="E36" t="s">
        <v>1036</v>
      </c>
      <c r="F36">
        <v>21687.747747747744</v>
      </c>
      <c r="G36">
        <v>520505.94594594586</v>
      </c>
      <c r="H36">
        <v>24073.399999999998</v>
      </c>
      <c r="I36">
        <v>577761.6</v>
      </c>
      <c r="J36">
        <v>23423.423423423421</v>
      </c>
      <c r="K36">
        <v>562162.16216216213</v>
      </c>
      <c r="L36">
        <v>26000</v>
      </c>
      <c r="M36">
        <v>624000</v>
      </c>
      <c r="O36">
        <v>0</v>
      </c>
      <c r="P36">
        <v>0</v>
      </c>
      <c r="Q36">
        <v>0</v>
      </c>
      <c r="R36" t="s">
        <v>637</v>
      </c>
      <c r="S36" t="str">
        <f>IFERROR(VLOOKUP(CONCATENATE(Fix_Mapping[[#This Row],[KODE BARANG]],1),'Form Fix'!$A$6:$F$286,4,0),0)</f>
        <v>051702001</v>
      </c>
      <c r="T36">
        <f>IFERROR(VLOOKUP(CONCATENATE(Fix_Mapping[[#This Row],[KODE BARANG]],2),'Form Fix'!$A$6:$F$286,4,0),0)</f>
        <v>0</v>
      </c>
      <c r="U36">
        <f>IFERROR(VLOOKUP(CONCATENATE(Fix_Mapping[[#This Row],[KODE BARANG]],3),'Form Fix'!$A$6:$F$286,4,0),0)</f>
        <v>0</v>
      </c>
      <c r="V36">
        <f>IFERROR(VLOOKUP(CONCATENATE(Fix_Mapping[[#This Row],[KODE BARANG]],4),'Form Fix'!$A$6:$F$286,4,0),0)</f>
        <v>0</v>
      </c>
      <c r="W36">
        <f>IFERROR(VLOOKUP(CONCATENATE(Fix_Mapping[[#This Row],[KODE BARANG]],5),'Form Fix'!$A$6:$F$286,4,0),0)</f>
        <v>0</v>
      </c>
    </row>
    <row r="37" spans="1:23">
      <c r="A37" t="s">
        <v>824</v>
      </c>
      <c r="B37" t="s">
        <v>941</v>
      </c>
      <c r="C37">
        <v>24</v>
      </c>
      <c r="D37" t="s">
        <v>671</v>
      </c>
      <c r="E37" t="s">
        <v>1036</v>
      </c>
      <c r="F37">
        <v>21687.747747747744</v>
      </c>
      <c r="G37">
        <v>520505.94594594586</v>
      </c>
      <c r="H37">
        <v>24073.399999999998</v>
      </c>
      <c r="I37">
        <v>577761.6</v>
      </c>
      <c r="J37">
        <v>23423.423423423421</v>
      </c>
      <c r="K37">
        <v>562162.16216216213</v>
      </c>
      <c r="L37">
        <v>26000</v>
      </c>
      <c r="M37">
        <v>624000</v>
      </c>
      <c r="O37">
        <v>0</v>
      </c>
      <c r="P37">
        <v>0</v>
      </c>
      <c r="Q37">
        <v>0</v>
      </c>
      <c r="R37" t="s">
        <v>637</v>
      </c>
      <c r="S37" t="str">
        <f>IFERROR(VLOOKUP(CONCATENATE(Fix_Mapping[[#This Row],[KODE BARANG]],1),'Form Fix'!$A$6:$F$286,4,0),0)</f>
        <v>051706001</v>
      </c>
      <c r="T37">
        <f>IFERROR(VLOOKUP(CONCATENATE(Fix_Mapping[[#This Row],[KODE BARANG]],2),'Form Fix'!$A$6:$F$286,4,0),0)</f>
        <v>0</v>
      </c>
      <c r="U37">
        <f>IFERROR(VLOOKUP(CONCATENATE(Fix_Mapping[[#This Row],[KODE BARANG]],3),'Form Fix'!$A$6:$F$286,4,0),0)</f>
        <v>0</v>
      </c>
      <c r="V37">
        <f>IFERROR(VLOOKUP(CONCATENATE(Fix_Mapping[[#This Row],[KODE BARANG]],4),'Form Fix'!$A$6:$F$286,4,0),0)</f>
        <v>0</v>
      </c>
      <c r="W37">
        <f>IFERROR(VLOOKUP(CONCATENATE(Fix_Mapping[[#This Row],[KODE BARANG]],5),'Form Fix'!$A$6:$F$286,4,0),0)</f>
        <v>0</v>
      </c>
    </row>
    <row r="38" spans="1:23">
      <c r="A38" t="s">
        <v>825</v>
      </c>
      <c r="B38" t="s">
        <v>942</v>
      </c>
      <c r="C38">
        <v>24</v>
      </c>
      <c r="D38" t="s">
        <v>671</v>
      </c>
      <c r="E38" t="s">
        <v>1036</v>
      </c>
      <c r="F38">
        <v>21687.747747747744</v>
      </c>
      <c r="G38">
        <v>520505.94594594586</v>
      </c>
      <c r="H38">
        <v>24073.399999999998</v>
      </c>
      <c r="I38">
        <v>577761.6</v>
      </c>
      <c r="J38">
        <v>23423.423423423421</v>
      </c>
      <c r="K38">
        <v>562162.16216216213</v>
      </c>
      <c r="L38">
        <v>26000</v>
      </c>
      <c r="M38">
        <v>624000</v>
      </c>
      <c r="O38">
        <v>0</v>
      </c>
      <c r="P38">
        <v>0</v>
      </c>
      <c r="Q38">
        <v>0</v>
      </c>
      <c r="R38" t="s">
        <v>637</v>
      </c>
      <c r="S38" t="str">
        <f>IFERROR(VLOOKUP(CONCATENATE(Fix_Mapping[[#This Row],[KODE BARANG]],1),'Form Fix'!$A$6:$F$286,4,0),0)</f>
        <v>051703003</v>
      </c>
      <c r="T38">
        <f>IFERROR(VLOOKUP(CONCATENATE(Fix_Mapping[[#This Row],[KODE BARANG]],2),'Form Fix'!$A$6:$F$286,4,0),0)</f>
        <v>0</v>
      </c>
      <c r="U38">
        <f>IFERROR(VLOOKUP(CONCATENATE(Fix_Mapping[[#This Row],[KODE BARANG]],3),'Form Fix'!$A$6:$F$286,4,0),0)</f>
        <v>0</v>
      </c>
      <c r="V38">
        <f>IFERROR(VLOOKUP(CONCATENATE(Fix_Mapping[[#This Row],[KODE BARANG]],4),'Form Fix'!$A$6:$F$286,4,0),0)</f>
        <v>0</v>
      </c>
      <c r="W38">
        <f>IFERROR(VLOOKUP(CONCATENATE(Fix_Mapping[[#This Row],[KODE BARANG]],5),'Form Fix'!$A$6:$F$286,4,0),0)</f>
        <v>0</v>
      </c>
    </row>
    <row r="39" spans="1:23">
      <c r="A39" t="s">
        <v>826</v>
      </c>
      <c r="B39" t="s">
        <v>943</v>
      </c>
      <c r="C39">
        <v>12</v>
      </c>
      <c r="D39" t="s">
        <v>671</v>
      </c>
      <c r="E39" t="s">
        <v>1036</v>
      </c>
      <c r="F39">
        <v>39204.774774774771</v>
      </c>
      <c r="G39">
        <v>470457.29729729728</v>
      </c>
      <c r="H39">
        <v>43517.3</v>
      </c>
      <c r="I39">
        <v>522207.60000000003</v>
      </c>
      <c r="J39">
        <v>42342.342342342337</v>
      </c>
      <c r="K39">
        <v>508108.10810810805</v>
      </c>
      <c r="L39">
        <v>47000</v>
      </c>
      <c r="M39">
        <v>564000</v>
      </c>
      <c r="O39">
        <v>0</v>
      </c>
      <c r="P39">
        <v>0</v>
      </c>
      <c r="Q39">
        <v>0</v>
      </c>
      <c r="R39" t="s">
        <v>637</v>
      </c>
      <c r="S39" t="str">
        <f>IFERROR(VLOOKUP(CONCATENATE(Fix_Mapping[[#This Row],[KODE BARANG]],1),'Form Fix'!$A$6:$F$286,4,0),0)</f>
        <v>051703002</v>
      </c>
      <c r="T39">
        <f>IFERROR(VLOOKUP(CONCATENATE(Fix_Mapping[[#This Row],[KODE BARANG]],2),'Form Fix'!$A$6:$F$286,4,0),0)</f>
        <v>0</v>
      </c>
      <c r="U39">
        <f>IFERROR(VLOOKUP(CONCATENATE(Fix_Mapping[[#This Row],[KODE BARANG]],3),'Form Fix'!$A$6:$F$286,4,0),0)</f>
        <v>0</v>
      </c>
      <c r="V39">
        <f>IFERROR(VLOOKUP(CONCATENATE(Fix_Mapping[[#This Row],[KODE BARANG]],4),'Form Fix'!$A$6:$F$286,4,0),0)</f>
        <v>0</v>
      </c>
      <c r="W39">
        <f>IFERROR(VLOOKUP(CONCATENATE(Fix_Mapping[[#This Row],[KODE BARANG]],5),'Form Fix'!$A$6:$F$286,4,0),0)</f>
        <v>0</v>
      </c>
    </row>
    <row r="40" spans="1:23">
      <c r="A40" t="s">
        <v>827</v>
      </c>
      <c r="B40" t="s">
        <v>944</v>
      </c>
      <c r="C40">
        <v>48</v>
      </c>
      <c r="D40" t="s">
        <v>734</v>
      </c>
      <c r="E40" t="s">
        <v>1036</v>
      </c>
      <c r="F40">
        <v>3336.5765765765759</v>
      </c>
      <c r="G40">
        <v>160155.67567567565</v>
      </c>
      <c r="H40">
        <v>3703.5999999999995</v>
      </c>
      <c r="I40">
        <v>177772.79999999999</v>
      </c>
      <c r="J40">
        <v>3603.6036036036035</v>
      </c>
      <c r="K40">
        <v>172972.97297297296</v>
      </c>
      <c r="L40">
        <v>4000</v>
      </c>
      <c r="M40">
        <v>192000</v>
      </c>
      <c r="O40">
        <v>0</v>
      </c>
      <c r="P40">
        <v>0</v>
      </c>
      <c r="Q40">
        <v>0</v>
      </c>
      <c r="R40" t="s">
        <v>637</v>
      </c>
      <c r="S40" t="str">
        <f>IFERROR(VLOOKUP(CONCATENATE(Fix_Mapping[[#This Row],[KODE BARANG]],1),'Form Fix'!$A$6:$F$286,4,0),0)</f>
        <v>051703001</v>
      </c>
      <c r="T40">
        <f>IFERROR(VLOOKUP(CONCATENATE(Fix_Mapping[[#This Row],[KODE BARANG]],2),'Form Fix'!$A$6:$F$286,4,0),0)</f>
        <v>0</v>
      </c>
      <c r="U40">
        <f>IFERROR(VLOOKUP(CONCATENATE(Fix_Mapping[[#This Row],[KODE BARANG]],3),'Form Fix'!$A$6:$F$286,4,0),0)</f>
        <v>0</v>
      </c>
      <c r="V40">
        <f>IFERROR(VLOOKUP(CONCATENATE(Fix_Mapping[[#This Row],[KODE BARANG]],4),'Form Fix'!$A$6:$F$286,4,0),0)</f>
        <v>0</v>
      </c>
      <c r="W40">
        <f>IFERROR(VLOOKUP(CONCATENATE(Fix_Mapping[[#This Row],[KODE BARANG]],5),'Form Fix'!$A$6:$F$286,4,0),0)</f>
        <v>0</v>
      </c>
    </row>
    <row r="41" spans="1:23">
      <c r="A41" t="s">
        <v>828</v>
      </c>
      <c r="B41" t="s">
        <v>945</v>
      </c>
      <c r="C41">
        <v>24</v>
      </c>
      <c r="D41" t="s">
        <v>671</v>
      </c>
      <c r="E41" t="s">
        <v>1036</v>
      </c>
      <c r="F41">
        <v>21687.747747747744</v>
      </c>
      <c r="G41">
        <v>520505.94594594586</v>
      </c>
      <c r="H41">
        <v>24073.399999999998</v>
      </c>
      <c r="I41">
        <v>577761.6</v>
      </c>
      <c r="J41">
        <v>23423.423423423421</v>
      </c>
      <c r="K41">
        <v>562162.16216216213</v>
      </c>
      <c r="L41">
        <v>26000</v>
      </c>
      <c r="M41">
        <v>624000</v>
      </c>
      <c r="O41">
        <v>0</v>
      </c>
      <c r="P41">
        <v>0</v>
      </c>
      <c r="Q41">
        <v>0</v>
      </c>
      <c r="R41" t="s">
        <v>637</v>
      </c>
      <c r="S41" t="str">
        <f>IFERROR(VLOOKUP(CONCATENATE(Fix_Mapping[[#This Row],[KODE BARANG]],1),'Form Fix'!$A$6:$F$286,4,0),0)</f>
        <v>051701003</v>
      </c>
      <c r="T41">
        <f>IFERROR(VLOOKUP(CONCATENATE(Fix_Mapping[[#This Row],[KODE BARANG]],2),'Form Fix'!$A$6:$F$286,4,0),0)</f>
        <v>0</v>
      </c>
      <c r="U41">
        <f>IFERROR(VLOOKUP(CONCATENATE(Fix_Mapping[[#This Row],[KODE BARANG]],3),'Form Fix'!$A$6:$F$286,4,0),0)</f>
        <v>0</v>
      </c>
      <c r="V41">
        <f>IFERROR(VLOOKUP(CONCATENATE(Fix_Mapping[[#This Row],[KODE BARANG]],4),'Form Fix'!$A$6:$F$286,4,0),0)</f>
        <v>0</v>
      </c>
      <c r="W41">
        <f>IFERROR(VLOOKUP(CONCATENATE(Fix_Mapping[[#This Row],[KODE BARANG]],5),'Form Fix'!$A$6:$F$286,4,0),0)</f>
        <v>0</v>
      </c>
    </row>
    <row r="42" spans="1:23">
      <c r="A42" t="s">
        <v>829</v>
      </c>
      <c r="B42" t="s">
        <v>946</v>
      </c>
      <c r="C42">
        <v>12</v>
      </c>
      <c r="D42" t="s">
        <v>671</v>
      </c>
      <c r="E42" t="s">
        <v>1036</v>
      </c>
      <c r="F42">
        <v>39204.774774774771</v>
      </c>
      <c r="G42">
        <v>470457.29729729728</v>
      </c>
      <c r="H42">
        <v>43517.3</v>
      </c>
      <c r="I42">
        <v>522207.60000000003</v>
      </c>
      <c r="J42">
        <v>42342.342342342337</v>
      </c>
      <c r="K42">
        <v>508108.10810810805</v>
      </c>
      <c r="L42">
        <v>47000</v>
      </c>
      <c r="M42">
        <v>564000</v>
      </c>
      <c r="O42">
        <v>0</v>
      </c>
      <c r="P42">
        <v>0</v>
      </c>
      <c r="Q42">
        <v>0</v>
      </c>
      <c r="R42" t="s">
        <v>637</v>
      </c>
      <c r="S42" t="str">
        <f>IFERROR(VLOOKUP(CONCATENATE(Fix_Mapping[[#This Row],[KODE BARANG]],1),'Form Fix'!$A$6:$F$286,4,0),0)</f>
        <v>051701002</v>
      </c>
      <c r="T42">
        <f>IFERROR(VLOOKUP(CONCATENATE(Fix_Mapping[[#This Row],[KODE BARANG]],2),'Form Fix'!$A$6:$F$286,4,0),0)</f>
        <v>0</v>
      </c>
      <c r="U42">
        <f>IFERROR(VLOOKUP(CONCATENATE(Fix_Mapping[[#This Row],[KODE BARANG]],3),'Form Fix'!$A$6:$F$286,4,0),0)</f>
        <v>0</v>
      </c>
      <c r="V42">
        <f>IFERROR(VLOOKUP(CONCATENATE(Fix_Mapping[[#This Row],[KODE BARANG]],4),'Form Fix'!$A$6:$F$286,4,0),0)</f>
        <v>0</v>
      </c>
      <c r="W42">
        <f>IFERROR(VLOOKUP(CONCATENATE(Fix_Mapping[[#This Row],[KODE BARANG]],5),'Form Fix'!$A$6:$F$286,4,0),0)</f>
        <v>0</v>
      </c>
    </row>
    <row r="43" spans="1:23">
      <c r="A43" t="s">
        <v>1151</v>
      </c>
      <c r="B43" t="s">
        <v>1181</v>
      </c>
      <c r="C43">
        <v>12</v>
      </c>
      <c r="D43" t="s">
        <v>671</v>
      </c>
      <c r="E43" t="s">
        <v>1036</v>
      </c>
      <c r="F43">
        <v>43375.495495495488</v>
      </c>
      <c r="G43">
        <v>520505.94594594586</v>
      </c>
      <c r="H43">
        <v>48146.799999999996</v>
      </c>
      <c r="I43">
        <v>577761.6</v>
      </c>
      <c r="J43">
        <v>46846.846846846842</v>
      </c>
      <c r="K43">
        <v>562162.16216216213</v>
      </c>
      <c r="L43">
        <v>52000</v>
      </c>
      <c r="M43">
        <v>624000</v>
      </c>
      <c r="O43">
        <v>0</v>
      </c>
      <c r="P43">
        <v>0</v>
      </c>
      <c r="Q43">
        <v>0</v>
      </c>
      <c r="R43" t="s">
        <v>637</v>
      </c>
      <c r="S43" t="str">
        <f>IFERROR(VLOOKUP(CONCATENATE(Fix_Mapping[[#This Row],[KODE BARANG]],1),'Form Fix'!$A$6:$F$286,4,0),0)</f>
        <v>051701495</v>
      </c>
      <c r="T43">
        <f>IFERROR(VLOOKUP(CONCATENATE(Fix_Mapping[[#This Row],[KODE BARANG]],2),'Form Fix'!$A$6:$F$286,4,0),0)</f>
        <v>0</v>
      </c>
      <c r="U43">
        <f>IFERROR(VLOOKUP(CONCATENATE(Fix_Mapping[[#This Row],[KODE BARANG]],3),'Form Fix'!$A$6:$F$286,4,0),0)</f>
        <v>0</v>
      </c>
      <c r="V43">
        <f>IFERROR(VLOOKUP(CONCATENATE(Fix_Mapping[[#This Row],[KODE BARANG]],4),'Form Fix'!$A$6:$F$286,4,0),0)</f>
        <v>0</v>
      </c>
      <c r="W43">
        <f>IFERROR(VLOOKUP(CONCATENATE(Fix_Mapping[[#This Row],[KODE BARANG]],5),'Form Fix'!$A$6:$F$286,4,0),0)</f>
        <v>0</v>
      </c>
    </row>
    <row r="44" spans="1:23">
      <c r="A44" t="s">
        <v>830</v>
      </c>
      <c r="B44" t="s">
        <v>947</v>
      </c>
      <c r="C44">
        <v>48</v>
      </c>
      <c r="D44" t="s">
        <v>734</v>
      </c>
      <c r="E44" t="s">
        <v>1036</v>
      </c>
      <c r="F44">
        <v>3336.5765765765759</v>
      </c>
      <c r="G44">
        <v>160155.67567567565</v>
      </c>
      <c r="H44">
        <v>3703.5999999999995</v>
      </c>
      <c r="I44">
        <v>177772.79999999999</v>
      </c>
      <c r="J44">
        <v>3603.6036036036035</v>
      </c>
      <c r="K44">
        <v>172972.97297297296</v>
      </c>
      <c r="L44">
        <v>4000</v>
      </c>
      <c r="M44">
        <v>192000</v>
      </c>
      <c r="O44">
        <v>0</v>
      </c>
      <c r="P44">
        <v>0</v>
      </c>
      <c r="Q44">
        <v>0</v>
      </c>
      <c r="R44" t="s">
        <v>637</v>
      </c>
      <c r="S44" t="str">
        <f>IFERROR(VLOOKUP(CONCATENATE(Fix_Mapping[[#This Row],[KODE BARANG]],1),'Form Fix'!$A$6:$F$286,4,0),0)</f>
        <v>051701001</v>
      </c>
      <c r="T44">
        <f>IFERROR(VLOOKUP(CONCATENATE(Fix_Mapping[[#This Row],[KODE BARANG]],2),'Form Fix'!$A$6:$F$286,4,0),0)</f>
        <v>0</v>
      </c>
      <c r="U44">
        <f>IFERROR(VLOOKUP(CONCATENATE(Fix_Mapping[[#This Row],[KODE BARANG]],3),'Form Fix'!$A$6:$F$286,4,0),0)</f>
        <v>0</v>
      </c>
      <c r="V44">
        <f>IFERROR(VLOOKUP(CONCATENATE(Fix_Mapping[[#This Row],[KODE BARANG]],4),'Form Fix'!$A$6:$F$286,4,0),0)</f>
        <v>0</v>
      </c>
      <c r="W44">
        <f>IFERROR(VLOOKUP(CONCATENATE(Fix_Mapping[[#This Row],[KODE BARANG]],5),'Form Fix'!$A$6:$F$286,4,0),0)</f>
        <v>0</v>
      </c>
    </row>
    <row r="45" spans="1:23">
      <c r="A45" t="s">
        <v>831</v>
      </c>
      <c r="B45" t="s">
        <v>948</v>
      </c>
      <c r="C45">
        <v>24</v>
      </c>
      <c r="D45" t="s">
        <v>671</v>
      </c>
      <c r="E45" t="s">
        <v>1036</v>
      </c>
      <c r="F45">
        <v>21687.747747747744</v>
      </c>
      <c r="G45">
        <v>520505.94594594586</v>
      </c>
      <c r="H45">
        <v>24073.399999999998</v>
      </c>
      <c r="I45">
        <v>577761.6</v>
      </c>
      <c r="J45">
        <v>23423.423423423421</v>
      </c>
      <c r="K45">
        <v>562162.16216216213</v>
      </c>
      <c r="L45">
        <v>26000</v>
      </c>
      <c r="M45">
        <v>624000</v>
      </c>
      <c r="O45">
        <v>0</v>
      </c>
      <c r="P45">
        <v>0</v>
      </c>
      <c r="Q45">
        <v>0</v>
      </c>
      <c r="R45" t="s">
        <v>637</v>
      </c>
      <c r="S45" t="str">
        <f>IFERROR(VLOOKUP(CONCATENATE(Fix_Mapping[[#This Row],[KODE BARANG]],1),'Form Fix'!$A$6:$F$286,4,0),0)</f>
        <v>051704001</v>
      </c>
      <c r="T45">
        <f>IFERROR(VLOOKUP(CONCATENATE(Fix_Mapping[[#This Row],[KODE BARANG]],2),'Form Fix'!$A$6:$F$286,4,0),0)</f>
        <v>0</v>
      </c>
      <c r="U45">
        <f>IFERROR(VLOOKUP(CONCATENATE(Fix_Mapping[[#This Row],[KODE BARANG]],3),'Form Fix'!$A$6:$F$286,4,0),0)</f>
        <v>0</v>
      </c>
      <c r="V45">
        <f>IFERROR(VLOOKUP(CONCATENATE(Fix_Mapping[[#This Row],[KODE BARANG]],4),'Form Fix'!$A$6:$F$286,4,0),0)</f>
        <v>0</v>
      </c>
      <c r="W45">
        <f>IFERROR(VLOOKUP(CONCATENATE(Fix_Mapping[[#This Row],[KODE BARANG]],5),'Form Fix'!$A$6:$F$286,4,0),0)</f>
        <v>0</v>
      </c>
    </row>
    <row r="46" spans="1:23">
      <c r="A46" t="s">
        <v>832</v>
      </c>
      <c r="B46" t="s">
        <v>949</v>
      </c>
      <c r="C46">
        <v>24</v>
      </c>
      <c r="D46" t="s">
        <v>671</v>
      </c>
      <c r="E46" t="s">
        <v>1036</v>
      </c>
      <c r="F46">
        <v>21687.747747747744</v>
      </c>
      <c r="G46">
        <v>520505.94594594586</v>
      </c>
      <c r="H46">
        <v>24073.399999999998</v>
      </c>
      <c r="I46">
        <v>577761.6</v>
      </c>
      <c r="J46">
        <v>23423.423423423421</v>
      </c>
      <c r="K46">
        <v>562162.16216216213</v>
      </c>
      <c r="L46">
        <v>26000</v>
      </c>
      <c r="M46">
        <v>624000</v>
      </c>
      <c r="O46">
        <v>0</v>
      </c>
      <c r="P46">
        <v>0</v>
      </c>
      <c r="Q46">
        <v>0</v>
      </c>
      <c r="R46" t="s">
        <v>637</v>
      </c>
      <c r="S46" t="str">
        <f>IFERROR(VLOOKUP(CONCATENATE(Fix_Mapping[[#This Row],[KODE BARANG]],1),'Form Fix'!$A$6:$F$286,4,0),0)</f>
        <v>051705002</v>
      </c>
      <c r="T46">
        <f>IFERROR(VLOOKUP(CONCATENATE(Fix_Mapping[[#This Row],[KODE BARANG]],2),'Form Fix'!$A$6:$F$286,4,0),0)</f>
        <v>0</v>
      </c>
      <c r="U46">
        <f>IFERROR(VLOOKUP(CONCATENATE(Fix_Mapping[[#This Row],[KODE BARANG]],3),'Form Fix'!$A$6:$F$286,4,0),0)</f>
        <v>0</v>
      </c>
      <c r="V46">
        <f>IFERROR(VLOOKUP(CONCATENATE(Fix_Mapping[[#This Row],[KODE BARANG]],4),'Form Fix'!$A$6:$F$286,4,0),0)</f>
        <v>0</v>
      </c>
      <c r="W46">
        <f>IFERROR(VLOOKUP(CONCATENATE(Fix_Mapping[[#This Row],[KODE BARANG]],5),'Form Fix'!$A$6:$F$286,4,0),0)</f>
        <v>0</v>
      </c>
    </row>
    <row r="47" spans="1:23">
      <c r="A47" t="s">
        <v>833</v>
      </c>
      <c r="B47" t="s">
        <v>950</v>
      </c>
      <c r="C47">
        <v>12</v>
      </c>
      <c r="D47" t="s">
        <v>671</v>
      </c>
      <c r="E47" t="s">
        <v>1036</v>
      </c>
      <c r="F47">
        <v>39204.774774774771</v>
      </c>
      <c r="G47">
        <v>470457.29729729728</v>
      </c>
      <c r="H47">
        <v>43517.3</v>
      </c>
      <c r="I47">
        <v>522207.60000000003</v>
      </c>
      <c r="J47">
        <v>42342.342342342337</v>
      </c>
      <c r="K47">
        <v>508108.10810810805</v>
      </c>
      <c r="L47">
        <v>47000</v>
      </c>
      <c r="M47">
        <v>564000</v>
      </c>
      <c r="O47">
        <v>0</v>
      </c>
      <c r="P47">
        <v>0</v>
      </c>
      <c r="Q47">
        <v>0</v>
      </c>
      <c r="R47" t="s">
        <v>637</v>
      </c>
      <c r="S47" t="str">
        <f>IFERROR(VLOOKUP(CONCATENATE(Fix_Mapping[[#This Row],[KODE BARANG]],1),'Form Fix'!$A$6:$F$286,4,0),0)</f>
        <v>051705001</v>
      </c>
      <c r="T47">
        <f>IFERROR(VLOOKUP(CONCATENATE(Fix_Mapping[[#This Row],[KODE BARANG]],2),'Form Fix'!$A$6:$F$286,4,0),0)</f>
        <v>0</v>
      </c>
      <c r="U47">
        <f>IFERROR(VLOOKUP(CONCATENATE(Fix_Mapping[[#This Row],[KODE BARANG]],3),'Form Fix'!$A$6:$F$286,4,0),0)</f>
        <v>0</v>
      </c>
      <c r="V47">
        <f>IFERROR(VLOOKUP(CONCATENATE(Fix_Mapping[[#This Row],[KODE BARANG]],4),'Form Fix'!$A$6:$F$286,4,0),0)</f>
        <v>0</v>
      </c>
      <c r="W47">
        <f>IFERROR(VLOOKUP(CONCATENATE(Fix_Mapping[[#This Row],[KODE BARANG]],5),'Form Fix'!$A$6:$F$286,4,0),0)</f>
        <v>0</v>
      </c>
    </row>
    <row r="48" spans="1:23">
      <c r="A48" t="s">
        <v>1158</v>
      </c>
      <c r="B48" t="s">
        <v>1182</v>
      </c>
      <c r="C48">
        <v>24</v>
      </c>
      <c r="D48" t="s">
        <v>671</v>
      </c>
      <c r="E48" t="s">
        <v>1036</v>
      </c>
      <c r="F48">
        <v>21687.747747747744</v>
      </c>
      <c r="G48">
        <v>520505.94594594586</v>
      </c>
      <c r="H48">
        <v>24073.399999999998</v>
      </c>
      <c r="I48">
        <v>577761.6</v>
      </c>
      <c r="J48">
        <v>23423.423423423421</v>
      </c>
      <c r="K48">
        <v>562162.16216216213</v>
      </c>
      <c r="L48">
        <v>26000</v>
      </c>
      <c r="M48">
        <v>624000</v>
      </c>
      <c r="O48">
        <v>0</v>
      </c>
      <c r="P48">
        <v>0</v>
      </c>
      <c r="Q48">
        <v>0</v>
      </c>
      <c r="R48" t="s">
        <v>637</v>
      </c>
      <c r="S48" t="str">
        <f>IFERROR(VLOOKUP(CONCATENATE(Fix_Mapping[[#This Row],[KODE BARANG]],1),'Form Fix'!$A$6:$F$286,4,0),0)</f>
        <v>051705401</v>
      </c>
      <c r="T48">
        <f>IFERROR(VLOOKUP(CONCATENATE(Fix_Mapping[[#This Row],[KODE BARANG]],2),'Form Fix'!$A$6:$F$286,4,0),0)</f>
        <v>0</v>
      </c>
      <c r="U48">
        <f>IFERROR(VLOOKUP(CONCATENATE(Fix_Mapping[[#This Row],[KODE BARANG]],3),'Form Fix'!$A$6:$F$286,4,0),0)</f>
        <v>0</v>
      </c>
      <c r="V48">
        <f>IFERROR(VLOOKUP(CONCATENATE(Fix_Mapping[[#This Row],[KODE BARANG]],4),'Form Fix'!$A$6:$F$286,4,0),0)</f>
        <v>0</v>
      </c>
      <c r="W48">
        <f>IFERROR(VLOOKUP(CONCATENATE(Fix_Mapping[[#This Row],[KODE BARANG]],5),'Form Fix'!$A$6:$F$286,4,0),0)</f>
        <v>0</v>
      </c>
    </row>
    <row r="49" spans="1:23">
      <c r="A49" t="s">
        <v>834</v>
      </c>
      <c r="B49" t="s">
        <v>951</v>
      </c>
      <c r="C49">
        <v>48</v>
      </c>
      <c r="D49" t="s">
        <v>705</v>
      </c>
      <c r="E49" t="s">
        <v>1038</v>
      </c>
      <c r="F49">
        <v>9175.5855855855862</v>
      </c>
      <c r="G49">
        <v>440428.10810810816</v>
      </c>
      <c r="H49">
        <v>10184.900000000001</v>
      </c>
      <c r="I49">
        <v>488875.20000000013</v>
      </c>
      <c r="J49">
        <v>9909.9099099099094</v>
      </c>
      <c r="K49">
        <v>475675.67567567562</v>
      </c>
      <c r="L49">
        <v>11000</v>
      </c>
      <c r="M49">
        <v>528000</v>
      </c>
      <c r="O49">
        <v>0</v>
      </c>
      <c r="P49">
        <v>0</v>
      </c>
      <c r="Q49">
        <v>0</v>
      </c>
      <c r="R49" t="s">
        <v>637</v>
      </c>
      <c r="S49" t="str">
        <f>IFERROR(VLOOKUP(CONCATENATE(Fix_Mapping[[#This Row],[KODE BARANG]],1),'Form Fix'!$A$6:$F$286,4,0),0)</f>
        <v>071702204</v>
      </c>
      <c r="T49">
        <f>IFERROR(VLOOKUP(CONCATENATE(Fix_Mapping[[#This Row],[KODE BARANG]],2),'Form Fix'!$A$6:$F$286,4,0),0)</f>
        <v>0</v>
      </c>
      <c r="U49">
        <f>IFERROR(VLOOKUP(CONCATENATE(Fix_Mapping[[#This Row],[KODE BARANG]],3),'Form Fix'!$A$6:$F$286,4,0),0)</f>
        <v>0</v>
      </c>
      <c r="V49">
        <f>IFERROR(VLOOKUP(CONCATENATE(Fix_Mapping[[#This Row],[KODE BARANG]],4),'Form Fix'!$A$6:$F$286,4,0),0)</f>
        <v>0</v>
      </c>
      <c r="W49">
        <f>IFERROR(VLOOKUP(CONCATENATE(Fix_Mapping[[#This Row],[KODE BARANG]],5),'Form Fix'!$A$6:$F$286,4,0),0)</f>
        <v>0</v>
      </c>
    </row>
    <row r="50" spans="1:23">
      <c r="A50" t="s">
        <v>835</v>
      </c>
      <c r="B50" t="s">
        <v>952</v>
      </c>
      <c r="C50">
        <v>48</v>
      </c>
      <c r="D50" t="s">
        <v>705</v>
      </c>
      <c r="E50" t="s">
        <v>1038</v>
      </c>
      <c r="F50">
        <v>16682.882882882881</v>
      </c>
      <c r="G50">
        <v>800778.37837837823</v>
      </c>
      <c r="H50">
        <v>18518</v>
      </c>
      <c r="I50">
        <v>888863.99999999988</v>
      </c>
      <c r="J50">
        <v>18018.018018018014</v>
      </c>
      <c r="K50">
        <v>864864.86486486462</v>
      </c>
      <c r="L50">
        <v>19999.999999999996</v>
      </c>
      <c r="M50">
        <v>959999.99999999977</v>
      </c>
      <c r="O50">
        <v>0</v>
      </c>
      <c r="P50">
        <v>0</v>
      </c>
      <c r="Q50">
        <v>0</v>
      </c>
      <c r="R50" t="s">
        <v>637</v>
      </c>
      <c r="S50" t="str">
        <f>IFERROR(VLOOKUP(CONCATENATE(Fix_Mapping[[#This Row],[KODE BARANG]],1),'Form Fix'!$A$6:$F$286,4,0),0)</f>
        <v>071702302</v>
      </c>
      <c r="T50">
        <f>IFERROR(VLOOKUP(CONCATENATE(Fix_Mapping[[#This Row],[KODE BARANG]],2),'Form Fix'!$A$6:$F$286,4,0),0)</f>
        <v>0</v>
      </c>
      <c r="U50">
        <f>IFERROR(VLOOKUP(CONCATENATE(Fix_Mapping[[#This Row],[KODE BARANG]],3),'Form Fix'!$A$6:$F$286,4,0),0)</f>
        <v>0</v>
      </c>
      <c r="V50">
        <f>IFERROR(VLOOKUP(CONCATENATE(Fix_Mapping[[#This Row],[KODE BARANG]],4),'Form Fix'!$A$6:$F$286,4,0),0)</f>
        <v>0</v>
      </c>
      <c r="W50">
        <f>IFERROR(VLOOKUP(CONCATENATE(Fix_Mapping[[#This Row],[KODE BARANG]],5),'Form Fix'!$A$6:$F$286,4,0),0)</f>
        <v>0</v>
      </c>
    </row>
    <row r="51" spans="1:23">
      <c r="A51" t="s">
        <v>836</v>
      </c>
      <c r="B51" t="s">
        <v>953</v>
      </c>
      <c r="C51">
        <v>48</v>
      </c>
      <c r="D51" t="s">
        <v>705</v>
      </c>
      <c r="E51" t="s">
        <v>1038</v>
      </c>
      <c r="F51">
        <v>9175.5855855855862</v>
      </c>
      <c r="G51">
        <v>440428.10810810816</v>
      </c>
      <c r="H51">
        <v>10184.900000000001</v>
      </c>
      <c r="I51">
        <v>488875.20000000013</v>
      </c>
      <c r="J51">
        <v>9909.9099099099094</v>
      </c>
      <c r="K51">
        <v>475675.67567567562</v>
      </c>
      <c r="L51">
        <v>11000</v>
      </c>
      <c r="M51">
        <v>528000</v>
      </c>
      <c r="O51">
        <v>0</v>
      </c>
      <c r="P51">
        <v>0</v>
      </c>
      <c r="Q51">
        <v>0</v>
      </c>
      <c r="R51" t="s">
        <v>637</v>
      </c>
      <c r="S51" t="str">
        <f>IFERROR(VLOOKUP(CONCATENATE(Fix_Mapping[[#This Row],[KODE BARANG]],1),'Form Fix'!$A$6:$F$286,4,0),0)</f>
        <v>071703204</v>
      </c>
      <c r="T51">
        <f>IFERROR(VLOOKUP(CONCATENATE(Fix_Mapping[[#This Row],[KODE BARANG]],2),'Form Fix'!$A$6:$F$286,4,0),0)</f>
        <v>0</v>
      </c>
      <c r="U51">
        <f>IFERROR(VLOOKUP(CONCATENATE(Fix_Mapping[[#This Row],[KODE BARANG]],3),'Form Fix'!$A$6:$F$286,4,0),0)</f>
        <v>0</v>
      </c>
      <c r="V51">
        <f>IFERROR(VLOOKUP(CONCATENATE(Fix_Mapping[[#This Row],[KODE BARANG]],4),'Form Fix'!$A$6:$F$286,4,0),0)</f>
        <v>0</v>
      </c>
      <c r="W51">
        <f>IFERROR(VLOOKUP(CONCATENATE(Fix_Mapping[[#This Row],[KODE BARANG]],5),'Form Fix'!$A$6:$F$286,4,0),0)</f>
        <v>0</v>
      </c>
    </row>
    <row r="52" spans="1:23">
      <c r="A52" t="s">
        <v>837</v>
      </c>
      <c r="B52" t="s">
        <v>954</v>
      </c>
      <c r="C52">
        <v>48</v>
      </c>
      <c r="D52" t="s">
        <v>705</v>
      </c>
      <c r="E52" t="s">
        <v>1038</v>
      </c>
      <c r="F52">
        <v>16682.882882882881</v>
      </c>
      <c r="G52">
        <v>800778.37837837823</v>
      </c>
      <c r="H52">
        <v>18518</v>
      </c>
      <c r="I52">
        <v>888863.99999999988</v>
      </c>
      <c r="J52">
        <v>18018.018018018014</v>
      </c>
      <c r="K52">
        <v>864864.86486486462</v>
      </c>
      <c r="L52">
        <v>19999.999999999996</v>
      </c>
      <c r="M52">
        <v>959999.99999999977</v>
      </c>
      <c r="O52">
        <v>0</v>
      </c>
      <c r="P52">
        <v>0</v>
      </c>
      <c r="Q52">
        <v>0</v>
      </c>
      <c r="R52" t="s">
        <v>637</v>
      </c>
      <c r="S52" t="str">
        <f>IFERROR(VLOOKUP(CONCATENATE(Fix_Mapping[[#This Row],[KODE BARANG]],1),'Form Fix'!$A$6:$F$286,4,0),0)</f>
        <v>071703302</v>
      </c>
      <c r="T52">
        <f>IFERROR(VLOOKUP(CONCATENATE(Fix_Mapping[[#This Row],[KODE BARANG]],2),'Form Fix'!$A$6:$F$286,4,0),0)</f>
        <v>0</v>
      </c>
      <c r="U52">
        <f>IFERROR(VLOOKUP(CONCATENATE(Fix_Mapping[[#This Row],[KODE BARANG]],3),'Form Fix'!$A$6:$F$286,4,0),0)</f>
        <v>0</v>
      </c>
      <c r="V52">
        <f>IFERROR(VLOOKUP(CONCATENATE(Fix_Mapping[[#This Row],[KODE BARANG]],4),'Form Fix'!$A$6:$F$286,4,0),0)</f>
        <v>0</v>
      </c>
      <c r="W52">
        <f>IFERROR(VLOOKUP(CONCATENATE(Fix_Mapping[[#This Row],[KODE BARANG]],5),'Form Fix'!$A$6:$F$286,4,0),0)</f>
        <v>0</v>
      </c>
    </row>
    <row r="53" spans="1:23">
      <c r="A53" t="s">
        <v>838</v>
      </c>
      <c r="B53" t="s">
        <v>955</v>
      </c>
      <c r="C53">
        <v>48</v>
      </c>
      <c r="D53" t="s">
        <v>705</v>
      </c>
      <c r="E53" t="s">
        <v>1038</v>
      </c>
      <c r="F53">
        <v>9175.5855855855862</v>
      </c>
      <c r="G53">
        <v>440428.10810810816</v>
      </c>
      <c r="H53">
        <v>10184.900000000001</v>
      </c>
      <c r="I53">
        <v>488875.20000000013</v>
      </c>
      <c r="J53">
        <v>9909.9099099099094</v>
      </c>
      <c r="K53">
        <v>475675.67567567562</v>
      </c>
      <c r="L53">
        <v>11000</v>
      </c>
      <c r="M53">
        <v>528000</v>
      </c>
      <c r="O53">
        <v>0</v>
      </c>
      <c r="P53">
        <v>0</v>
      </c>
      <c r="Q53">
        <v>0</v>
      </c>
      <c r="R53" t="s">
        <v>637</v>
      </c>
      <c r="S53" t="str">
        <f>IFERROR(VLOOKUP(CONCATENATE(Fix_Mapping[[#This Row],[KODE BARANG]],1),'Form Fix'!$A$6:$F$286,4,0),0)</f>
        <v>071701204</v>
      </c>
      <c r="T53">
        <f>IFERROR(VLOOKUP(CONCATENATE(Fix_Mapping[[#This Row],[KODE BARANG]],2),'Form Fix'!$A$6:$F$286,4,0),0)</f>
        <v>0</v>
      </c>
      <c r="U53">
        <f>IFERROR(VLOOKUP(CONCATENATE(Fix_Mapping[[#This Row],[KODE BARANG]],3),'Form Fix'!$A$6:$F$286,4,0),0)</f>
        <v>0</v>
      </c>
      <c r="V53">
        <f>IFERROR(VLOOKUP(CONCATENATE(Fix_Mapping[[#This Row],[KODE BARANG]],4),'Form Fix'!$A$6:$F$286,4,0),0)</f>
        <v>0</v>
      </c>
      <c r="W53">
        <f>IFERROR(VLOOKUP(CONCATENATE(Fix_Mapping[[#This Row],[KODE BARANG]],5),'Form Fix'!$A$6:$F$286,4,0),0)</f>
        <v>0</v>
      </c>
    </row>
    <row r="54" spans="1:23">
      <c r="A54" t="s">
        <v>839</v>
      </c>
      <c r="B54" t="s">
        <v>956</v>
      </c>
      <c r="C54">
        <v>48</v>
      </c>
      <c r="D54" t="s">
        <v>705</v>
      </c>
      <c r="E54" t="s">
        <v>1038</v>
      </c>
      <c r="F54">
        <v>16682.882882882881</v>
      </c>
      <c r="G54">
        <v>800778.37837837823</v>
      </c>
      <c r="H54">
        <v>18518</v>
      </c>
      <c r="I54">
        <v>888863.99999999988</v>
      </c>
      <c r="J54">
        <v>18018.018018018014</v>
      </c>
      <c r="K54">
        <v>864864.86486486462</v>
      </c>
      <c r="L54">
        <v>19999.999999999996</v>
      </c>
      <c r="M54">
        <v>959999.99999999977</v>
      </c>
      <c r="O54">
        <v>0</v>
      </c>
      <c r="P54">
        <v>0</v>
      </c>
      <c r="Q54">
        <v>0</v>
      </c>
      <c r="R54" t="s">
        <v>637</v>
      </c>
      <c r="S54" t="str">
        <f>IFERROR(VLOOKUP(CONCATENATE(Fix_Mapping[[#This Row],[KODE BARANG]],1),'Form Fix'!$A$6:$F$286,4,0),0)</f>
        <v>071701302</v>
      </c>
      <c r="T54">
        <f>IFERROR(VLOOKUP(CONCATENATE(Fix_Mapping[[#This Row],[KODE BARANG]],2),'Form Fix'!$A$6:$F$286,4,0),0)</f>
        <v>0</v>
      </c>
      <c r="U54">
        <f>IFERROR(VLOOKUP(CONCATENATE(Fix_Mapping[[#This Row],[KODE BARANG]],3),'Form Fix'!$A$6:$F$286,4,0),0)</f>
        <v>0</v>
      </c>
      <c r="V54">
        <f>IFERROR(VLOOKUP(CONCATENATE(Fix_Mapping[[#This Row],[KODE BARANG]],4),'Form Fix'!$A$6:$F$286,4,0),0)</f>
        <v>0</v>
      </c>
      <c r="W54">
        <f>IFERROR(VLOOKUP(CONCATENATE(Fix_Mapping[[#This Row],[KODE BARANG]],5),'Form Fix'!$A$6:$F$286,4,0),0)</f>
        <v>0</v>
      </c>
    </row>
    <row r="55" spans="1:23">
      <c r="A55" t="s">
        <v>840</v>
      </c>
      <c r="B55" t="s">
        <v>957</v>
      </c>
      <c r="C55">
        <v>48</v>
      </c>
      <c r="D55" t="s">
        <v>705</v>
      </c>
      <c r="E55" t="s">
        <v>1038</v>
      </c>
      <c r="F55">
        <v>9175.5855855855862</v>
      </c>
      <c r="G55">
        <v>440428.10810810816</v>
      </c>
      <c r="H55">
        <v>10184.900000000001</v>
      </c>
      <c r="I55">
        <v>488875.20000000013</v>
      </c>
      <c r="J55">
        <v>9909.9099099099094</v>
      </c>
      <c r="K55">
        <v>475675.67567567562</v>
      </c>
      <c r="L55">
        <v>11000</v>
      </c>
      <c r="M55">
        <v>528000</v>
      </c>
      <c r="O55">
        <v>0</v>
      </c>
      <c r="P55">
        <v>0</v>
      </c>
      <c r="Q55">
        <v>0</v>
      </c>
      <c r="R55" t="s">
        <v>637</v>
      </c>
      <c r="S55" t="str">
        <f>IFERROR(VLOOKUP(CONCATENATE(Fix_Mapping[[#This Row],[KODE BARANG]],1),'Form Fix'!$A$6:$F$286,4,0),0)</f>
        <v>071705204</v>
      </c>
      <c r="T55">
        <f>IFERROR(VLOOKUP(CONCATENATE(Fix_Mapping[[#This Row],[KODE BARANG]],2),'Form Fix'!$A$6:$F$286,4,0),0)</f>
        <v>0</v>
      </c>
      <c r="U55">
        <f>IFERROR(VLOOKUP(CONCATENATE(Fix_Mapping[[#This Row],[KODE BARANG]],3),'Form Fix'!$A$6:$F$286,4,0),0)</f>
        <v>0</v>
      </c>
      <c r="V55">
        <f>IFERROR(VLOOKUP(CONCATENATE(Fix_Mapping[[#This Row],[KODE BARANG]],4),'Form Fix'!$A$6:$F$286,4,0),0)</f>
        <v>0</v>
      </c>
      <c r="W55">
        <f>IFERROR(VLOOKUP(CONCATENATE(Fix_Mapping[[#This Row],[KODE BARANG]],5),'Form Fix'!$A$6:$F$286,4,0),0)</f>
        <v>0</v>
      </c>
    </row>
    <row r="56" spans="1:23">
      <c r="A56" t="s">
        <v>841</v>
      </c>
      <c r="B56" t="s">
        <v>958</v>
      </c>
      <c r="C56">
        <v>48</v>
      </c>
      <c r="D56" t="s">
        <v>705</v>
      </c>
      <c r="E56" t="s">
        <v>1038</v>
      </c>
      <c r="F56">
        <v>16682.882882882881</v>
      </c>
      <c r="G56">
        <v>800778.37837837823</v>
      </c>
      <c r="H56">
        <v>18518</v>
      </c>
      <c r="I56">
        <v>888863.99999999988</v>
      </c>
      <c r="J56">
        <v>18018.018018018014</v>
      </c>
      <c r="K56">
        <v>864864.86486486462</v>
      </c>
      <c r="L56">
        <v>19999.999999999996</v>
      </c>
      <c r="M56">
        <v>959999.99999999977</v>
      </c>
      <c r="O56">
        <v>0</v>
      </c>
      <c r="P56">
        <v>0</v>
      </c>
      <c r="Q56">
        <v>0</v>
      </c>
      <c r="R56" t="s">
        <v>637</v>
      </c>
      <c r="S56" t="str">
        <f>IFERROR(VLOOKUP(CONCATENATE(Fix_Mapping[[#This Row],[KODE BARANG]],1),'Form Fix'!$A$6:$F$286,4,0),0)</f>
        <v>071705302</v>
      </c>
      <c r="T56">
        <f>IFERROR(VLOOKUP(CONCATENATE(Fix_Mapping[[#This Row],[KODE BARANG]],2),'Form Fix'!$A$6:$F$286,4,0),0)</f>
        <v>0</v>
      </c>
      <c r="U56">
        <f>IFERROR(VLOOKUP(CONCATENATE(Fix_Mapping[[#This Row],[KODE BARANG]],3),'Form Fix'!$A$6:$F$286,4,0),0)</f>
        <v>0</v>
      </c>
      <c r="V56">
        <f>IFERROR(VLOOKUP(CONCATENATE(Fix_Mapping[[#This Row],[KODE BARANG]],4),'Form Fix'!$A$6:$F$286,4,0),0)</f>
        <v>0</v>
      </c>
      <c r="W56">
        <f>IFERROR(VLOOKUP(CONCATENATE(Fix_Mapping[[#This Row],[KODE BARANG]],5),'Form Fix'!$A$6:$F$286,4,0),0)</f>
        <v>0</v>
      </c>
    </row>
    <row r="57" spans="1:23">
      <c r="A57" t="s">
        <v>842</v>
      </c>
      <c r="B57" t="s">
        <v>1316</v>
      </c>
      <c r="C57">
        <v>48</v>
      </c>
      <c r="D57" t="s">
        <v>733</v>
      </c>
      <c r="E57" t="s">
        <v>1040</v>
      </c>
      <c r="F57">
        <v>7340.468468468468</v>
      </c>
      <c r="G57">
        <v>352342.48648648645</v>
      </c>
      <c r="H57">
        <v>8147.92</v>
      </c>
      <c r="I57">
        <v>391100.15999999997</v>
      </c>
      <c r="J57">
        <v>7927.9279279279281</v>
      </c>
      <c r="K57">
        <v>380540.54054054053</v>
      </c>
      <c r="L57">
        <v>8800.0000000000018</v>
      </c>
      <c r="M57">
        <v>422400</v>
      </c>
      <c r="O57">
        <v>0</v>
      </c>
      <c r="P57">
        <v>0</v>
      </c>
      <c r="Q57">
        <v>0</v>
      </c>
      <c r="R57" t="s">
        <v>637</v>
      </c>
      <c r="S57" t="str">
        <f>IFERROR(VLOOKUP(CONCATENATE(Fix_Mapping[[#This Row],[KODE BARANG]],1),'Form Fix'!$A$6:$F$286,4,0),0)</f>
        <v>061702300</v>
      </c>
      <c r="T57">
        <f>IFERROR(VLOOKUP(CONCATENATE(Fix_Mapping[[#This Row],[KODE BARANG]],2),'Form Fix'!$A$6:$F$286,4,0),0)</f>
        <v>0</v>
      </c>
      <c r="U57">
        <f>IFERROR(VLOOKUP(CONCATENATE(Fix_Mapping[[#This Row],[KODE BARANG]],3),'Form Fix'!$A$6:$F$286,4,0),0)</f>
        <v>0</v>
      </c>
      <c r="V57">
        <f>IFERROR(VLOOKUP(CONCATENATE(Fix_Mapping[[#This Row],[KODE BARANG]],4),'Form Fix'!$A$6:$F$286,4,0),0)</f>
        <v>0</v>
      </c>
      <c r="W57">
        <f>IFERROR(VLOOKUP(CONCATENATE(Fix_Mapping[[#This Row],[KODE BARANG]],5),'Form Fix'!$A$6:$F$286,4,0),0)</f>
        <v>0</v>
      </c>
    </row>
    <row r="58" spans="1:23">
      <c r="A58" t="s">
        <v>843</v>
      </c>
      <c r="B58" t="s">
        <v>959</v>
      </c>
      <c r="C58">
        <v>48</v>
      </c>
      <c r="D58" t="s">
        <v>733</v>
      </c>
      <c r="E58" t="s">
        <v>1040</v>
      </c>
      <c r="F58">
        <v>11094.117117117115</v>
      </c>
      <c r="G58">
        <v>532517.62162162154</v>
      </c>
      <c r="H58">
        <v>12314.47</v>
      </c>
      <c r="I58">
        <v>591094.55999999994</v>
      </c>
      <c r="J58">
        <v>11981.98198198198</v>
      </c>
      <c r="K58">
        <v>575135.13513513503</v>
      </c>
      <c r="L58">
        <v>13300</v>
      </c>
      <c r="M58">
        <v>638399.99999999988</v>
      </c>
      <c r="O58">
        <v>0</v>
      </c>
      <c r="P58">
        <v>0</v>
      </c>
      <c r="Q58">
        <v>0</v>
      </c>
      <c r="R58" t="s">
        <v>637</v>
      </c>
      <c r="S58" t="str">
        <f>IFERROR(VLOOKUP(CONCATENATE(Fix_Mapping[[#This Row],[KODE BARANG]],1),'Form Fix'!$A$6:$F$286,4,0),0)</f>
        <v>061702502</v>
      </c>
      <c r="T58">
        <f>IFERROR(VLOOKUP(CONCATENATE(Fix_Mapping[[#This Row],[KODE BARANG]],2),'Form Fix'!$A$6:$F$286,4,0),0)</f>
        <v>0</v>
      </c>
      <c r="U58">
        <f>IFERROR(VLOOKUP(CONCATENATE(Fix_Mapping[[#This Row],[KODE BARANG]],3),'Form Fix'!$A$6:$F$286,4,0),0)</f>
        <v>0</v>
      </c>
      <c r="V58">
        <f>IFERROR(VLOOKUP(CONCATENATE(Fix_Mapping[[#This Row],[KODE BARANG]],4),'Form Fix'!$A$6:$F$286,4,0),0)</f>
        <v>0</v>
      </c>
      <c r="W58">
        <f>IFERROR(VLOOKUP(CONCATENATE(Fix_Mapping[[#This Row],[KODE BARANG]],5),'Form Fix'!$A$6:$F$286,4,0),0)</f>
        <v>0</v>
      </c>
    </row>
    <row r="59" spans="1:23">
      <c r="A59" t="s">
        <v>844</v>
      </c>
      <c r="B59" t="s">
        <v>960</v>
      </c>
      <c r="C59">
        <v>96</v>
      </c>
      <c r="D59" t="s">
        <v>733</v>
      </c>
      <c r="E59" t="s">
        <v>1040</v>
      </c>
      <c r="F59">
        <v>7340.468468468468</v>
      </c>
      <c r="G59">
        <v>704684.9729729729</v>
      </c>
      <c r="H59">
        <v>8147.92</v>
      </c>
      <c r="I59">
        <v>782200.31999999995</v>
      </c>
      <c r="J59">
        <v>7927.9279279279281</v>
      </c>
      <c r="K59">
        <v>761081.08108108107</v>
      </c>
      <c r="L59">
        <v>8800.0000000000018</v>
      </c>
      <c r="M59">
        <v>844800</v>
      </c>
      <c r="O59">
        <v>0</v>
      </c>
      <c r="P59">
        <v>0</v>
      </c>
      <c r="Q59">
        <v>0</v>
      </c>
      <c r="R59" t="s">
        <v>637</v>
      </c>
      <c r="S59" t="str">
        <f>IFERROR(VLOOKUP(CONCATENATE(Fix_Mapping[[#This Row],[KODE BARANG]],1),'Form Fix'!$A$6:$F$286,4,0),0)</f>
        <v>061706300</v>
      </c>
      <c r="T59">
        <f>IFERROR(VLOOKUP(CONCATENATE(Fix_Mapping[[#This Row],[KODE BARANG]],2),'Form Fix'!$A$6:$F$286,4,0),0)</f>
        <v>0</v>
      </c>
      <c r="U59">
        <f>IFERROR(VLOOKUP(CONCATENATE(Fix_Mapping[[#This Row],[KODE BARANG]],3),'Form Fix'!$A$6:$F$286,4,0),0)</f>
        <v>0</v>
      </c>
      <c r="V59">
        <f>IFERROR(VLOOKUP(CONCATENATE(Fix_Mapping[[#This Row],[KODE BARANG]],4),'Form Fix'!$A$6:$F$286,4,0),0)</f>
        <v>0</v>
      </c>
      <c r="W59">
        <f>IFERROR(VLOOKUP(CONCATENATE(Fix_Mapping[[#This Row],[KODE BARANG]],5),'Form Fix'!$A$6:$F$286,4,0),0)</f>
        <v>0</v>
      </c>
    </row>
    <row r="60" spans="1:23">
      <c r="A60" t="s">
        <v>845</v>
      </c>
      <c r="B60" t="s">
        <v>961</v>
      </c>
      <c r="C60">
        <v>48</v>
      </c>
      <c r="D60" t="s">
        <v>733</v>
      </c>
      <c r="E60" t="s">
        <v>1040</v>
      </c>
      <c r="F60">
        <v>11094.117117117115</v>
      </c>
      <c r="G60">
        <v>532517.62162162154</v>
      </c>
      <c r="H60">
        <v>12314.47</v>
      </c>
      <c r="I60">
        <v>591094.55999999994</v>
      </c>
      <c r="J60">
        <v>11981.98198198198</v>
      </c>
      <c r="K60">
        <v>575135.13513513503</v>
      </c>
      <c r="L60">
        <v>13300</v>
      </c>
      <c r="M60">
        <v>638399.99999999988</v>
      </c>
      <c r="O60">
        <v>0</v>
      </c>
      <c r="P60">
        <v>0</v>
      </c>
      <c r="Q60">
        <v>0</v>
      </c>
      <c r="R60" t="s">
        <v>637</v>
      </c>
      <c r="S60" t="str">
        <f>IFERROR(VLOOKUP(CONCATENATE(Fix_Mapping[[#This Row],[KODE BARANG]],1),'Form Fix'!$A$6:$F$286,4,0),0)</f>
        <v>061706502</v>
      </c>
      <c r="T60">
        <f>IFERROR(VLOOKUP(CONCATENATE(Fix_Mapping[[#This Row],[KODE BARANG]],2),'Form Fix'!$A$6:$F$286,4,0),0)</f>
        <v>0</v>
      </c>
      <c r="U60">
        <f>IFERROR(VLOOKUP(CONCATENATE(Fix_Mapping[[#This Row],[KODE BARANG]],3),'Form Fix'!$A$6:$F$286,4,0),0)</f>
        <v>0</v>
      </c>
      <c r="V60">
        <f>IFERROR(VLOOKUP(CONCATENATE(Fix_Mapping[[#This Row],[KODE BARANG]],4),'Form Fix'!$A$6:$F$286,4,0),0)</f>
        <v>0</v>
      </c>
      <c r="W60">
        <f>IFERROR(VLOOKUP(CONCATENATE(Fix_Mapping[[#This Row],[KODE BARANG]],5),'Form Fix'!$A$6:$F$286,4,0),0)</f>
        <v>0</v>
      </c>
    </row>
    <row r="61" spans="1:23">
      <c r="A61" t="s">
        <v>846</v>
      </c>
      <c r="B61" t="s">
        <v>962</v>
      </c>
      <c r="C61">
        <v>96</v>
      </c>
      <c r="D61" t="s">
        <v>733</v>
      </c>
      <c r="E61" t="s">
        <v>1040</v>
      </c>
      <c r="F61">
        <v>7340.468468468468</v>
      </c>
      <c r="G61">
        <v>704684.9729729729</v>
      </c>
      <c r="H61">
        <v>8147.92</v>
      </c>
      <c r="I61">
        <v>782200.31999999995</v>
      </c>
      <c r="J61">
        <v>7927.9279279279281</v>
      </c>
      <c r="K61">
        <v>761081.08108108107</v>
      </c>
      <c r="L61">
        <v>8800.0000000000018</v>
      </c>
      <c r="M61">
        <v>844800</v>
      </c>
      <c r="O61">
        <v>0</v>
      </c>
      <c r="P61">
        <v>0</v>
      </c>
      <c r="Q61">
        <v>0</v>
      </c>
      <c r="R61" t="s">
        <v>637</v>
      </c>
      <c r="S61" t="str">
        <f>IFERROR(VLOOKUP(CONCATENATE(Fix_Mapping[[#This Row],[KODE BARANG]],1),'Form Fix'!$A$6:$F$286,4,0),0)</f>
        <v>061703300</v>
      </c>
      <c r="T61">
        <f>IFERROR(VLOOKUP(CONCATENATE(Fix_Mapping[[#This Row],[KODE BARANG]],2),'Form Fix'!$A$6:$F$286,4,0),0)</f>
        <v>0</v>
      </c>
      <c r="U61">
        <f>IFERROR(VLOOKUP(CONCATENATE(Fix_Mapping[[#This Row],[KODE BARANG]],3),'Form Fix'!$A$6:$F$286,4,0),0)</f>
        <v>0</v>
      </c>
      <c r="V61">
        <f>IFERROR(VLOOKUP(CONCATENATE(Fix_Mapping[[#This Row],[KODE BARANG]],4),'Form Fix'!$A$6:$F$286,4,0),0)</f>
        <v>0</v>
      </c>
      <c r="W61">
        <f>IFERROR(VLOOKUP(CONCATENATE(Fix_Mapping[[#This Row],[KODE BARANG]],5),'Form Fix'!$A$6:$F$286,4,0),0)</f>
        <v>0</v>
      </c>
    </row>
    <row r="62" spans="1:23">
      <c r="A62" t="s">
        <v>847</v>
      </c>
      <c r="B62" t="s">
        <v>963</v>
      </c>
      <c r="C62">
        <v>48</v>
      </c>
      <c r="D62" t="s">
        <v>733</v>
      </c>
      <c r="E62" t="s">
        <v>1040</v>
      </c>
      <c r="F62">
        <v>11094.117117117115</v>
      </c>
      <c r="G62">
        <v>532517.62162162154</v>
      </c>
      <c r="H62">
        <v>12314.47</v>
      </c>
      <c r="I62">
        <v>591094.55999999994</v>
      </c>
      <c r="J62">
        <v>11981.98198198198</v>
      </c>
      <c r="K62">
        <v>575135.13513513503</v>
      </c>
      <c r="L62">
        <v>13300</v>
      </c>
      <c r="M62">
        <v>638399.99999999988</v>
      </c>
      <c r="O62">
        <v>0</v>
      </c>
      <c r="P62">
        <v>0</v>
      </c>
      <c r="Q62">
        <v>0</v>
      </c>
      <c r="R62" t="s">
        <v>637</v>
      </c>
      <c r="S62" t="str">
        <f>IFERROR(VLOOKUP(CONCATENATE(Fix_Mapping[[#This Row],[KODE BARANG]],1),'Form Fix'!$A$6:$F$286,4,0),0)</f>
        <v>061703502</v>
      </c>
      <c r="T62">
        <f>IFERROR(VLOOKUP(CONCATENATE(Fix_Mapping[[#This Row],[KODE BARANG]],2),'Form Fix'!$A$6:$F$286,4,0),0)</f>
        <v>0</v>
      </c>
      <c r="U62">
        <f>IFERROR(VLOOKUP(CONCATENATE(Fix_Mapping[[#This Row],[KODE BARANG]],3),'Form Fix'!$A$6:$F$286,4,0),0)</f>
        <v>0</v>
      </c>
      <c r="V62">
        <f>IFERROR(VLOOKUP(CONCATENATE(Fix_Mapping[[#This Row],[KODE BARANG]],4),'Form Fix'!$A$6:$F$286,4,0),0)</f>
        <v>0</v>
      </c>
      <c r="W62">
        <f>IFERROR(VLOOKUP(CONCATENATE(Fix_Mapping[[#This Row],[KODE BARANG]],5),'Form Fix'!$A$6:$F$286,4,0),0)</f>
        <v>0</v>
      </c>
    </row>
    <row r="63" spans="1:23">
      <c r="A63" t="s">
        <v>848</v>
      </c>
      <c r="B63" t="s">
        <v>964</v>
      </c>
      <c r="C63">
        <v>96</v>
      </c>
      <c r="D63" t="s">
        <v>733</v>
      </c>
      <c r="E63" t="s">
        <v>1040</v>
      </c>
      <c r="F63">
        <v>7340.468468468468</v>
      </c>
      <c r="G63">
        <v>704684.9729729729</v>
      </c>
      <c r="H63">
        <v>8147.92</v>
      </c>
      <c r="I63">
        <v>782200.31999999995</v>
      </c>
      <c r="J63">
        <v>7927.9279279279281</v>
      </c>
      <c r="K63">
        <v>761081.08108108107</v>
      </c>
      <c r="L63">
        <v>8800.0000000000018</v>
      </c>
      <c r="M63">
        <v>844800</v>
      </c>
      <c r="O63">
        <v>0</v>
      </c>
      <c r="P63">
        <v>0</v>
      </c>
      <c r="Q63">
        <v>0</v>
      </c>
      <c r="R63" t="s">
        <v>637</v>
      </c>
      <c r="S63" t="str">
        <f>IFERROR(VLOOKUP(CONCATENATE(Fix_Mapping[[#This Row],[KODE BARANG]],1),'Form Fix'!$A$6:$F$286,4,0),0)</f>
        <v>061701300</v>
      </c>
      <c r="T63">
        <f>IFERROR(VLOOKUP(CONCATENATE(Fix_Mapping[[#This Row],[KODE BARANG]],2),'Form Fix'!$A$6:$F$286,4,0),0)</f>
        <v>0</v>
      </c>
      <c r="U63">
        <f>IFERROR(VLOOKUP(CONCATENATE(Fix_Mapping[[#This Row],[KODE BARANG]],3),'Form Fix'!$A$6:$F$286,4,0),0)</f>
        <v>0</v>
      </c>
      <c r="V63">
        <f>IFERROR(VLOOKUP(CONCATENATE(Fix_Mapping[[#This Row],[KODE BARANG]],4),'Form Fix'!$A$6:$F$286,4,0),0)</f>
        <v>0</v>
      </c>
      <c r="W63">
        <f>IFERROR(VLOOKUP(CONCATENATE(Fix_Mapping[[#This Row],[KODE BARANG]],5),'Form Fix'!$A$6:$F$286,4,0),0)</f>
        <v>0</v>
      </c>
    </row>
    <row r="64" spans="1:23">
      <c r="A64" t="s">
        <v>849</v>
      </c>
      <c r="B64" t="s">
        <v>965</v>
      </c>
      <c r="C64">
        <v>48</v>
      </c>
      <c r="D64" t="s">
        <v>733</v>
      </c>
      <c r="E64" t="s">
        <v>1040</v>
      </c>
      <c r="F64">
        <v>11094.117117117115</v>
      </c>
      <c r="G64">
        <v>532517.62162162154</v>
      </c>
      <c r="H64">
        <v>12314.47</v>
      </c>
      <c r="I64">
        <v>591094.55999999994</v>
      </c>
      <c r="J64">
        <v>11981.98198198198</v>
      </c>
      <c r="K64">
        <v>575135.13513513503</v>
      </c>
      <c r="L64">
        <v>13300</v>
      </c>
      <c r="M64">
        <v>638399.99999999988</v>
      </c>
      <c r="O64">
        <v>0</v>
      </c>
      <c r="P64">
        <v>0</v>
      </c>
      <c r="Q64">
        <v>0</v>
      </c>
      <c r="R64" t="s">
        <v>637</v>
      </c>
      <c r="S64" t="str">
        <f>IFERROR(VLOOKUP(CONCATENATE(Fix_Mapping[[#This Row],[KODE BARANG]],1),'Form Fix'!$A$6:$F$286,4,0),0)</f>
        <v>061701502</v>
      </c>
      <c r="T64">
        <f>IFERROR(VLOOKUP(CONCATENATE(Fix_Mapping[[#This Row],[KODE BARANG]],2),'Form Fix'!$A$6:$F$286,4,0),0)</f>
        <v>0</v>
      </c>
      <c r="U64">
        <f>IFERROR(VLOOKUP(CONCATENATE(Fix_Mapping[[#This Row],[KODE BARANG]],3),'Form Fix'!$A$6:$F$286,4,0),0)</f>
        <v>0</v>
      </c>
      <c r="V64">
        <f>IFERROR(VLOOKUP(CONCATENATE(Fix_Mapping[[#This Row],[KODE BARANG]],4),'Form Fix'!$A$6:$F$286,4,0),0)</f>
        <v>0</v>
      </c>
      <c r="W64">
        <f>IFERROR(VLOOKUP(CONCATENATE(Fix_Mapping[[#This Row],[KODE BARANG]],5),'Form Fix'!$A$6:$F$286,4,0),0)</f>
        <v>0</v>
      </c>
    </row>
    <row r="65" spans="1:23">
      <c r="A65" t="s">
        <v>850</v>
      </c>
      <c r="B65" t="s">
        <v>966</v>
      </c>
      <c r="C65">
        <v>96</v>
      </c>
      <c r="D65" t="s">
        <v>733</v>
      </c>
      <c r="E65" t="s">
        <v>1040</v>
      </c>
      <c r="F65">
        <v>7340.468468468468</v>
      </c>
      <c r="G65">
        <v>704684.9729729729</v>
      </c>
      <c r="H65">
        <v>8147.92</v>
      </c>
      <c r="I65">
        <v>782200.31999999995</v>
      </c>
      <c r="J65">
        <v>7927.9279279279281</v>
      </c>
      <c r="K65">
        <v>761081.08108108107</v>
      </c>
      <c r="L65">
        <v>8800.0000000000018</v>
      </c>
      <c r="M65">
        <v>844800</v>
      </c>
      <c r="O65">
        <v>0</v>
      </c>
      <c r="P65">
        <v>0</v>
      </c>
      <c r="Q65">
        <v>0</v>
      </c>
      <c r="R65" t="s">
        <v>637</v>
      </c>
      <c r="S65" t="str">
        <f>IFERROR(VLOOKUP(CONCATENATE(Fix_Mapping[[#This Row],[KODE BARANG]],1),'Form Fix'!$A$6:$F$286,4,0),0)</f>
        <v>061704300</v>
      </c>
      <c r="T65">
        <f>IFERROR(VLOOKUP(CONCATENATE(Fix_Mapping[[#This Row],[KODE BARANG]],2),'Form Fix'!$A$6:$F$286,4,0),0)</f>
        <v>0</v>
      </c>
      <c r="U65">
        <f>IFERROR(VLOOKUP(CONCATENATE(Fix_Mapping[[#This Row],[KODE BARANG]],3),'Form Fix'!$A$6:$F$286,4,0),0)</f>
        <v>0</v>
      </c>
      <c r="V65">
        <f>IFERROR(VLOOKUP(CONCATENATE(Fix_Mapping[[#This Row],[KODE BARANG]],4),'Form Fix'!$A$6:$F$286,4,0),0)</f>
        <v>0</v>
      </c>
      <c r="W65">
        <f>IFERROR(VLOOKUP(CONCATENATE(Fix_Mapping[[#This Row],[KODE BARANG]],5),'Form Fix'!$A$6:$F$286,4,0),0)</f>
        <v>0</v>
      </c>
    </row>
    <row r="66" spans="1:23">
      <c r="A66" t="s">
        <v>851</v>
      </c>
      <c r="B66" t="s">
        <v>967</v>
      </c>
      <c r="C66">
        <v>48</v>
      </c>
      <c r="D66" t="s">
        <v>733</v>
      </c>
      <c r="E66" t="s">
        <v>1040</v>
      </c>
      <c r="F66">
        <v>11094.117117117115</v>
      </c>
      <c r="G66">
        <v>532517.62162162154</v>
      </c>
      <c r="H66">
        <v>12314.47</v>
      </c>
      <c r="I66">
        <v>591094.55999999994</v>
      </c>
      <c r="J66">
        <v>11981.98198198198</v>
      </c>
      <c r="K66">
        <v>575135.13513513503</v>
      </c>
      <c r="L66">
        <v>13300</v>
      </c>
      <c r="M66">
        <v>638399.99999999988</v>
      </c>
      <c r="O66">
        <v>0</v>
      </c>
      <c r="P66">
        <v>0</v>
      </c>
      <c r="Q66">
        <v>0</v>
      </c>
      <c r="R66" t="s">
        <v>637</v>
      </c>
      <c r="S66" t="str">
        <f>IFERROR(VLOOKUP(CONCATENATE(Fix_Mapping[[#This Row],[KODE BARANG]],1),'Form Fix'!$A$6:$F$286,4,0),0)</f>
        <v>061704502</v>
      </c>
      <c r="T66">
        <f>IFERROR(VLOOKUP(CONCATENATE(Fix_Mapping[[#This Row],[KODE BARANG]],2),'Form Fix'!$A$6:$F$286,4,0),0)</f>
        <v>0</v>
      </c>
      <c r="U66">
        <f>IFERROR(VLOOKUP(CONCATENATE(Fix_Mapping[[#This Row],[KODE BARANG]],3),'Form Fix'!$A$6:$F$286,4,0),0)</f>
        <v>0</v>
      </c>
      <c r="V66">
        <f>IFERROR(VLOOKUP(CONCATENATE(Fix_Mapping[[#This Row],[KODE BARANG]],4),'Form Fix'!$A$6:$F$286,4,0),0)</f>
        <v>0</v>
      </c>
      <c r="W66">
        <f>IFERROR(VLOOKUP(CONCATENATE(Fix_Mapping[[#This Row],[KODE BARANG]],5),'Form Fix'!$A$6:$F$286,4,0),0)</f>
        <v>0</v>
      </c>
    </row>
    <row r="67" spans="1:23">
      <c r="A67" t="s">
        <v>852</v>
      </c>
      <c r="B67" t="s">
        <v>968</v>
      </c>
      <c r="C67">
        <v>96</v>
      </c>
      <c r="D67" t="s">
        <v>733</v>
      </c>
      <c r="E67" t="s">
        <v>1040</v>
      </c>
      <c r="F67">
        <v>7340.468468468468</v>
      </c>
      <c r="G67">
        <v>704684.9729729729</v>
      </c>
      <c r="H67">
        <v>8147.92</v>
      </c>
      <c r="I67">
        <v>782200.31999999995</v>
      </c>
      <c r="J67">
        <v>7927.9279279279281</v>
      </c>
      <c r="K67">
        <v>761081.08108108107</v>
      </c>
      <c r="L67">
        <v>8800.0000000000018</v>
      </c>
      <c r="M67">
        <v>844800</v>
      </c>
      <c r="O67">
        <v>0</v>
      </c>
      <c r="P67">
        <v>0</v>
      </c>
      <c r="Q67">
        <v>0</v>
      </c>
      <c r="R67" t="s">
        <v>637</v>
      </c>
      <c r="S67" t="str">
        <f>IFERROR(VLOOKUP(CONCATENATE(Fix_Mapping[[#This Row],[KODE BARANG]],1),'Form Fix'!$A$6:$F$286,4,0),0)</f>
        <v>061705300</v>
      </c>
      <c r="T67">
        <f>IFERROR(VLOOKUP(CONCATENATE(Fix_Mapping[[#This Row],[KODE BARANG]],2),'Form Fix'!$A$6:$F$286,4,0),0)</f>
        <v>0</v>
      </c>
      <c r="U67">
        <f>IFERROR(VLOOKUP(CONCATENATE(Fix_Mapping[[#This Row],[KODE BARANG]],3),'Form Fix'!$A$6:$F$286,4,0),0)</f>
        <v>0</v>
      </c>
      <c r="V67">
        <f>IFERROR(VLOOKUP(CONCATENATE(Fix_Mapping[[#This Row],[KODE BARANG]],4),'Form Fix'!$A$6:$F$286,4,0),0)</f>
        <v>0</v>
      </c>
      <c r="W67">
        <f>IFERROR(VLOOKUP(CONCATENATE(Fix_Mapping[[#This Row],[KODE BARANG]],5),'Form Fix'!$A$6:$F$286,4,0),0)</f>
        <v>0</v>
      </c>
    </row>
    <row r="68" spans="1:23">
      <c r="A68" t="s">
        <v>853</v>
      </c>
      <c r="B68" t="s">
        <v>969</v>
      </c>
      <c r="C68">
        <v>48</v>
      </c>
      <c r="D68" t="s">
        <v>733</v>
      </c>
      <c r="E68" t="s">
        <v>1040</v>
      </c>
      <c r="F68">
        <v>11094.117117117115</v>
      </c>
      <c r="G68">
        <v>532517.62162162154</v>
      </c>
      <c r="H68">
        <v>12314.47</v>
      </c>
      <c r="I68">
        <v>591094.55999999994</v>
      </c>
      <c r="J68">
        <v>11981.98198198198</v>
      </c>
      <c r="K68">
        <v>575135.13513513503</v>
      </c>
      <c r="L68">
        <v>13300</v>
      </c>
      <c r="M68">
        <v>638399.99999999988</v>
      </c>
      <c r="O68">
        <v>0</v>
      </c>
      <c r="P68">
        <v>0</v>
      </c>
      <c r="Q68">
        <v>0</v>
      </c>
      <c r="R68" t="s">
        <v>637</v>
      </c>
      <c r="S68" t="str">
        <f>IFERROR(VLOOKUP(CONCATENATE(Fix_Mapping[[#This Row],[KODE BARANG]],1),'Form Fix'!$A$6:$F$286,4,0),0)</f>
        <v>061705502</v>
      </c>
      <c r="T68">
        <f>IFERROR(VLOOKUP(CONCATENATE(Fix_Mapping[[#This Row],[KODE BARANG]],2),'Form Fix'!$A$6:$F$286,4,0),0)</f>
        <v>0</v>
      </c>
      <c r="U68">
        <f>IFERROR(VLOOKUP(CONCATENATE(Fix_Mapping[[#This Row],[KODE BARANG]],3),'Form Fix'!$A$6:$F$286,4,0),0)</f>
        <v>0</v>
      </c>
      <c r="V68">
        <f>IFERROR(VLOOKUP(CONCATENATE(Fix_Mapping[[#This Row],[KODE BARANG]],4),'Form Fix'!$A$6:$F$286,4,0),0)</f>
        <v>0</v>
      </c>
      <c r="W68">
        <f>IFERROR(VLOOKUP(CONCATENATE(Fix_Mapping[[#This Row],[KODE BARANG]],5),'Form Fix'!$A$6:$F$286,4,0),0)</f>
        <v>0</v>
      </c>
    </row>
    <row r="69" spans="1:23">
      <c r="A69" t="s">
        <v>1159</v>
      </c>
      <c r="B69" t="s">
        <v>1183</v>
      </c>
      <c r="C69">
        <v>48</v>
      </c>
      <c r="D69" t="s">
        <v>733</v>
      </c>
      <c r="E69" t="s">
        <v>1040</v>
      </c>
      <c r="F69">
        <v>11094.117117117115</v>
      </c>
      <c r="G69">
        <v>532517.62162162154</v>
      </c>
      <c r="H69">
        <v>12314.47</v>
      </c>
      <c r="I69">
        <v>591094.55999999994</v>
      </c>
      <c r="J69">
        <v>11981.98198198198</v>
      </c>
      <c r="K69">
        <v>575135.13513513503</v>
      </c>
      <c r="L69">
        <v>13300</v>
      </c>
      <c r="M69">
        <v>638399.99999999988</v>
      </c>
      <c r="O69">
        <v>0</v>
      </c>
      <c r="P69">
        <v>0</v>
      </c>
      <c r="Q69">
        <v>0</v>
      </c>
      <c r="R69" t="s">
        <v>637</v>
      </c>
      <c r="S69" t="str">
        <f>IFERROR(VLOOKUP(CONCATENATE(Fix_Mapping[[#This Row],[KODE BARANG]],1),'Form Fix'!$A$6:$F$286,4,0),0)</f>
        <v>061703004</v>
      </c>
      <c r="T69" t="str">
        <f>IFERROR(VLOOKUP(CONCATENATE(Fix_Mapping[[#This Row],[KODE BARANG]],2),'Form Fix'!$A$6:$F$286,4,0),0)</f>
        <v>061704004</v>
      </c>
      <c r="U69">
        <f>IFERROR(VLOOKUP(CONCATENATE(Fix_Mapping[[#This Row],[KODE BARANG]],3),'Form Fix'!$A$6:$F$286,4,0),0)</f>
        <v>0</v>
      </c>
      <c r="V69">
        <f>IFERROR(VLOOKUP(CONCATENATE(Fix_Mapping[[#This Row],[KODE BARANG]],4),'Form Fix'!$A$6:$F$286,4,0),0)</f>
        <v>0</v>
      </c>
      <c r="W69">
        <f>IFERROR(VLOOKUP(CONCATENATE(Fix_Mapping[[#This Row],[KODE BARANG]],5),'Form Fix'!$A$6:$F$286,4,0),0)</f>
        <v>0</v>
      </c>
    </row>
    <row r="70" spans="1:23">
      <c r="A70" t="s">
        <v>1160</v>
      </c>
      <c r="B70" t="s">
        <v>1184</v>
      </c>
      <c r="C70">
        <v>48</v>
      </c>
      <c r="D70" t="s">
        <v>733</v>
      </c>
      <c r="E70" t="s">
        <v>1040</v>
      </c>
      <c r="F70">
        <v>11094.117117117115</v>
      </c>
      <c r="G70">
        <v>532517.62162162154</v>
      </c>
      <c r="H70">
        <v>12314.47</v>
      </c>
      <c r="I70">
        <v>591094.55999999994</v>
      </c>
      <c r="J70">
        <v>11981.98198198198</v>
      </c>
      <c r="K70">
        <v>575135.13513513503</v>
      </c>
      <c r="L70">
        <v>13300</v>
      </c>
      <c r="M70">
        <v>638399.99999999988</v>
      </c>
      <c r="O70">
        <v>0</v>
      </c>
      <c r="P70">
        <v>0</v>
      </c>
      <c r="Q70">
        <v>0</v>
      </c>
      <c r="R70" t="s">
        <v>637</v>
      </c>
      <c r="S70" t="str">
        <f>IFERROR(VLOOKUP(CONCATENATE(Fix_Mapping[[#This Row],[KODE BARANG]],1),'Form Fix'!$A$6:$F$286,4,0),0)</f>
        <v>061704003</v>
      </c>
      <c r="T70" t="str">
        <f>IFERROR(VLOOKUP(CONCATENATE(Fix_Mapping[[#This Row],[KODE BARANG]],2),'Form Fix'!$A$6:$F$286,4,0),0)</f>
        <v>061703006</v>
      </c>
      <c r="U70">
        <f>IFERROR(VLOOKUP(CONCATENATE(Fix_Mapping[[#This Row],[KODE BARANG]],3),'Form Fix'!$A$6:$F$286,4,0),0)</f>
        <v>0</v>
      </c>
      <c r="V70">
        <f>IFERROR(VLOOKUP(CONCATENATE(Fix_Mapping[[#This Row],[KODE BARANG]],4),'Form Fix'!$A$6:$F$286,4,0),0)</f>
        <v>0</v>
      </c>
      <c r="W70">
        <f>IFERROR(VLOOKUP(CONCATENATE(Fix_Mapping[[#This Row],[KODE BARANG]],5),'Form Fix'!$A$6:$F$286,4,0),0)</f>
        <v>0</v>
      </c>
    </row>
    <row r="71" spans="1:23">
      <c r="A71" t="s">
        <v>1161</v>
      </c>
      <c r="B71" t="s">
        <v>1185</v>
      </c>
      <c r="C71">
        <v>48</v>
      </c>
      <c r="D71" t="s">
        <v>733</v>
      </c>
      <c r="E71" t="s">
        <v>1040</v>
      </c>
      <c r="F71">
        <v>11094.117117117115</v>
      </c>
      <c r="G71">
        <v>532517.62162162154</v>
      </c>
      <c r="H71">
        <v>12314.47</v>
      </c>
      <c r="I71">
        <v>591094.55999999994</v>
      </c>
      <c r="J71">
        <v>11981.98198198198</v>
      </c>
      <c r="K71">
        <v>575135.13513513503</v>
      </c>
      <c r="L71">
        <v>13300</v>
      </c>
      <c r="M71">
        <v>638399.99999999988</v>
      </c>
      <c r="O71">
        <v>0</v>
      </c>
      <c r="P71">
        <v>0</v>
      </c>
      <c r="Q71">
        <v>0</v>
      </c>
      <c r="R71" t="s">
        <v>637</v>
      </c>
      <c r="S71" t="str">
        <f>IFERROR(VLOOKUP(CONCATENATE(Fix_Mapping[[#This Row],[KODE BARANG]],1),'Form Fix'!$A$6:$F$286,4,0),0)</f>
        <v>061705004</v>
      </c>
      <c r="T71" t="str">
        <f>IFERROR(VLOOKUP(CONCATENATE(Fix_Mapping[[#This Row],[KODE BARANG]],2),'Form Fix'!$A$6:$F$286,4,0),0)</f>
        <v>061705006</v>
      </c>
      <c r="U71">
        <f>IFERROR(VLOOKUP(CONCATENATE(Fix_Mapping[[#This Row],[KODE BARANG]],3),'Form Fix'!$A$6:$F$286,4,0),0)</f>
        <v>0</v>
      </c>
      <c r="V71">
        <f>IFERROR(VLOOKUP(CONCATENATE(Fix_Mapping[[#This Row],[KODE BARANG]],4),'Form Fix'!$A$6:$F$286,4,0),0)</f>
        <v>0</v>
      </c>
      <c r="W71">
        <f>IFERROR(VLOOKUP(CONCATENATE(Fix_Mapping[[#This Row],[KODE BARANG]],5),'Form Fix'!$A$6:$F$286,4,0),0)</f>
        <v>0</v>
      </c>
    </row>
    <row r="72" spans="1:23">
      <c r="A72" t="s">
        <v>1163</v>
      </c>
      <c r="B72" t="s">
        <v>1186</v>
      </c>
      <c r="C72">
        <v>48</v>
      </c>
      <c r="D72" t="s">
        <v>732</v>
      </c>
      <c r="E72" t="s">
        <v>1052</v>
      </c>
      <c r="F72">
        <v>24398.716216216217</v>
      </c>
      <c r="G72">
        <v>1171138.3783783785</v>
      </c>
      <c r="H72">
        <v>27082.575000000004</v>
      </c>
      <c r="I72">
        <v>1299963.6000000001</v>
      </c>
      <c r="J72">
        <v>26351.35135135135</v>
      </c>
      <c r="K72">
        <v>1264864.8648648649</v>
      </c>
      <c r="L72">
        <v>29250</v>
      </c>
      <c r="M72">
        <v>1404000</v>
      </c>
      <c r="O72">
        <v>0</v>
      </c>
      <c r="P72">
        <v>0</v>
      </c>
      <c r="Q72">
        <v>0</v>
      </c>
      <c r="R72" t="s">
        <v>637</v>
      </c>
      <c r="S72">
        <f>IFERROR(VLOOKUP(CONCATENATE(Fix_Mapping[[#This Row],[KODE BARANG]],1),'Form Fix'!$A$6:$F$286,4,0),0)</f>
        <v>161702000</v>
      </c>
      <c r="T72">
        <f>IFERROR(VLOOKUP(CONCATENATE(Fix_Mapping[[#This Row],[KODE BARANG]],2),'Form Fix'!$A$6:$F$286,4,0),0)</f>
        <v>0</v>
      </c>
      <c r="U72">
        <f>IFERROR(VLOOKUP(CONCATENATE(Fix_Mapping[[#This Row],[KODE BARANG]],3),'Form Fix'!$A$6:$F$286,4,0),0)</f>
        <v>0</v>
      </c>
      <c r="V72">
        <f>IFERROR(VLOOKUP(CONCATENATE(Fix_Mapping[[#This Row],[KODE BARANG]],4),'Form Fix'!$A$6:$F$286,4,0),0)</f>
        <v>0</v>
      </c>
      <c r="W72">
        <f>IFERROR(VLOOKUP(CONCATENATE(Fix_Mapping[[#This Row],[KODE BARANG]],5),'Form Fix'!$A$6:$F$286,4,0),0)</f>
        <v>0</v>
      </c>
    </row>
    <row r="73" spans="1:23">
      <c r="A73" t="s">
        <v>854</v>
      </c>
      <c r="B73" t="s">
        <v>970</v>
      </c>
      <c r="C73">
        <v>48</v>
      </c>
      <c r="D73" t="s">
        <v>732</v>
      </c>
      <c r="E73" t="s">
        <v>1042</v>
      </c>
      <c r="F73">
        <v>8591.6846846846838</v>
      </c>
      <c r="G73">
        <v>412400.86486486485</v>
      </c>
      <c r="H73">
        <v>9536.77</v>
      </c>
      <c r="I73">
        <v>457764.96</v>
      </c>
      <c r="J73">
        <v>9279.2792792792789</v>
      </c>
      <c r="K73">
        <v>445405.40540540538</v>
      </c>
      <c r="L73">
        <v>10300</v>
      </c>
      <c r="M73">
        <v>494400</v>
      </c>
      <c r="O73">
        <v>0</v>
      </c>
      <c r="P73">
        <v>0</v>
      </c>
      <c r="Q73">
        <v>0</v>
      </c>
      <c r="R73" t="s">
        <v>637</v>
      </c>
      <c r="S73" t="str">
        <f>IFERROR(VLOOKUP(CONCATENATE(Fix_Mapping[[#This Row],[KODE BARANG]],1),'Form Fix'!$A$6:$F$286,4,0),0)</f>
        <v>081722100</v>
      </c>
      <c r="T73">
        <f>IFERROR(VLOOKUP(CONCATENATE(Fix_Mapping[[#This Row],[KODE BARANG]],2),'Form Fix'!$A$6:$F$286,4,0),0)</f>
        <v>0</v>
      </c>
      <c r="U73">
        <f>IFERROR(VLOOKUP(CONCATENATE(Fix_Mapping[[#This Row],[KODE BARANG]],3),'Form Fix'!$A$6:$F$286,4,0),0)</f>
        <v>0</v>
      </c>
      <c r="V73">
        <f>IFERROR(VLOOKUP(CONCATENATE(Fix_Mapping[[#This Row],[KODE BARANG]],4),'Form Fix'!$A$6:$F$286,4,0),0)</f>
        <v>0</v>
      </c>
      <c r="W73">
        <f>IFERROR(VLOOKUP(CONCATENATE(Fix_Mapping[[#This Row],[KODE BARANG]],5),'Form Fix'!$A$6:$F$286,4,0),0)</f>
        <v>0</v>
      </c>
    </row>
    <row r="74" spans="1:23">
      <c r="A74" t="s">
        <v>855</v>
      </c>
      <c r="B74" t="s">
        <v>971</v>
      </c>
      <c r="C74">
        <v>48</v>
      </c>
      <c r="D74" t="s">
        <v>732</v>
      </c>
      <c r="E74" t="s">
        <v>1042</v>
      </c>
      <c r="F74">
        <v>8591.6846846846838</v>
      </c>
      <c r="G74">
        <v>412400.86486486485</v>
      </c>
      <c r="H74">
        <v>9536.77</v>
      </c>
      <c r="I74">
        <v>457764.96</v>
      </c>
      <c r="J74">
        <v>9279.2792792792789</v>
      </c>
      <c r="K74">
        <v>445405.40540540538</v>
      </c>
      <c r="L74">
        <v>10300</v>
      </c>
      <c r="M74">
        <v>494400</v>
      </c>
      <c r="O74">
        <v>0</v>
      </c>
      <c r="P74">
        <v>0</v>
      </c>
      <c r="Q74">
        <v>0</v>
      </c>
      <c r="R74" t="s">
        <v>637</v>
      </c>
      <c r="S74" t="str">
        <f>IFERROR(VLOOKUP(CONCATENATE(Fix_Mapping[[#This Row],[KODE BARANG]],1),'Form Fix'!$A$6:$F$286,4,0),0)</f>
        <v>081723100</v>
      </c>
      <c r="T74">
        <f>IFERROR(VLOOKUP(CONCATENATE(Fix_Mapping[[#This Row],[KODE BARANG]],2),'Form Fix'!$A$6:$F$286,4,0),0)</f>
        <v>0</v>
      </c>
      <c r="U74">
        <f>IFERROR(VLOOKUP(CONCATENATE(Fix_Mapping[[#This Row],[KODE BARANG]],3),'Form Fix'!$A$6:$F$286,4,0),0)</f>
        <v>0</v>
      </c>
      <c r="V74">
        <f>IFERROR(VLOOKUP(CONCATENATE(Fix_Mapping[[#This Row],[KODE BARANG]],4),'Form Fix'!$A$6:$F$286,4,0),0)</f>
        <v>0</v>
      </c>
      <c r="W74">
        <f>IFERROR(VLOOKUP(CONCATENATE(Fix_Mapping[[#This Row],[KODE BARANG]],5),'Form Fix'!$A$6:$F$286,4,0),0)</f>
        <v>0</v>
      </c>
    </row>
    <row r="75" spans="1:23">
      <c r="A75" t="s">
        <v>856</v>
      </c>
      <c r="B75" t="s">
        <v>972</v>
      </c>
      <c r="C75">
        <v>48</v>
      </c>
      <c r="D75" t="s">
        <v>732</v>
      </c>
      <c r="E75" t="s">
        <v>1042</v>
      </c>
      <c r="F75">
        <v>8591.6846846846838</v>
      </c>
      <c r="G75">
        <v>412400.86486486485</v>
      </c>
      <c r="H75">
        <v>9536.77</v>
      </c>
      <c r="I75">
        <v>457764.96</v>
      </c>
      <c r="J75">
        <v>9279.2792792792789</v>
      </c>
      <c r="K75">
        <v>445405.40540540538</v>
      </c>
      <c r="L75">
        <v>10300</v>
      </c>
      <c r="M75">
        <v>494400</v>
      </c>
      <c r="O75">
        <v>0</v>
      </c>
      <c r="P75">
        <v>0</v>
      </c>
      <c r="Q75">
        <v>0</v>
      </c>
      <c r="R75" t="s">
        <v>637</v>
      </c>
      <c r="S75" t="str">
        <f>IFERROR(VLOOKUP(CONCATENATE(Fix_Mapping[[#This Row],[KODE BARANG]],1),'Form Fix'!$A$6:$F$286,4,0),0)</f>
        <v>081721100</v>
      </c>
      <c r="T75">
        <f>IFERROR(VLOOKUP(CONCATENATE(Fix_Mapping[[#This Row],[KODE BARANG]],2),'Form Fix'!$A$6:$F$286,4,0),0)</f>
        <v>0</v>
      </c>
      <c r="U75">
        <f>IFERROR(VLOOKUP(CONCATENATE(Fix_Mapping[[#This Row],[KODE BARANG]],3),'Form Fix'!$A$6:$F$286,4,0),0)</f>
        <v>0</v>
      </c>
      <c r="V75">
        <f>IFERROR(VLOOKUP(CONCATENATE(Fix_Mapping[[#This Row],[KODE BARANG]],4),'Form Fix'!$A$6:$F$286,4,0),0)</f>
        <v>0</v>
      </c>
      <c r="W75">
        <f>IFERROR(VLOOKUP(CONCATENATE(Fix_Mapping[[#This Row],[KODE BARANG]],5),'Form Fix'!$A$6:$F$286,4,0),0)</f>
        <v>0</v>
      </c>
    </row>
    <row r="76" spans="1:23">
      <c r="A76" t="s">
        <v>857</v>
      </c>
      <c r="B76" t="s">
        <v>973</v>
      </c>
      <c r="C76">
        <v>48</v>
      </c>
      <c r="D76" t="s">
        <v>732</v>
      </c>
      <c r="E76" t="s">
        <v>1044</v>
      </c>
      <c r="F76">
        <v>17517.027027027023</v>
      </c>
      <c r="G76">
        <v>840817.29729729705</v>
      </c>
      <c r="H76">
        <v>19443.899999999998</v>
      </c>
      <c r="I76">
        <v>933307.19999999984</v>
      </c>
      <c r="J76">
        <v>18918.918918918916</v>
      </c>
      <c r="K76">
        <v>908108.10810810793</v>
      </c>
      <c r="L76">
        <v>21000</v>
      </c>
      <c r="M76">
        <v>1007999.9999999999</v>
      </c>
      <c r="O76">
        <v>0</v>
      </c>
      <c r="P76">
        <v>0</v>
      </c>
      <c r="Q76">
        <v>0</v>
      </c>
      <c r="R76" t="s">
        <v>637</v>
      </c>
      <c r="S76" t="str">
        <f>IFERROR(VLOOKUP(CONCATENATE(Fix_Mapping[[#This Row],[KODE BARANG]],1),'Form Fix'!$A$6:$F$286,4,0),0)</f>
        <v>191701306</v>
      </c>
      <c r="T76">
        <f>IFERROR(VLOOKUP(CONCATENATE(Fix_Mapping[[#This Row],[KODE BARANG]],2),'Form Fix'!$A$6:$F$286,4,0),0)</f>
        <v>0</v>
      </c>
      <c r="U76">
        <f>IFERROR(VLOOKUP(CONCATENATE(Fix_Mapping[[#This Row],[KODE BARANG]],3),'Form Fix'!$A$6:$F$286,4,0),0)</f>
        <v>0</v>
      </c>
      <c r="V76">
        <f>IFERROR(VLOOKUP(CONCATENATE(Fix_Mapping[[#This Row],[KODE BARANG]],4),'Form Fix'!$A$6:$F$286,4,0),0)</f>
        <v>0</v>
      </c>
      <c r="W76">
        <f>IFERROR(VLOOKUP(CONCATENATE(Fix_Mapping[[#This Row],[KODE BARANG]],5),'Form Fix'!$A$6:$F$286,4,0),0)</f>
        <v>0</v>
      </c>
    </row>
    <row r="77" spans="1:23">
      <c r="A77" t="s">
        <v>858</v>
      </c>
      <c r="B77" t="s">
        <v>974</v>
      </c>
      <c r="C77">
        <v>48</v>
      </c>
      <c r="D77" t="s">
        <v>732</v>
      </c>
      <c r="E77" t="s">
        <v>1044</v>
      </c>
      <c r="F77">
        <v>17517.027027027023</v>
      </c>
      <c r="G77">
        <v>840817.29729729705</v>
      </c>
      <c r="H77">
        <v>19443.899999999998</v>
      </c>
      <c r="I77">
        <v>933307.19999999984</v>
      </c>
      <c r="J77">
        <v>18918.918918918916</v>
      </c>
      <c r="K77">
        <v>908108.10810810793</v>
      </c>
      <c r="L77">
        <v>21000</v>
      </c>
      <c r="M77">
        <v>1007999.9999999999</v>
      </c>
      <c r="O77">
        <v>0</v>
      </c>
      <c r="P77">
        <v>0</v>
      </c>
      <c r="Q77">
        <v>0</v>
      </c>
      <c r="R77" t="s">
        <v>637</v>
      </c>
      <c r="S77" t="str">
        <f>IFERROR(VLOOKUP(CONCATENATE(Fix_Mapping[[#This Row],[KODE BARANG]],1),'Form Fix'!$A$6:$F$286,4,0),0)</f>
        <v>191701307</v>
      </c>
      <c r="T77">
        <f>IFERROR(VLOOKUP(CONCATENATE(Fix_Mapping[[#This Row],[KODE BARANG]],2),'Form Fix'!$A$6:$F$286,4,0),0)</f>
        <v>0</v>
      </c>
      <c r="U77">
        <f>IFERROR(VLOOKUP(CONCATENATE(Fix_Mapping[[#This Row],[KODE BARANG]],3),'Form Fix'!$A$6:$F$286,4,0),0)</f>
        <v>0</v>
      </c>
      <c r="V77">
        <f>IFERROR(VLOOKUP(CONCATENATE(Fix_Mapping[[#This Row],[KODE BARANG]],4),'Form Fix'!$A$6:$F$286,4,0),0)</f>
        <v>0</v>
      </c>
      <c r="W77">
        <f>IFERROR(VLOOKUP(CONCATENATE(Fix_Mapping[[#This Row],[KODE BARANG]],5),'Form Fix'!$A$6:$F$286,4,0),0)</f>
        <v>0</v>
      </c>
    </row>
    <row r="78" spans="1:23">
      <c r="A78" t="s">
        <v>859</v>
      </c>
      <c r="B78" t="s">
        <v>1337</v>
      </c>
      <c r="C78">
        <v>12</v>
      </c>
      <c r="D78" t="s">
        <v>732</v>
      </c>
      <c r="E78" t="s">
        <v>1044</v>
      </c>
      <c r="F78">
        <v>41707.207207207204</v>
      </c>
      <c r="G78">
        <v>500486.48648648645</v>
      </c>
      <c r="H78">
        <v>46295</v>
      </c>
      <c r="I78">
        <v>555540</v>
      </c>
      <c r="J78">
        <v>45045.045045045037</v>
      </c>
      <c r="K78">
        <v>540540.54054054047</v>
      </c>
      <c r="L78">
        <v>49999.999999999993</v>
      </c>
      <c r="M78">
        <v>600000</v>
      </c>
      <c r="O78">
        <v>0</v>
      </c>
      <c r="P78">
        <v>0</v>
      </c>
      <c r="Q78">
        <v>0</v>
      </c>
      <c r="R78" t="s">
        <v>637</v>
      </c>
      <c r="S78">
        <f>IFERROR(VLOOKUP(CONCATENATE(Fix_Mapping[[#This Row],[KODE BARANG]],1),'Form Fix'!$A$6:$F$286,4,0),0)</f>
        <v>191702000</v>
      </c>
      <c r="T78">
        <f>IFERROR(VLOOKUP(CONCATENATE(Fix_Mapping[[#This Row],[KODE BARANG]],2),'Form Fix'!$A$6:$F$286,4,0),0)</f>
        <v>0</v>
      </c>
      <c r="U78">
        <f>IFERROR(VLOOKUP(CONCATENATE(Fix_Mapping[[#This Row],[KODE BARANG]],3),'Form Fix'!$A$6:$F$286,4,0),0)</f>
        <v>0</v>
      </c>
      <c r="V78">
        <f>IFERROR(VLOOKUP(CONCATENATE(Fix_Mapping[[#This Row],[KODE BARANG]],4),'Form Fix'!$A$6:$F$286,4,0),0)</f>
        <v>0</v>
      </c>
      <c r="W78">
        <f>IFERROR(VLOOKUP(CONCATENATE(Fix_Mapping[[#This Row],[KODE BARANG]],5),'Form Fix'!$A$6:$F$286,4,0),0)</f>
        <v>0</v>
      </c>
    </row>
    <row r="79" spans="1:23">
      <c r="A79" t="s">
        <v>860</v>
      </c>
      <c r="B79" t="s">
        <v>975</v>
      </c>
      <c r="C79">
        <v>144</v>
      </c>
      <c r="D79" t="s">
        <v>187</v>
      </c>
      <c r="E79" t="s">
        <v>1046</v>
      </c>
      <c r="F79">
        <v>3586.8198198198197</v>
      </c>
      <c r="G79">
        <v>516502.05405405402</v>
      </c>
      <c r="H79">
        <v>3981.3700000000003</v>
      </c>
      <c r="I79">
        <v>573317.28</v>
      </c>
      <c r="J79">
        <v>3873.8738738738734</v>
      </c>
      <c r="K79">
        <v>557837.83783783775</v>
      </c>
      <c r="L79">
        <v>4300</v>
      </c>
      <c r="M79">
        <v>619200</v>
      </c>
      <c r="O79">
        <v>0</v>
      </c>
      <c r="P79">
        <v>0</v>
      </c>
      <c r="Q79">
        <v>0</v>
      </c>
      <c r="R79" t="s">
        <v>637</v>
      </c>
      <c r="S79" t="str">
        <f>IFERROR(VLOOKUP(CONCATENATE(Fix_Mapping[[#This Row],[KODE BARANG]],1),'Form Fix'!$A$6:$F$286,4,0),0)</f>
        <v>041716400</v>
      </c>
      <c r="T79">
        <f>IFERROR(VLOOKUP(CONCATENATE(Fix_Mapping[[#This Row],[KODE BARANG]],2),'Form Fix'!$A$6:$F$286,4,0),0)</f>
        <v>0</v>
      </c>
      <c r="U79">
        <f>IFERROR(VLOOKUP(CONCATENATE(Fix_Mapping[[#This Row],[KODE BARANG]],3),'Form Fix'!$A$6:$F$286,4,0),0)</f>
        <v>0</v>
      </c>
      <c r="V79">
        <f>IFERROR(VLOOKUP(CONCATENATE(Fix_Mapping[[#This Row],[KODE BARANG]],4),'Form Fix'!$A$6:$F$286,4,0),0)</f>
        <v>0</v>
      </c>
      <c r="W79">
        <f>IFERROR(VLOOKUP(CONCATENATE(Fix_Mapping[[#This Row],[KODE BARANG]],5),'Form Fix'!$A$6:$F$286,4,0),0)</f>
        <v>0</v>
      </c>
    </row>
    <row r="80" spans="1:23">
      <c r="A80" t="s">
        <v>861</v>
      </c>
      <c r="B80" t="s">
        <v>976</v>
      </c>
      <c r="C80">
        <v>144</v>
      </c>
      <c r="D80" t="s">
        <v>187</v>
      </c>
      <c r="E80" t="s">
        <v>1046</v>
      </c>
      <c r="F80">
        <v>3586.8198198198197</v>
      </c>
      <c r="G80">
        <v>516502.05405405402</v>
      </c>
      <c r="H80">
        <v>3981.3700000000003</v>
      </c>
      <c r="I80">
        <v>573317.28</v>
      </c>
      <c r="J80">
        <v>3873.8738738738734</v>
      </c>
      <c r="K80">
        <v>557837.83783783775</v>
      </c>
      <c r="L80">
        <v>4300</v>
      </c>
      <c r="M80">
        <v>619200</v>
      </c>
      <c r="O80">
        <v>0</v>
      </c>
      <c r="P80">
        <v>0</v>
      </c>
      <c r="Q80">
        <v>0</v>
      </c>
      <c r="R80" t="s">
        <v>637</v>
      </c>
      <c r="S80" t="str">
        <f>IFERROR(VLOOKUP(CONCATENATE(Fix_Mapping[[#This Row],[KODE BARANG]],1),'Form Fix'!$A$6:$F$286,4,0),0)</f>
        <v>041720400</v>
      </c>
      <c r="T80">
        <f>IFERROR(VLOOKUP(CONCATENATE(Fix_Mapping[[#This Row],[KODE BARANG]],2),'Form Fix'!$A$6:$F$286,4,0),0)</f>
        <v>0</v>
      </c>
      <c r="U80">
        <f>IFERROR(VLOOKUP(CONCATENATE(Fix_Mapping[[#This Row],[KODE BARANG]],3),'Form Fix'!$A$6:$F$286,4,0),0)</f>
        <v>0</v>
      </c>
      <c r="V80">
        <f>IFERROR(VLOOKUP(CONCATENATE(Fix_Mapping[[#This Row],[KODE BARANG]],4),'Form Fix'!$A$6:$F$286,4,0),0)</f>
        <v>0</v>
      </c>
      <c r="W80">
        <f>IFERROR(VLOOKUP(CONCATENATE(Fix_Mapping[[#This Row],[KODE BARANG]],5),'Form Fix'!$A$6:$F$286,4,0),0)</f>
        <v>0</v>
      </c>
    </row>
    <row r="81" spans="1:23">
      <c r="A81" t="s">
        <v>862</v>
      </c>
      <c r="B81" t="s">
        <v>977</v>
      </c>
      <c r="C81">
        <v>144</v>
      </c>
      <c r="D81" t="s">
        <v>187</v>
      </c>
      <c r="E81" t="s">
        <v>1046</v>
      </c>
      <c r="F81">
        <v>3586.8198198198197</v>
      </c>
      <c r="G81">
        <v>516502.05405405402</v>
      </c>
      <c r="H81">
        <v>3981.3700000000003</v>
      </c>
      <c r="I81">
        <v>573317.28</v>
      </c>
      <c r="J81">
        <v>3873.8738738738734</v>
      </c>
      <c r="K81">
        <v>557837.83783783775</v>
      </c>
      <c r="L81">
        <v>4300</v>
      </c>
      <c r="M81">
        <v>619200</v>
      </c>
      <c r="O81">
        <v>0</v>
      </c>
      <c r="P81">
        <v>0</v>
      </c>
      <c r="Q81">
        <v>0</v>
      </c>
      <c r="R81" t="s">
        <v>637</v>
      </c>
      <c r="S81" t="str">
        <f>IFERROR(VLOOKUP(CONCATENATE(Fix_Mapping[[#This Row],[KODE BARANG]],1),'Form Fix'!$A$6:$F$286,4,0),0)</f>
        <v>041717400</v>
      </c>
      <c r="T81">
        <f>IFERROR(VLOOKUP(CONCATENATE(Fix_Mapping[[#This Row],[KODE BARANG]],2),'Form Fix'!$A$6:$F$286,4,0),0)</f>
        <v>0</v>
      </c>
      <c r="U81">
        <f>IFERROR(VLOOKUP(CONCATENATE(Fix_Mapping[[#This Row],[KODE BARANG]],3),'Form Fix'!$A$6:$F$286,4,0),0)</f>
        <v>0</v>
      </c>
      <c r="V81">
        <f>IFERROR(VLOOKUP(CONCATENATE(Fix_Mapping[[#This Row],[KODE BARANG]],4),'Form Fix'!$A$6:$F$286,4,0),0)</f>
        <v>0</v>
      </c>
      <c r="W81">
        <f>IFERROR(VLOOKUP(CONCATENATE(Fix_Mapping[[#This Row],[KODE BARANG]],5),'Form Fix'!$A$6:$F$286,4,0),0)</f>
        <v>0</v>
      </c>
    </row>
    <row r="82" spans="1:23">
      <c r="A82" t="s">
        <v>863</v>
      </c>
      <c r="B82" t="s">
        <v>978</v>
      </c>
      <c r="C82">
        <v>144</v>
      </c>
      <c r="D82" t="s">
        <v>187</v>
      </c>
      <c r="E82" t="s">
        <v>1046</v>
      </c>
      <c r="F82">
        <v>3586.8198198198197</v>
      </c>
      <c r="G82">
        <v>516502.05405405402</v>
      </c>
      <c r="H82">
        <v>3981.3700000000003</v>
      </c>
      <c r="I82">
        <v>573317.28</v>
      </c>
      <c r="J82">
        <v>3873.8738738738734</v>
      </c>
      <c r="K82">
        <v>557837.83783783775</v>
      </c>
      <c r="L82">
        <v>4300</v>
      </c>
      <c r="M82">
        <v>619200</v>
      </c>
      <c r="O82">
        <v>0</v>
      </c>
      <c r="P82">
        <v>0</v>
      </c>
      <c r="Q82">
        <v>0</v>
      </c>
      <c r="R82" t="s">
        <v>637</v>
      </c>
      <c r="S82" t="str">
        <f>IFERROR(VLOOKUP(CONCATENATE(Fix_Mapping[[#This Row],[KODE BARANG]],1),'Form Fix'!$A$6:$F$286,4,0),0)</f>
        <v>041715400</v>
      </c>
      <c r="T82">
        <f>IFERROR(VLOOKUP(CONCATENATE(Fix_Mapping[[#This Row],[KODE BARANG]],2),'Form Fix'!$A$6:$F$286,4,0),0)</f>
        <v>0</v>
      </c>
      <c r="U82">
        <f>IFERROR(VLOOKUP(CONCATENATE(Fix_Mapping[[#This Row],[KODE BARANG]],3),'Form Fix'!$A$6:$F$286,4,0),0)</f>
        <v>0</v>
      </c>
      <c r="V82">
        <f>IFERROR(VLOOKUP(CONCATENATE(Fix_Mapping[[#This Row],[KODE BARANG]],4),'Form Fix'!$A$6:$F$286,4,0),0)</f>
        <v>0</v>
      </c>
      <c r="W82">
        <f>IFERROR(VLOOKUP(CONCATENATE(Fix_Mapping[[#This Row],[KODE BARANG]],5),'Form Fix'!$A$6:$F$286,4,0),0)</f>
        <v>0</v>
      </c>
    </row>
    <row r="83" spans="1:23">
      <c r="A83" t="s">
        <v>864</v>
      </c>
      <c r="B83" t="s">
        <v>979</v>
      </c>
      <c r="C83">
        <v>144</v>
      </c>
      <c r="D83" t="s">
        <v>187</v>
      </c>
      <c r="E83" t="s">
        <v>1046</v>
      </c>
      <c r="F83">
        <v>3586.8198198198197</v>
      </c>
      <c r="G83">
        <v>516502.05405405402</v>
      </c>
      <c r="H83">
        <v>3981.3700000000003</v>
      </c>
      <c r="I83">
        <v>573317.28</v>
      </c>
      <c r="J83">
        <v>3873.8738738738734</v>
      </c>
      <c r="K83">
        <v>557837.83783783775</v>
      </c>
      <c r="L83">
        <v>4300</v>
      </c>
      <c r="M83">
        <v>619200</v>
      </c>
      <c r="O83">
        <v>0</v>
      </c>
      <c r="P83">
        <v>0</v>
      </c>
      <c r="Q83">
        <v>0</v>
      </c>
      <c r="R83" t="s">
        <v>637</v>
      </c>
      <c r="S83" t="str">
        <f>IFERROR(VLOOKUP(CONCATENATE(Fix_Mapping[[#This Row],[KODE BARANG]],1),'Form Fix'!$A$6:$F$286,4,0),0)</f>
        <v>041718400</v>
      </c>
      <c r="T83">
        <f>IFERROR(VLOOKUP(CONCATENATE(Fix_Mapping[[#This Row],[KODE BARANG]],2),'Form Fix'!$A$6:$F$286,4,0),0)</f>
        <v>0</v>
      </c>
      <c r="U83">
        <f>IFERROR(VLOOKUP(CONCATENATE(Fix_Mapping[[#This Row],[KODE BARANG]],3),'Form Fix'!$A$6:$F$286,4,0),0)</f>
        <v>0</v>
      </c>
      <c r="V83">
        <f>IFERROR(VLOOKUP(CONCATENATE(Fix_Mapping[[#This Row],[KODE BARANG]],4),'Form Fix'!$A$6:$F$286,4,0),0)</f>
        <v>0</v>
      </c>
      <c r="W83">
        <f>IFERROR(VLOOKUP(CONCATENATE(Fix_Mapping[[#This Row],[KODE BARANG]],5),'Form Fix'!$A$6:$F$286,4,0),0)</f>
        <v>0</v>
      </c>
    </row>
    <row r="84" spans="1:23">
      <c r="A84" t="s">
        <v>865</v>
      </c>
      <c r="B84" t="s">
        <v>980</v>
      </c>
      <c r="C84">
        <v>144</v>
      </c>
      <c r="D84" t="s">
        <v>187</v>
      </c>
      <c r="E84" t="s">
        <v>1046</v>
      </c>
      <c r="F84">
        <v>3586.8198198198197</v>
      </c>
      <c r="G84">
        <v>516502.05405405402</v>
      </c>
      <c r="H84">
        <v>3981.3700000000003</v>
      </c>
      <c r="I84">
        <v>573317.28</v>
      </c>
      <c r="J84">
        <v>3873.8738738738734</v>
      </c>
      <c r="K84">
        <v>557837.83783783775</v>
      </c>
      <c r="L84">
        <v>4300</v>
      </c>
      <c r="M84">
        <v>619200</v>
      </c>
      <c r="O84">
        <v>0</v>
      </c>
      <c r="P84">
        <v>0</v>
      </c>
      <c r="Q84">
        <v>0</v>
      </c>
      <c r="R84" t="s">
        <v>637</v>
      </c>
      <c r="S84" t="str">
        <f>IFERROR(VLOOKUP(CONCATENATE(Fix_Mapping[[#This Row],[KODE BARANG]],1),'Form Fix'!$A$6:$F$286,4,0),0)</f>
        <v>041719400</v>
      </c>
      <c r="T84">
        <f>IFERROR(VLOOKUP(CONCATENATE(Fix_Mapping[[#This Row],[KODE BARANG]],2),'Form Fix'!$A$6:$F$286,4,0),0)</f>
        <v>0</v>
      </c>
      <c r="U84">
        <f>IFERROR(VLOOKUP(CONCATENATE(Fix_Mapping[[#This Row],[KODE BARANG]],3),'Form Fix'!$A$6:$F$286,4,0),0)</f>
        <v>0</v>
      </c>
      <c r="V84">
        <f>IFERROR(VLOOKUP(CONCATENATE(Fix_Mapping[[#This Row],[KODE BARANG]],4),'Form Fix'!$A$6:$F$286,4,0),0)</f>
        <v>0</v>
      </c>
      <c r="W84">
        <f>IFERROR(VLOOKUP(CONCATENATE(Fix_Mapping[[#This Row],[KODE BARANG]],5),'Form Fix'!$A$6:$F$286,4,0),0)</f>
        <v>0</v>
      </c>
    </row>
    <row r="85" spans="1:23">
      <c r="A85" t="s">
        <v>866</v>
      </c>
      <c r="B85" t="s">
        <v>981</v>
      </c>
      <c r="C85">
        <v>48</v>
      </c>
      <c r="D85" t="s">
        <v>671</v>
      </c>
      <c r="E85" t="s">
        <v>1048</v>
      </c>
      <c r="F85">
        <v>10927.28828828829</v>
      </c>
      <c r="G85">
        <v>524509.83783783787</v>
      </c>
      <c r="H85">
        <v>12129.290000000003</v>
      </c>
      <c r="I85">
        <v>582205.92000000004</v>
      </c>
      <c r="J85">
        <v>11801.801801801799</v>
      </c>
      <c r="K85">
        <v>566486.48648648639</v>
      </c>
      <c r="L85">
        <v>13099.999999999998</v>
      </c>
      <c r="M85">
        <v>628800</v>
      </c>
      <c r="O85">
        <v>0</v>
      </c>
      <c r="P85">
        <v>0</v>
      </c>
      <c r="Q85">
        <v>0</v>
      </c>
      <c r="R85" t="s">
        <v>637</v>
      </c>
      <c r="S85" t="str">
        <f>IFERROR(VLOOKUP(CONCATENATE(Fix_Mapping[[#This Row],[KODE BARANG]],1),'Form Fix'!$A$6:$F$286,4,0),0)</f>
        <v>051706300</v>
      </c>
      <c r="T85">
        <f>IFERROR(VLOOKUP(CONCATENATE(Fix_Mapping[[#This Row],[KODE BARANG]],2),'Form Fix'!$A$6:$F$286,4,0),0)</f>
        <v>0</v>
      </c>
      <c r="U85">
        <f>IFERROR(VLOOKUP(CONCATENATE(Fix_Mapping[[#This Row],[KODE BARANG]],3),'Form Fix'!$A$6:$F$286,4,0),0)</f>
        <v>0</v>
      </c>
      <c r="V85">
        <f>IFERROR(VLOOKUP(CONCATENATE(Fix_Mapping[[#This Row],[KODE BARANG]],4),'Form Fix'!$A$6:$F$286,4,0),0)</f>
        <v>0</v>
      </c>
      <c r="W85">
        <f>IFERROR(VLOOKUP(CONCATENATE(Fix_Mapping[[#This Row],[KODE BARANG]],5),'Form Fix'!$A$6:$F$286,4,0),0)</f>
        <v>0</v>
      </c>
    </row>
    <row r="86" spans="1:23">
      <c r="A86" t="s">
        <v>867</v>
      </c>
      <c r="B86" t="s">
        <v>982</v>
      </c>
      <c r="C86">
        <v>48</v>
      </c>
      <c r="D86" t="s">
        <v>671</v>
      </c>
      <c r="E86" t="s">
        <v>1048</v>
      </c>
      <c r="F86">
        <v>10927.28828828829</v>
      </c>
      <c r="G86">
        <v>524509.83783783787</v>
      </c>
      <c r="H86">
        <v>12129.290000000003</v>
      </c>
      <c r="I86">
        <v>582205.92000000004</v>
      </c>
      <c r="J86">
        <v>11801.801801801799</v>
      </c>
      <c r="K86">
        <v>566486.48648648639</v>
      </c>
      <c r="L86">
        <v>13099.999999999998</v>
      </c>
      <c r="M86">
        <v>628800</v>
      </c>
      <c r="O86">
        <v>0</v>
      </c>
      <c r="P86">
        <v>0</v>
      </c>
      <c r="Q86">
        <v>0</v>
      </c>
      <c r="R86" t="s">
        <v>637</v>
      </c>
      <c r="S86" t="str">
        <f>IFERROR(VLOOKUP(CONCATENATE(Fix_Mapping[[#This Row],[KODE BARANG]],1),'Form Fix'!$A$6:$F$286,4,0),0)</f>
        <v>051703300</v>
      </c>
      <c r="T86">
        <f>IFERROR(VLOOKUP(CONCATENATE(Fix_Mapping[[#This Row],[KODE BARANG]],2),'Form Fix'!$A$6:$F$286,4,0),0)</f>
        <v>0</v>
      </c>
      <c r="U86">
        <f>IFERROR(VLOOKUP(CONCATENATE(Fix_Mapping[[#This Row],[KODE BARANG]],3),'Form Fix'!$A$6:$F$286,4,0),0)</f>
        <v>0</v>
      </c>
      <c r="V86">
        <f>IFERROR(VLOOKUP(CONCATENATE(Fix_Mapping[[#This Row],[KODE BARANG]],4),'Form Fix'!$A$6:$F$286,4,0),0)</f>
        <v>0</v>
      </c>
      <c r="W86">
        <f>IFERROR(VLOOKUP(CONCATENATE(Fix_Mapping[[#This Row],[KODE BARANG]],5),'Form Fix'!$A$6:$F$286,4,0),0)</f>
        <v>0</v>
      </c>
    </row>
    <row r="87" spans="1:23">
      <c r="A87" t="s">
        <v>868</v>
      </c>
      <c r="B87" t="s">
        <v>983</v>
      </c>
      <c r="C87">
        <v>48</v>
      </c>
      <c r="D87" t="s">
        <v>671</v>
      </c>
      <c r="E87" t="s">
        <v>1048</v>
      </c>
      <c r="F87">
        <v>10927.28828828829</v>
      </c>
      <c r="G87">
        <v>524509.83783783787</v>
      </c>
      <c r="H87">
        <v>12129.290000000003</v>
      </c>
      <c r="I87">
        <v>582205.92000000004</v>
      </c>
      <c r="J87">
        <v>11801.801801801799</v>
      </c>
      <c r="K87">
        <v>566486.48648648639</v>
      </c>
      <c r="L87">
        <v>13099.999999999998</v>
      </c>
      <c r="M87">
        <v>628800</v>
      </c>
      <c r="O87">
        <v>0</v>
      </c>
      <c r="P87">
        <v>0</v>
      </c>
      <c r="Q87">
        <v>0</v>
      </c>
      <c r="R87" t="s">
        <v>637</v>
      </c>
      <c r="S87" t="str">
        <f>IFERROR(VLOOKUP(CONCATENATE(Fix_Mapping[[#This Row],[KODE BARANG]],1),'Form Fix'!$A$6:$F$286,4,0),0)</f>
        <v>051704300</v>
      </c>
      <c r="T87">
        <f>IFERROR(VLOOKUP(CONCATENATE(Fix_Mapping[[#This Row],[KODE BARANG]],2),'Form Fix'!$A$6:$F$286,4,0),0)</f>
        <v>0</v>
      </c>
      <c r="U87">
        <f>IFERROR(VLOOKUP(CONCATENATE(Fix_Mapping[[#This Row],[KODE BARANG]],3),'Form Fix'!$A$6:$F$286,4,0),0)</f>
        <v>0</v>
      </c>
      <c r="V87">
        <f>IFERROR(VLOOKUP(CONCATENATE(Fix_Mapping[[#This Row],[KODE BARANG]],4),'Form Fix'!$A$6:$F$286,4,0),0)</f>
        <v>0</v>
      </c>
      <c r="W87">
        <f>IFERROR(VLOOKUP(CONCATENATE(Fix_Mapping[[#This Row],[KODE BARANG]],5),'Form Fix'!$A$6:$F$286,4,0),0)</f>
        <v>0</v>
      </c>
    </row>
    <row r="88" spans="1:23">
      <c r="A88" t="s">
        <v>869</v>
      </c>
      <c r="B88" t="s">
        <v>984</v>
      </c>
      <c r="C88">
        <v>48</v>
      </c>
      <c r="D88" t="s">
        <v>671</v>
      </c>
      <c r="E88" t="s">
        <v>1048</v>
      </c>
      <c r="F88">
        <v>10927.28828828829</v>
      </c>
      <c r="G88">
        <v>524509.83783783787</v>
      </c>
      <c r="H88">
        <v>12129.290000000003</v>
      </c>
      <c r="I88">
        <v>582205.92000000004</v>
      </c>
      <c r="J88">
        <v>11801.801801801799</v>
      </c>
      <c r="K88">
        <v>566486.48648648639</v>
      </c>
      <c r="L88">
        <v>13099.999999999998</v>
      </c>
      <c r="M88">
        <v>628800</v>
      </c>
      <c r="O88">
        <v>0</v>
      </c>
      <c r="P88">
        <v>0</v>
      </c>
      <c r="Q88">
        <v>0</v>
      </c>
      <c r="R88" t="s">
        <v>637</v>
      </c>
      <c r="S88" t="str">
        <f>IFERROR(VLOOKUP(CONCATENATE(Fix_Mapping[[#This Row],[KODE BARANG]],1),'Form Fix'!$A$6:$F$286,4,0),0)</f>
        <v>051705300</v>
      </c>
      <c r="T88">
        <f>IFERROR(VLOOKUP(CONCATENATE(Fix_Mapping[[#This Row],[KODE BARANG]],2),'Form Fix'!$A$6:$F$286,4,0),0)</f>
        <v>0</v>
      </c>
      <c r="U88">
        <f>IFERROR(VLOOKUP(CONCATENATE(Fix_Mapping[[#This Row],[KODE BARANG]],3),'Form Fix'!$A$6:$F$286,4,0),0)</f>
        <v>0</v>
      </c>
      <c r="V88">
        <f>IFERROR(VLOOKUP(CONCATENATE(Fix_Mapping[[#This Row],[KODE BARANG]],4),'Form Fix'!$A$6:$F$286,4,0),0)</f>
        <v>0</v>
      </c>
      <c r="W88">
        <f>IFERROR(VLOOKUP(CONCATENATE(Fix_Mapping[[#This Row],[KODE BARANG]],5),'Form Fix'!$A$6:$F$286,4,0),0)</f>
        <v>0</v>
      </c>
    </row>
    <row r="89" spans="1:23">
      <c r="A89" t="s">
        <v>870</v>
      </c>
      <c r="B89" t="s">
        <v>985</v>
      </c>
      <c r="C89">
        <v>48</v>
      </c>
      <c r="D89" t="s">
        <v>671</v>
      </c>
      <c r="E89" t="s">
        <v>1048</v>
      </c>
      <c r="F89">
        <v>10927.28828828829</v>
      </c>
      <c r="G89">
        <v>524509.83783783787</v>
      </c>
      <c r="H89">
        <v>12129.290000000003</v>
      </c>
      <c r="I89">
        <v>582205.92000000004</v>
      </c>
      <c r="J89">
        <v>11801.801801801799</v>
      </c>
      <c r="K89">
        <v>566486.48648648639</v>
      </c>
      <c r="L89">
        <v>13099.999999999998</v>
      </c>
      <c r="M89">
        <v>628800</v>
      </c>
      <c r="O89">
        <v>0</v>
      </c>
      <c r="P89">
        <v>0</v>
      </c>
      <c r="Q89">
        <v>0</v>
      </c>
      <c r="R89" t="s">
        <v>637</v>
      </c>
      <c r="S89" t="str">
        <f>IFERROR(VLOOKUP(CONCATENATE(Fix_Mapping[[#This Row],[KODE BARANG]],1),'Form Fix'!$A$6:$F$286,4,0),0)</f>
        <v>051702300</v>
      </c>
      <c r="T89">
        <f>IFERROR(VLOOKUP(CONCATENATE(Fix_Mapping[[#This Row],[KODE BARANG]],2),'Form Fix'!$A$6:$F$286,4,0),0)</f>
        <v>0</v>
      </c>
      <c r="U89">
        <f>IFERROR(VLOOKUP(CONCATENATE(Fix_Mapping[[#This Row],[KODE BARANG]],3),'Form Fix'!$A$6:$F$286,4,0),0)</f>
        <v>0</v>
      </c>
      <c r="V89">
        <f>IFERROR(VLOOKUP(CONCATENATE(Fix_Mapping[[#This Row],[KODE BARANG]],4),'Form Fix'!$A$6:$F$286,4,0),0)</f>
        <v>0</v>
      </c>
      <c r="W89">
        <f>IFERROR(VLOOKUP(CONCATENATE(Fix_Mapping[[#This Row],[KODE BARANG]],5),'Form Fix'!$A$6:$F$286,4,0),0)</f>
        <v>0</v>
      </c>
    </row>
    <row r="90" spans="1:23">
      <c r="A90" t="s">
        <v>1167</v>
      </c>
      <c r="B90" t="s">
        <v>1187</v>
      </c>
      <c r="C90">
        <v>48</v>
      </c>
      <c r="D90" t="s">
        <v>705</v>
      </c>
      <c r="E90" t="s">
        <v>1048</v>
      </c>
      <c r="F90">
        <v>16682.882882882881</v>
      </c>
      <c r="G90">
        <v>800778.37837837823</v>
      </c>
      <c r="H90">
        <v>18518</v>
      </c>
      <c r="I90">
        <v>888863.99999999988</v>
      </c>
      <c r="J90">
        <v>18018.018018018014</v>
      </c>
      <c r="K90">
        <v>864864.86486486462</v>
      </c>
      <c r="L90">
        <v>19999.999999999996</v>
      </c>
      <c r="M90">
        <v>959999.99999999977</v>
      </c>
      <c r="O90">
        <v>0</v>
      </c>
      <c r="P90">
        <v>0</v>
      </c>
      <c r="Q90">
        <v>0</v>
      </c>
      <c r="R90" t="s">
        <v>637</v>
      </c>
      <c r="S90" t="str">
        <f>IFERROR(VLOOKUP(CONCATENATE(Fix_Mapping[[#This Row],[KODE BARANG]],1),'Form Fix'!$A$6:$F$286,4,0),0)</f>
        <v>051702700</v>
      </c>
      <c r="T90">
        <f>IFERROR(VLOOKUP(CONCATENATE(Fix_Mapping[[#This Row],[KODE BARANG]],2),'Form Fix'!$A$6:$F$286,4,0),0)</f>
        <v>0</v>
      </c>
      <c r="U90">
        <f>IFERROR(VLOOKUP(CONCATENATE(Fix_Mapping[[#This Row],[KODE BARANG]],3),'Form Fix'!$A$6:$F$286,4,0),0)</f>
        <v>0</v>
      </c>
      <c r="V90">
        <f>IFERROR(VLOOKUP(CONCATENATE(Fix_Mapping[[#This Row],[KODE BARANG]],4),'Form Fix'!$A$6:$F$286,4,0),0)</f>
        <v>0</v>
      </c>
      <c r="W90">
        <f>IFERROR(VLOOKUP(CONCATENATE(Fix_Mapping[[#This Row],[KODE BARANG]],5),'Form Fix'!$A$6:$F$286,4,0),0)</f>
        <v>0</v>
      </c>
    </row>
    <row r="91" spans="1:23">
      <c r="A91" t="s">
        <v>871</v>
      </c>
      <c r="B91" t="s">
        <v>986</v>
      </c>
      <c r="C91">
        <v>24</v>
      </c>
      <c r="D91" t="s">
        <v>730</v>
      </c>
      <c r="E91" t="s">
        <v>1048</v>
      </c>
      <c r="F91">
        <v>31697.477477477474</v>
      </c>
      <c r="G91">
        <v>760739.45945945941</v>
      </c>
      <c r="H91">
        <v>35184.199999999997</v>
      </c>
      <c r="I91">
        <v>844420.8</v>
      </c>
      <c r="J91">
        <v>34234.234234234231</v>
      </c>
      <c r="K91">
        <v>821621.62162162154</v>
      </c>
      <c r="L91">
        <v>38000</v>
      </c>
      <c r="M91">
        <v>912000</v>
      </c>
      <c r="O91">
        <v>0</v>
      </c>
      <c r="P91">
        <v>0</v>
      </c>
      <c r="Q91">
        <v>0</v>
      </c>
      <c r="R91" t="s">
        <v>637</v>
      </c>
      <c r="S91" t="str">
        <f>IFERROR(VLOOKUP(CONCATENATE(Fix_Mapping[[#This Row],[KODE BARANG]],1),'Form Fix'!$A$6:$F$286,4,0),0)</f>
        <v>051702800</v>
      </c>
      <c r="T91">
        <f>IFERROR(VLOOKUP(CONCATENATE(Fix_Mapping[[#This Row],[KODE BARANG]],2),'Form Fix'!$A$6:$F$286,4,0),0)</f>
        <v>0</v>
      </c>
      <c r="U91">
        <f>IFERROR(VLOOKUP(CONCATENATE(Fix_Mapping[[#This Row],[KODE BARANG]],3),'Form Fix'!$A$6:$F$286,4,0),0)</f>
        <v>0</v>
      </c>
      <c r="V91">
        <f>IFERROR(VLOOKUP(CONCATENATE(Fix_Mapping[[#This Row],[KODE BARANG]],4),'Form Fix'!$A$6:$F$286,4,0),0)</f>
        <v>0</v>
      </c>
      <c r="W91">
        <f>IFERROR(VLOOKUP(CONCATENATE(Fix_Mapping[[#This Row],[KODE BARANG]],5),'Form Fix'!$A$6:$F$286,4,0),0)</f>
        <v>0</v>
      </c>
    </row>
    <row r="92" spans="1:23">
      <c r="A92" t="s">
        <v>1168</v>
      </c>
      <c r="B92" t="s">
        <v>1188</v>
      </c>
      <c r="C92">
        <v>48</v>
      </c>
      <c r="D92" t="s">
        <v>705</v>
      </c>
      <c r="E92" t="s">
        <v>1048</v>
      </c>
      <c r="F92">
        <v>16682.882882882881</v>
      </c>
      <c r="G92">
        <v>800778.37837837823</v>
      </c>
      <c r="H92">
        <v>18518</v>
      </c>
      <c r="I92">
        <v>888863.99999999988</v>
      </c>
      <c r="J92">
        <v>18018.018018018014</v>
      </c>
      <c r="K92">
        <v>864864.86486486462</v>
      </c>
      <c r="L92">
        <v>19999.999999999996</v>
      </c>
      <c r="M92">
        <v>959999.99999999977</v>
      </c>
      <c r="O92">
        <v>0</v>
      </c>
      <c r="P92">
        <v>0</v>
      </c>
      <c r="Q92">
        <v>0</v>
      </c>
      <c r="R92" t="s">
        <v>637</v>
      </c>
      <c r="S92" t="str">
        <f>IFERROR(VLOOKUP(CONCATENATE(Fix_Mapping[[#This Row],[KODE BARANG]],1),'Form Fix'!$A$6:$F$286,4,0),0)</f>
        <v>051706700</v>
      </c>
      <c r="T92">
        <f>IFERROR(VLOOKUP(CONCATENATE(Fix_Mapping[[#This Row],[KODE BARANG]],2),'Form Fix'!$A$6:$F$286,4,0),0)</f>
        <v>0</v>
      </c>
      <c r="U92">
        <f>IFERROR(VLOOKUP(CONCATENATE(Fix_Mapping[[#This Row],[KODE BARANG]],3),'Form Fix'!$A$6:$F$286,4,0),0)</f>
        <v>0</v>
      </c>
      <c r="V92">
        <f>IFERROR(VLOOKUP(CONCATENATE(Fix_Mapping[[#This Row],[KODE BARANG]],4),'Form Fix'!$A$6:$F$286,4,0),0)</f>
        <v>0</v>
      </c>
      <c r="W92">
        <f>IFERROR(VLOOKUP(CONCATENATE(Fix_Mapping[[#This Row],[KODE BARANG]],5),'Form Fix'!$A$6:$F$286,4,0),0)</f>
        <v>0</v>
      </c>
    </row>
    <row r="93" spans="1:23">
      <c r="A93" t="s">
        <v>872</v>
      </c>
      <c r="B93" t="s">
        <v>987</v>
      </c>
      <c r="C93">
        <v>24</v>
      </c>
      <c r="D93" t="s">
        <v>730</v>
      </c>
      <c r="E93" t="s">
        <v>1048</v>
      </c>
      <c r="F93">
        <v>31697.477477477474</v>
      </c>
      <c r="G93">
        <v>760739.45945945941</v>
      </c>
      <c r="H93">
        <v>35184.199999999997</v>
      </c>
      <c r="I93">
        <v>844420.8</v>
      </c>
      <c r="J93">
        <v>34234.234234234231</v>
      </c>
      <c r="K93">
        <v>821621.62162162154</v>
      </c>
      <c r="L93">
        <v>38000</v>
      </c>
      <c r="M93">
        <v>912000</v>
      </c>
      <c r="O93">
        <v>0</v>
      </c>
      <c r="P93">
        <v>0</v>
      </c>
      <c r="Q93">
        <v>0</v>
      </c>
      <c r="R93" t="s">
        <v>637</v>
      </c>
      <c r="S93" t="str">
        <f>IFERROR(VLOOKUP(CONCATENATE(Fix_Mapping[[#This Row],[KODE BARANG]],1),'Form Fix'!$A$6:$F$286,4,0),0)</f>
        <v>051706800</v>
      </c>
      <c r="T93">
        <f>IFERROR(VLOOKUP(CONCATENATE(Fix_Mapping[[#This Row],[KODE BARANG]],2),'Form Fix'!$A$6:$F$286,4,0),0)</f>
        <v>0</v>
      </c>
      <c r="U93">
        <f>IFERROR(VLOOKUP(CONCATENATE(Fix_Mapping[[#This Row],[KODE BARANG]],3),'Form Fix'!$A$6:$F$286,4,0),0)</f>
        <v>0</v>
      </c>
      <c r="V93">
        <f>IFERROR(VLOOKUP(CONCATENATE(Fix_Mapping[[#This Row],[KODE BARANG]],4),'Form Fix'!$A$6:$F$286,4,0),0)</f>
        <v>0</v>
      </c>
      <c r="W93">
        <f>IFERROR(VLOOKUP(CONCATENATE(Fix_Mapping[[#This Row],[KODE BARANG]],5),'Form Fix'!$A$6:$F$286,4,0),0)</f>
        <v>0</v>
      </c>
    </row>
    <row r="94" spans="1:23">
      <c r="A94" t="s">
        <v>873</v>
      </c>
      <c r="B94" t="s">
        <v>988</v>
      </c>
      <c r="C94">
        <v>48</v>
      </c>
      <c r="D94" t="s">
        <v>705</v>
      </c>
      <c r="E94" t="s">
        <v>1048</v>
      </c>
      <c r="F94">
        <v>16682.882882882881</v>
      </c>
      <c r="G94">
        <v>800778.37837837823</v>
      </c>
      <c r="H94">
        <v>18518</v>
      </c>
      <c r="I94">
        <v>888863.99999999988</v>
      </c>
      <c r="J94">
        <v>18018.018018018014</v>
      </c>
      <c r="K94">
        <v>864864.86486486462</v>
      </c>
      <c r="L94">
        <v>19999.999999999996</v>
      </c>
      <c r="M94">
        <v>959999.99999999977</v>
      </c>
      <c r="O94">
        <v>0</v>
      </c>
      <c r="P94">
        <v>0</v>
      </c>
      <c r="Q94">
        <v>0</v>
      </c>
      <c r="R94" t="s">
        <v>637</v>
      </c>
      <c r="S94" t="str">
        <f>IFERROR(VLOOKUP(CONCATENATE(Fix_Mapping[[#This Row],[KODE BARANG]],1),'Form Fix'!$A$6:$F$286,4,0),0)</f>
        <v>051703700</v>
      </c>
      <c r="T94">
        <f>IFERROR(VLOOKUP(CONCATENATE(Fix_Mapping[[#This Row],[KODE BARANG]],2),'Form Fix'!$A$6:$F$286,4,0),0)</f>
        <v>0</v>
      </c>
      <c r="U94">
        <f>IFERROR(VLOOKUP(CONCATENATE(Fix_Mapping[[#This Row],[KODE BARANG]],3),'Form Fix'!$A$6:$F$286,4,0),0)</f>
        <v>0</v>
      </c>
      <c r="V94">
        <f>IFERROR(VLOOKUP(CONCATENATE(Fix_Mapping[[#This Row],[KODE BARANG]],4),'Form Fix'!$A$6:$F$286,4,0),0)</f>
        <v>0</v>
      </c>
      <c r="W94">
        <f>IFERROR(VLOOKUP(CONCATENATE(Fix_Mapping[[#This Row],[KODE BARANG]],5),'Form Fix'!$A$6:$F$286,4,0),0)</f>
        <v>0</v>
      </c>
    </row>
    <row r="95" spans="1:23">
      <c r="A95" t="s">
        <v>874</v>
      </c>
      <c r="B95" t="s">
        <v>989</v>
      </c>
      <c r="C95">
        <v>24</v>
      </c>
      <c r="D95" t="s">
        <v>705</v>
      </c>
      <c r="E95" t="s">
        <v>1048</v>
      </c>
      <c r="F95">
        <v>31697.477477477474</v>
      </c>
      <c r="G95">
        <v>760739.45945945941</v>
      </c>
      <c r="H95">
        <v>35184.199999999997</v>
      </c>
      <c r="I95">
        <v>844420.8</v>
      </c>
      <c r="J95">
        <v>34234.234234234231</v>
      </c>
      <c r="K95">
        <v>821621.62162162154</v>
      </c>
      <c r="L95">
        <v>38000</v>
      </c>
      <c r="M95">
        <v>912000</v>
      </c>
      <c r="O95">
        <v>0</v>
      </c>
      <c r="P95">
        <v>0</v>
      </c>
      <c r="Q95">
        <v>0</v>
      </c>
      <c r="R95" t="s">
        <v>637</v>
      </c>
      <c r="S95" t="str">
        <f>IFERROR(VLOOKUP(CONCATENATE(Fix_Mapping[[#This Row],[KODE BARANG]],1),'Form Fix'!$A$6:$F$286,4,0),0)</f>
        <v>051703800</v>
      </c>
      <c r="T95">
        <f>IFERROR(VLOOKUP(CONCATENATE(Fix_Mapping[[#This Row],[KODE BARANG]],2),'Form Fix'!$A$6:$F$286,4,0),0)</f>
        <v>0</v>
      </c>
      <c r="U95">
        <f>IFERROR(VLOOKUP(CONCATENATE(Fix_Mapping[[#This Row],[KODE BARANG]],3),'Form Fix'!$A$6:$F$286,4,0),0)</f>
        <v>0</v>
      </c>
      <c r="V95">
        <f>IFERROR(VLOOKUP(CONCATENATE(Fix_Mapping[[#This Row],[KODE BARANG]],4),'Form Fix'!$A$6:$F$286,4,0),0)</f>
        <v>0</v>
      </c>
      <c r="W95">
        <f>IFERROR(VLOOKUP(CONCATENATE(Fix_Mapping[[#This Row],[KODE BARANG]],5),'Form Fix'!$A$6:$F$286,4,0),0)</f>
        <v>0</v>
      </c>
    </row>
    <row r="96" spans="1:23">
      <c r="A96" t="s">
        <v>875</v>
      </c>
      <c r="B96" t="s">
        <v>990</v>
      </c>
      <c r="C96">
        <v>48</v>
      </c>
      <c r="D96" t="s">
        <v>705</v>
      </c>
      <c r="E96" t="s">
        <v>1048</v>
      </c>
      <c r="F96">
        <v>16682.882882882881</v>
      </c>
      <c r="G96">
        <v>800778.37837837823</v>
      </c>
      <c r="H96">
        <v>18518</v>
      </c>
      <c r="I96">
        <v>888863.99999999988</v>
      </c>
      <c r="J96">
        <v>18018.018018018014</v>
      </c>
      <c r="K96">
        <v>864864.86486486462</v>
      </c>
      <c r="L96">
        <v>19999.999999999996</v>
      </c>
      <c r="M96">
        <v>959999.99999999977</v>
      </c>
      <c r="O96">
        <v>0</v>
      </c>
      <c r="P96">
        <v>0</v>
      </c>
      <c r="Q96">
        <v>0</v>
      </c>
      <c r="R96" t="s">
        <v>637</v>
      </c>
      <c r="S96" t="str">
        <f>IFERROR(VLOOKUP(CONCATENATE(Fix_Mapping[[#This Row],[KODE BARANG]],1),'Form Fix'!$A$6:$F$286,4,0),0)</f>
        <v>051701700</v>
      </c>
      <c r="T96">
        <f>IFERROR(VLOOKUP(CONCATENATE(Fix_Mapping[[#This Row],[KODE BARANG]],2),'Form Fix'!$A$6:$F$286,4,0),0)</f>
        <v>0</v>
      </c>
      <c r="U96">
        <f>IFERROR(VLOOKUP(CONCATENATE(Fix_Mapping[[#This Row],[KODE BARANG]],3),'Form Fix'!$A$6:$F$286,4,0),0)</f>
        <v>0</v>
      </c>
      <c r="V96">
        <f>IFERROR(VLOOKUP(CONCATENATE(Fix_Mapping[[#This Row],[KODE BARANG]],4),'Form Fix'!$A$6:$F$286,4,0),0)</f>
        <v>0</v>
      </c>
      <c r="W96">
        <f>IFERROR(VLOOKUP(CONCATENATE(Fix_Mapping[[#This Row],[KODE BARANG]],5),'Form Fix'!$A$6:$F$286,4,0),0)</f>
        <v>0</v>
      </c>
    </row>
    <row r="97" spans="1:23">
      <c r="A97" t="s">
        <v>876</v>
      </c>
      <c r="B97" t="s">
        <v>991</v>
      </c>
      <c r="C97">
        <v>24</v>
      </c>
      <c r="D97" t="s">
        <v>731</v>
      </c>
      <c r="E97" t="s">
        <v>1048</v>
      </c>
      <c r="F97">
        <v>31697.477477477474</v>
      </c>
      <c r="G97">
        <v>760739.45945945941</v>
      </c>
      <c r="H97">
        <v>35184.199999999997</v>
      </c>
      <c r="I97">
        <v>844420.8</v>
      </c>
      <c r="J97">
        <v>34234.234234234231</v>
      </c>
      <c r="K97">
        <v>821621.62162162154</v>
      </c>
      <c r="L97">
        <v>38000</v>
      </c>
      <c r="M97">
        <v>912000</v>
      </c>
      <c r="O97">
        <v>0</v>
      </c>
      <c r="P97">
        <v>0</v>
      </c>
      <c r="Q97">
        <v>0</v>
      </c>
      <c r="R97" t="s">
        <v>637</v>
      </c>
      <c r="S97" t="str">
        <f>IFERROR(VLOOKUP(CONCATENATE(Fix_Mapping[[#This Row],[KODE BARANG]],1),'Form Fix'!$A$6:$F$286,4,0),0)</f>
        <v>051701800</v>
      </c>
      <c r="T97">
        <f>IFERROR(VLOOKUP(CONCATENATE(Fix_Mapping[[#This Row],[KODE BARANG]],2),'Form Fix'!$A$6:$F$286,4,0),0)</f>
        <v>0</v>
      </c>
      <c r="U97">
        <f>IFERROR(VLOOKUP(CONCATENATE(Fix_Mapping[[#This Row],[KODE BARANG]],3),'Form Fix'!$A$6:$F$286,4,0),0)</f>
        <v>0</v>
      </c>
      <c r="V97">
        <f>IFERROR(VLOOKUP(CONCATENATE(Fix_Mapping[[#This Row],[KODE BARANG]],4),'Form Fix'!$A$6:$F$286,4,0),0)</f>
        <v>0</v>
      </c>
      <c r="W97">
        <f>IFERROR(VLOOKUP(CONCATENATE(Fix_Mapping[[#This Row],[KODE BARANG]],5),'Form Fix'!$A$6:$F$286,4,0),0)</f>
        <v>0</v>
      </c>
    </row>
    <row r="98" spans="1:23">
      <c r="A98" t="s">
        <v>1169</v>
      </c>
      <c r="B98" t="s">
        <v>1189</v>
      </c>
      <c r="C98">
        <v>48</v>
      </c>
      <c r="D98" t="s">
        <v>705</v>
      </c>
      <c r="E98" t="s">
        <v>1048</v>
      </c>
      <c r="F98">
        <v>16682.882882882881</v>
      </c>
      <c r="G98">
        <v>800778.37837837823</v>
      </c>
      <c r="H98">
        <v>18518</v>
      </c>
      <c r="I98">
        <v>888863.99999999988</v>
      </c>
      <c r="J98">
        <v>18018.018018018014</v>
      </c>
      <c r="K98">
        <v>864864.86486486462</v>
      </c>
      <c r="L98">
        <v>19999.999999999996</v>
      </c>
      <c r="M98">
        <v>959999.99999999977</v>
      </c>
      <c r="O98">
        <v>0</v>
      </c>
      <c r="P98">
        <v>0</v>
      </c>
      <c r="Q98">
        <v>0</v>
      </c>
      <c r="R98" t="s">
        <v>637</v>
      </c>
      <c r="S98" t="str">
        <f>IFERROR(VLOOKUP(CONCATENATE(Fix_Mapping[[#This Row],[KODE BARANG]],1),'Form Fix'!$A$6:$F$286,4,0),0)</f>
        <v>051704700</v>
      </c>
      <c r="T98">
        <f>IFERROR(VLOOKUP(CONCATENATE(Fix_Mapping[[#This Row],[KODE BARANG]],2),'Form Fix'!$A$6:$F$286,4,0),0)</f>
        <v>0</v>
      </c>
      <c r="U98">
        <f>IFERROR(VLOOKUP(CONCATENATE(Fix_Mapping[[#This Row],[KODE BARANG]],3),'Form Fix'!$A$6:$F$286,4,0),0)</f>
        <v>0</v>
      </c>
      <c r="V98">
        <f>IFERROR(VLOOKUP(CONCATENATE(Fix_Mapping[[#This Row],[KODE BARANG]],4),'Form Fix'!$A$6:$F$286,4,0),0)</f>
        <v>0</v>
      </c>
      <c r="W98">
        <f>IFERROR(VLOOKUP(CONCATENATE(Fix_Mapping[[#This Row],[KODE BARANG]],5),'Form Fix'!$A$6:$F$286,4,0),0)</f>
        <v>0</v>
      </c>
    </row>
    <row r="99" spans="1:23">
      <c r="A99" t="s">
        <v>877</v>
      </c>
      <c r="B99" t="s">
        <v>992</v>
      </c>
      <c r="C99">
        <v>24</v>
      </c>
      <c r="D99" t="s">
        <v>730</v>
      </c>
      <c r="E99" t="s">
        <v>1048</v>
      </c>
      <c r="F99">
        <v>31697.477477477474</v>
      </c>
      <c r="G99">
        <v>760739.45945945941</v>
      </c>
      <c r="H99">
        <v>35184.199999999997</v>
      </c>
      <c r="I99">
        <v>844420.8</v>
      </c>
      <c r="J99">
        <v>34234.234234234231</v>
      </c>
      <c r="K99">
        <v>821621.62162162154</v>
      </c>
      <c r="L99">
        <v>38000</v>
      </c>
      <c r="M99">
        <v>912000</v>
      </c>
      <c r="O99">
        <v>0</v>
      </c>
      <c r="P99">
        <v>0</v>
      </c>
      <c r="Q99">
        <v>0</v>
      </c>
      <c r="R99" t="s">
        <v>637</v>
      </c>
      <c r="S99" t="str">
        <f>IFERROR(VLOOKUP(CONCATENATE(Fix_Mapping[[#This Row],[KODE BARANG]],1),'Form Fix'!$A$6:$F$286,4,0),0)</f>
        <v>051704800</v>
      </c>
      <c r="T99">
        <f>IFERROR(VLOOKUP(CONCATENATE(Fix_Mapping[[#This Row],[KODE BARANG]],2),'Form Fix'!$A$6:$F$286,4,0),0)</f>
        <v>0</v>
      </c>
      <c r="U99">
        <f>IFERROR(VLOOKUP(CONCATENATE(Fix_Mapping[[#This Row],[KODE BARANG]],3),'Form Fix'!$A$6:$F$286,4,0),0)</f>
        <v>0</v>
      </c>
      <c r="V99">
        <f>IFERROR(VLOOKUP(CONCATENATE(Fix_Mapping[[#This Row],[KODE BARANG]],4),'Form Fix'!$A$6:$F$286,4,0),0)</f>
        <v>0</v>
      </c>
      <c r="W99">
        <f>IFERROR(VLOOKUP(CONCATENATE(Fix_Mapping[[#This Row],[KODE BARANG]],5),'Form Fix'!$A$6:$F$286,4,0),0)</f>
        <v>0</v>
      </c>
    </row>
    <row r="100" spans="1:23">
      <c r="A100" t="s">
        <v>878</v>
      </c>
      <c r="B100" t="s">
        <v>1063</v>
      </c>
      <c r="C100">
        <v>48</v>
      </c>
      <c r="D100" t="s">
        <v>671</v>
      </c>
      <c r="E100" t="s">
        <v>1048</v>
      </c>
      <c r="F100">
        <v>10927.28828828829</v>
      </c>
      <c r="G100">
        <v>524509.83783783787</v>
      </c>
      <c r="H100">
        <v>12129.290000000003</v>
      </c>
      <c r="I100">
        <v>582205.92000000004</v>
      </c>
      <c r="J100">
        <v>11801.801801801799</v>
      </c>
      <c r="K100">
        <v>566486.48648648639</v>
      </c>
      <c r="L100">
        <v>13099.999999999998</v>
      </c>
      <c r="M100">
        <v>628800</v>
      </c>
      <c r="O100">
        <v>0</v>
      </c>
      <c r="P100">
        <v>0</v>
      </c>
      <c r="Q100">
        <v>0</v>
      </c>
      <c r="R100" t="s">
        <v>637</v>
      </c>
      <c r="S100" t="str">
        <f>IFERROR(VLOOKUP(CONCATENATE(Fix_Mapping[[#This Row],[KODE BARANG]],1),'Form Fix'!$A$6:$F$286,4,0),0)</f>
        <v>051701300</v>
      </c>
      <c r="T100">
        <f>IFERROR(VLOOKUP(CONCATENATE(Fix_Mapping[[#This Row],[KODE BARANG]],2),'Form Fix'!$A$6:$F$286,4,0),0)</f>
        <v>0</v>
      </c>
      <c r="U100">
        <f>IFERROR(VLOOKUP(CONCATENATE(Fix_Mapping[[#This Row],[KODE BARANG]],3),'Form Fix'!$A$6:$F$286,4,0),0)</f>
        <v>0</v>
      </c>
      <c r="V100">
        <f>IFERROR(VLOOKUP(CONCATENATE(Fix_Mapping[[#This Row],[KODE BARANG]],4),'Form Fix'!$A$6:$F$286,4,0),0)</f>
        <v>0</v>
      </c>
      <c r="W100">
        <f>IFERROR(VLOOKUP(CONCATENATE(Fix_Mapping[[#This Row],[KODE BARANG]],5),'Form Fix'!$A$6:$F$286,4,0),0)</f>
        <v>0</v>
      </c>
    </row>
    <row r="101" spans="1:23">
      <c r="A101" t="s">
        <v>1170</v>
      </c>
      <c r="B101" t="s">
        <v>1190</v>
      </c>
      <c r="C101">
        <v>48</v>
      </c>
      <c r="D101" t="s">
        <v>705</v>
      </c>
      <c r="E101" t="s">
        <v>1048</v>
      </c>
      <c r="F101">
        <v>16682.882882882881</v>
      </c>
      <c r="G101">
        <v>800778.37837837823</v>
      </c>
      <c r="H101">
        <v>18518</v>
      </c>
      <c r="I101">
        <v>888863.99999999988</v>
      </c>
      <c r="J101">
        <v>18018.018018018014</v>
      </c>
      <c r="K101">
        <v>864864.86486486462</v>
      </c>
      <c r="L101">
        <v>19999.999999999996</v>
      </c>
      <c r="M101">
        <v>959999.99999999977</v>
      </c>
      <c r="O101">
        <v>0</v>
      </c>
      <c r="P101">
        <v>0</v>
      </c>
      <c r="Q101">
        <v>0</v>
      </c>
      <c r="R101" t="s">
        <v>637</v>
      </c>
      <c r="S101" t="str">
        <f>IFERROR(VLOOKUP(CONCATENATE(Fix_Mapping[[#This Row],[KODE BARANG]],1),'Form Fix'!$A$6:$F$286,4,0),0)</f>
        <v>051705700</v>
      </c>
      <c r="T101">
        <f>IFERROR(VLOOKUP(CONCATENATE(Fix_Mapping[[#This Row],[KODE BARANG]],2),'Form Fix'!$A$6:$F$286,4,0),0)</f>
        <v>0</v>
      </c>
      <c r="U101">
        <f>IFERROR(VLOOKUP(CONCATENATE(Fix_Mapping[[#This Row],[KODE BARANG]],3),'Form Fix'!$A$6:$F$286,4,0),0)</f>
        <v>0</v>
      </c>
      <c r="V101">
        <f>IFERROR(VLOOKUP(CONCATENATE(Fix_Mapping[[#This Row],[KODE BARANG]],4),'Form Fix'!$A$6:$F$286,4,0),0)</f>
        <v>0</v>
      </c>
      <c r="W101">
        <f>IFERROR(VLOOKUP(CONCATENATE(Fix_Mapping[[#This Row],[KODE BARANG]],5),'Form Fix'!$A$6:$F$286,4,0),0)</f>
        <v>0</v>
      </c>
    </row>
    <row r="102" spans="1:23">
      <c r="A102" t="s">
        <v>1062</v>
      </c>
      <c r="B102" t="s">
        <v>1064</v>
      </c>
      <c r="C102">
        <v>24</v>
      </c>
      <c r="D102" t="s">
        <v>730</v>
      </c>
      <c r="E102" t="s">
        <v>1048</v>
      </c>
      <c r="F102">
        <v>31697.477477477474</v>
      </c>
      <c r="G102">
        <v>760739.45945945941</v>
      </c>
      <c r="H102">
        <v>35184.199999999997</v>
      </c>
      <c r="I102">
        <v>844420.8</v>
      </c>
      <c r="J102">
        <v>34234.234234234231</v>
      </c>
      <c r="K102">
        <v>821621.62162162154</v>
      </c>
      <c r="L102">
        <v>38000</v>
      </c>
      <c r="M102">
        <v>912000</v>
      </c>
      <c r="O102">
        <v>0</v>
      </c>
      <c r="P102">
        <v>0</v>
      </c>
      <c r="Q102">
        <v>0</v>
      </c>
      <c r="R102" t="s">
        <v>637</v>
      </c>
      <c r="S102" t="str">
        <f>IFERROR(VLOOKUP(CONCATENATE(Fix_Mapping[[#This Row],[KODE BARANG]],1),'Form Fix'!$A$6:$F$286,4,0),0)</f>
        <v>051705800</v>
      </c>
      <c r="T102">
        <f>IFERROR(VLOOKUP(CONCATENATE(Fix_Mapping[[#This Row],[KODE BARANG]],2),'Form Fix'!$A$6:$F$286,4,0),0)</f>
        <v>0</v>
      </c>
      <c r="U102">
        <f>IFERROR(VLOOKUP(CONCATENATE(Fix_Mapping[[#This Row],[KODE BARANG]],3),'Form Fix'!$A$6:$F$286,4,0),0)</f>
        <v>0</v>
      </c>
      <c r="V102">
        <f>IFERROR(VLOOKUP(CONCATENATE(Fix_Mapping[[#This Row],[KODE BARANG]],4),'Form Fix'!$A$6:$F$286,4,0),0)</f>
        <v>0</v>
      </c>
      <c r="W102">
        <f>IFERROR(VLOOKUP(CONCATENATE(Fix_Mapping[[#This Row],[KODE BARANG]],5),'Form Fix'!$A$6:$F$286,4,0),0)</f>
        <v>0</v>
      </c>
    </row>
    <row r="103" spans="1:23">
      <c r="A103" t="s">
        <v>879</v>
      </c>
      <c r="B103" t="s">
        <v>993</v>
      </c>
      <c r="C103">
        <v>48</v>
      </c>
      <c r="D103" t="s">
        <v>732</v>
      </c>
      <c r="E103" t="s">
        <v>1050</v>
      </c>
      <c r="F103">
        <v>28360.900900900899</v>
      </c>
      <c r="G103">
        <v>1361323.2432432431</v>
      </c>
      <c r="H103">
        <v>31480.6</v>
      </c>
      <c r="I103">
        <v>1511068.8</v>
      </c>
      <c r="J103">
        <v>30630.630630630625</v>
      </c>
      <c r="K103">
        <v>1470270.2702702701</v>
      </c>
      <c r="L103">
        <v>34000</v>
      </c>
      <c r="M103">
        <v>1632000</v>
      </c>
      <c r="O103">
        <v>0</v>
      </c>
      <c r="P103">
        <v>0</v>
      </c>
      <c r="Q103">
        <v>0</v>
      </c>
      <c r="R103" t="s">
        <v>637</v>
      </c>
      <c r="S103" t="str">
        <f>IFERROR(VLOOKUP(CONCATENATE(Fix_Mapping[[#This Row],[KODE BARANG]],1),'Form Fix'!$A$6:$F$286,4,0),0)</f>
        <v>101701007</v>
      </c>
      <c r="T103">
        <f>IFERROR(VLOOKUP(CONCATENATE(Fix_Mapping[[#This Row],[KODE BARANG]],2),'Form Fix'!$A$6:$F$286,4,0),0)</f>
        <v>0</v>
      </c>
      <c r="U103">
        <f>IFERROR(VLOOKUP(CONCATENATE(Fix_Mapping[[#This Row],[KODE BARANG]],3),'Form Fix'!$A$6:$F$286,4,0),0)</f>
        <v>0</v>
      </c>
      <c r="V103">
        <f>IFERROR(VLOOKUP(CONCATENATE(Fix_Mapping[[#This Row],[KODE BARANG]],4),'Form Fix'!$A$6:$F$286,4,0),0)</f>
        <v>0</v>
      </c>
      <c r="W103">
        <f>IFERROR(VLOOKUP(CONCATENATE(Fix_Mapping[[#This Row],[KODE BARANG]],5),'Form Fix'!$A$6:$F$286,4,0),0)</f>
        <v>0</v>
      </c>
    </row>
    <row r="104" spans="1:23">
      <c r="A104" t="s">
        <v>880</v>
      </c>
      <c r="B104" t="s">
        <v>994</v>
      </c>
      <c r="C104">
        <v>48</v>
      </c>
      <c r="D104" t="s">
        <v>733</v>
      </c>
      <c r="E104" t="s">
        <v>1050</v>
      </c>
      <c r="F104">
        <v>37536.486486486487</v>
      </c>
      <c r="G104">
        <v>1801751.3513513515</v>
      </c>
      <c r="H104">
        <v>41665.500000000007</v>
      </c>
      <c r="I104">
        <v>1999944.0000000002</v>
      </c>
      <c r="J104">
        <v>40540.54054054054</v>
      </c>
      <c r="K104">
        <v>1945945.945945946</v>
      </c>
      <c r="L104">
        <v>45000</v>
      </c>
      <c r="M104">
        <v>2160000.0000000005</v>
      </c>
      <c r="O104">
        <v>0</v>
      </c>
      <c r="P104">
        <v>0</v>
      </c>
      <c r="Q104">
        <v>0</v>
      </c>
      <c r="R104" t="s">
        <v>637</v>
      </c>
      <c r="S104" t="str">
        <f>IFERROR(VLOOKUP(CONCATENATE(Fix_Mapping[[#This Row],[KODE BARANG]],1),'Form Fix'!$A$6:$F$286,4,0),0)</f>
        <v>101701009</v>
      </c>
      <c r="T104">
        <f>IFERROR(VLOOKUP(CONCATENATE(Fix_Mapping[[#This Row],[KODE BARANG]],2),'Form Fix'!$A$6:$F$286,4,0),0)</f>
        <v>0</v>
      </c>
      <c r="U104">
        <f>IFERROR(VLOOKUP(CONCATENATE(Fix_Mapping[[#This Row],[KODE BARANG]],3),'Form Fix'!$A$6:$F$286,4,0),0)</f>
        <v>0</v>
      </c>
      <c r="V104">
        <f>IFERROR(VLOOKUP(CONCATENATE(Fix_Mapping[[#This Row],[KODE BARANG]],4),'Form Fix'!$A$6:$F$286,4,0),0)</f>
        <v>0</v>
      </c>
      <c r="W104">
        <f>IFERROR(VLOOKUP(CONCATENATE(Fix_Mapping[[#This Row],[KODE BARANG]],5),'Form Fix'!$A$6:$F$286,4,0),0)</f>
        <v>0</v>
      </c>
    </row>
    <row r="105" spans="1:23">
      <c r="A105" t="s">
        <v>881</v>
      </c>
      <c r="B105" t="s">
        <v>995</v>
      </c>
      <c r="C105">
        <v>48</v>
      </c>
      <c r="D105" t="s">
        <v>732</v>
      </c>
      <c r="E105" t="s">
        <v>1052</v>
      </c>
      <c r="F105">
        <v>24398.716216216217</v>
      </c>
      <c r="G105">
        <v>1171138.3783783785</v>
      </c>
      <c r="H105">
        <v>27082.575000000004</v>
      </c>
      <c r="I105">
        <v>1299963.6000000001</v>
      </c>
      <c r="J105">
        <v>26351.35135135135</v>
      </c>
      <c r="K105">
        <v>1264864.8648648649</v>
      </c>
      <c r="L105">
        <v>29250</v>
      </c>
      <c r="M105">
        <v>1404000</v>
      </c>
      <c r="O105">
        <v>0</v>
      </c>
      <c r="P105">
        <v>0</v>
      </c>
      <c r="Q105">
        <v>0</v>
      </c>
      <c r="R105" t="s">
        <v>637</v>
      </c>
      <c r="S105" t="str">
        <f>IFERROR(VLOOKUP(CONCATENATE(Fix_Mapping[[#This Row],[KODE BARANG]],1),'Form Fix'!$A$6:$F$286,4,0),0)</f>
        <v>101702001</v>
      </c>
      <c r="T105">
        <f>IFERROR(VLOOKUP(CONCATENATE(Fix_Mapping[[#This Row],[KODE BARANG]],2),'Form Fix'!$A$6:$F$286,4,0),0)</f>
        <v>0</v>
      </c>
      <c r="U105">
        <f>IFERROR(VLOOKUP(CONCATENATE(Fix_Mapping[[#This Row],[KODE BARANG]],3),'Form Fix'!$A$6:$F$286,4,0),0)</f>
        <v>0</v>
      </c>
      <c r="V105">
        <f>IFERROR(VLOOKUP(CONCATENATE(Fix_Mapping[[#This Row],[KODE BARANG]],4),'Form Fix'!$A$6:$F$286,4,0),0)</f>
        <v>0</v>
      </c>
      <c r="W105">
        <f>IFERROR(VLOOKUP(CONCATENATE(Fix_Mapping[[#This Row],[KODE BARANG]],5),'Form Fix'!$A$6:$F$286,4,0),0)</f>
        <v>0</v>
      </c>
    </row>
    <row r="106" spans="1:23">
      <c r="A106" t="s">
        <v>882</v>
      </c>
      <c r="B106" t="s">
        <v>996</v>
      </c>
      <c r="C106">
        <v>24</v>
      </c>
      <c r="D106" t="s">
        <v>671</v>
      </c>
      <c r="E106" t="s">
        <v>1054</v>
      </c>
      <c r="F106">
        <v>18351.171171171172</v>
      </c>
      <c r="G106">
        <v>440428.10810810816</v>
      </c>
      <c r="H106">
        <v>20369.800000000003</v>
      </c>
      <c r="I106">
        <v>488875.20000000013</v>
      </c>
      <c r="J106">
        <v>19819.819819819819</v>
      </c>
      <c r="K106">
        <v>475675.67567567562</v>
      </c>
      <c r="L106">
        <v>22000</v>
      </c>
      <c r="M106">
        <v>528000</v>
      </c>
      <c r="O106">
        <v>0</v>
      </c>
      <c r="P106">
        <v>0</v>
      </c>
      <c r="Q106">
        <v>0</v>
      </c>
      <c r="R106" t="s">
        <v>637</v>
      </c>
      <c r="S106" t="str">
        <f>IFERROR(VLOOKUP(CONCATENATE(Fix_Mapping[[#This Row],[KODE BARANG]],1),'Form Fix'!$A$6:$F$286,4,0),0)</f>
        <v>052504400</v>
      </c>
      <c r="T106">
        <f>IFERROR(VLOOKUP(CONCATENATE(Fix_Mapping[[#This Row],[KODE BARANG]],2),'Form Fix'!$A$6:$F$286,4,0),0)</f>
        <v>0</v>
      </c>
      <c r="U106">
        <f>IFERROR(VLOOKUP(CONCATENATE(Fix_Mapping[[#This Row],[KODE BARANG]],3),'Form Fix'!$A$6:$F$286,4,0),0)</f>
        <v>0</v>
      </c>
      <c r="V106">
        <f>IFERROR(VLOOKUP(CONCATENATE(Fix_Mapping[[#This Row],[KODE BARANG]],4),'Form Fix'!$A$6:$F$286,4,0),0)</f>
        <v>0</v>
      </c>
      <c r="W106">
        <f>IFERROR(VLOOKUP(CONCATENATE(Fix_Mapping[[#This Row],[KODE BARANG]],5),'Form Fix'!$A$6:$F$286,4,0),0)</f>
        <v>0</v>
      </c>
    </row>
    <row r="107" spans="1:23">
      <c r="A107" t="s">
        <v>883</v>
      </c>
      <c r="B107" t="s">
        <v>997</v>
      </c>
      <c r="C107">
        <v>24</v>
      </c>
      <c r="D107" t="s">
        <v>671</v>
      </c>
      <c r="E107" t="s">
        <v>1054</v>
      </c>
      <c r="F107">
        <v>18351.171171171172</v>
      </c>
      <c r="G107">
        <v>440428.10810810816</v>
      </c>
      <c r="H107">
        <v>20369.800000000003</v>
      </c>
      <c r="I107">
        <v>488875.20000000013</v>
      </c>
      <c r="J107">
        <v>19819.819819819819</v>
      </c>
      <c r="K107">
        <v>475675.67567567562</v>
      </c>
      <c r="L107">
        <v>22000</v>
      </c>
      <c r="M107">
        <v>528000</v>
      </c>
      <c r="O107">
        <v>0</v>
      </c>
      <c r="P107">
        <v>0</v>
      </c>
      <c r="Q107">
        <v>0</v>
      </c>
      <c r="R107" t="s">
        <v>637</v>
      </c>
      <c r="S107" t="str">
        <f>IFERROR(VLOOKUP(CONCATENATE(Fix_Mapping[[#This Row],[KODE BARANG]],1),'Form Fix'!$A$6:$F$286,4,0),0)</f>
        <v>052506401</v>
      </c>
      <c r="T107" t="str">
        <f>IFERROR(VLOOKUP(CONCATENATE(Fix_Mapping[[#This Row],[KODE BARANG]],2),'Form Fix'!$A$6:$F$286,4,0),0)</f>
        <v>052506002</v>
      </c>
      <c r="U107">
        <f>IFERROR(VLOOKUP(CONCATENATE(Fix_Mapping[[#This Row],[KODE BARANG]],3),'Form Fix'!$A$6:$F$286,4,0),0)</f>
        <v>0</v>
      </c>
      <c r="V107">
        <f>IFERROR(VLOOKUP(CONCATENATE(Fix_Mapping[[#This Row],[KODE BARANG]],4),'Form Fix'!$A$6:$F$286,4,0),0)</f>
        <v>0</v>
      </c>
      <c r="W107">
        <f>IFERROR(VLOOKUP(CONCATENATE(Fix_Mapping[[#This Row],[KODE BARANG]],5),'Form Fix'!$A$6:$F$286,4,0),0)</f>
        <v>0</v>
      </c>
    </row>
    <row r="108" spans="1:23">
      <c r="A108" t="s">
        <v>884</v>
      </c>
      <c r="B108" t="s">
        <v>998</v>
      </c>
      <c r="C108">
        <v>48</v>
      </c>
      <c r="D108" t="s">
        <v>671</v>
      </c>
      <c r="E108" t="s">
        <v>1054</v>
      </c>
      <c r="F108">
        <v>3336.5765765765759</v>
      </c>
      <c r="G108">
        <v>160155.67567567565</v>
      </c>
      <c r="H108">
        <v>3703.5999999999995</v>
      </c>
      <c r="I108">
        <v>177772.79999999999</v>
      </c>
      <c r="J108">
        <v>3603.6036036036035</v>
      </c>
      <c r="K108">
        <v>172972.97297297296</v>
      </c>
      <c r="L108">
        <v>4000</v>
      </c>
      <c r="M108">
        <v>192000</v>
      </c>
      <c r="O108">
        <v>0</v>
      </c>
      <c r="P108">
        <v>0</v>
      </c>
      <c r="Q108">
        <v>0</v>
      </c>
      <c r="R108" t="s">
        <v>637</v>
      </c>
      <c r="S108" t="str">
        <f>IFERROR(VLOOKUP(CONCATENATE(Fix_Mapping[[#This Row],[KODE BARANG]],1),'Form Fix'!$A$6:$F$286,4,0),0)</f>
        <v>052501902</v>
      </c>
      <c r="T108">
        <f>IFERROR(VLOOKUP(CONCATENATE(Fix_Mapping[[#This Row],[KODE BARANG]],2),'Form Fix'!$A$6:$F$286,4,0),0)</f>
        <v>0</v>
      </c>
      <c r="U108">
        <f>IFERROR(VLOOKUP(CONCATENATE(Fix_Mapping[[#This Row],[KODE BARANG]],3),'Form Fix'!$A$6:$F$286,4,0),0)</f>
        <v>0</v>
      </c>
      <c r="V108">
        <f>IFERROR(VLOOKUP(CONCATENATE(Fix_Mapping[[#This Row],[KODE BARANG]],4),'Form Fix'!$A$6:$F$286,4,0),0)</f>
        <v>0</v>
      </c>
      <c r="W108">
        <f>IFERROR(VLOOKUP(CONCATENATE(Fix_Mapping[[#This Row],[KODE BARANG]],5),'Form Fix'!$A$6:$F$286,4,0),0)</f>
        <v>0</v>
      </c>
    </row>
    <row r="109" spans="1:23">
      <c r="A109" t="s">
        <v>1171</v>
      </c>
      <c r="B109" t="s">
        <v>1191</v>
      </c>
      <c r="C109">
        <v>24</v>
      </c>
      <c r="D109" t="s">
        <v>671</v>
      </c>
      <c r="E109" t="s">
        <v>1054</v>
      </c>
      <c r="F109">
        <v>18351.171171171172</v>
      </c>
      <c r="G109">
        <v>440428.10810810816</v>
      </c>
      <c r="H109">
        <v>20369.800000000003</v>
      </c>
      <c r="I109">
        <v>488875.20000000013</v>
      </c>
      <c r="J109">
        <v>19819.819819819819</v>
      </c>
      <c r="K109">
        <v>475675.67567567562</v>
      </c>
      <c r="L109">
        <v>22000</v>
      </c>
      <c r="M109">
        <v>528000</v>
      </c>
      <c r="O109">
        <v>0</v>
      </c>
      <c r="P109">
        <v>0</v>
      </c>
      <c r="Q109">
        <v>0</v>
      </c>
      <c r="R109" t="s">
        <v>637</v>
      </c>
      <c r="S109" t="str">
        <f>IFERROR(VLOOKUP(CONCATENATE(Fix_Mapping[[#This Row],[KODE BARANG]],1),'Form Fix'!$A$6:$F$286,4,0),0)</f>
        <v>052506402</v>
      </c>
      <c r="T109">
        <f>IFERROR(VLOOKUP(CONCATENATE(Fix_Mapping[[#This Row],[KODE BARANG]],2),'Form Fix'!$A$6:$F$286,4,0),0)</f>
        <v>0</v>
      </c>
      <c r="U109">
        <f>IFERROR(VLOOKUP(CONCATENATE(Fix_Mapping[[#This Row],[KODE BARANG]],3),'Form Fix'!$A$6:$F$286,4,0),0)</f>
        <v>0</v>
      </c>
      <c r="V109">
        <f>IFERROR(VLOOKUP(CONCATENATE(Fix_Mapping[[#This Row],[KODE BARANG]],4),'Form Fix'!$A$6:$F$286,4,0),0)</f>
        <v>0</v>
      </c>
      <c r="W109">
        <f>IFERROR(VLOOKUP(CONCATENATE(Fix_Mapping[[#This Row],[KODE BARANG]],5),'Form Fix'!$A$6:$F$286,4,0),0)</f>
        <v>0</v>
      </c>
    </row>
    <row r="110" spans="1:23">
      <c r="A110" t="s">
        <v>885</v>
      </c>
      <c r="B110" t="s">
        <v>999</v>
      </c>
      <c r="C110">
        <v>48</v>
      </c>
      <c r="D110" t="s">
        <v>671</v>
      </c>
      <c r="E110" t="s">
        <v>1054</v>
      </c>
      <c r="F110">
        <v>3336.5765765765759</v>
      </c>
      <c r="G110">
        <v>160155.67567567565</v>
      </c>
      <c r="H110">
        <v>3703.5999999999995</v>
      </c>
      <c r="I110">
        <v>177772.79999999999</v>
      </c>
      <c r="J110">
        <v>3603.6036036036035</v>
      </c>
      <c r="K110">
        <v>172972.97297297296</v>
      </c>
      <c r="L110">
        <v>4000</v>
      </c>
      <c r="M110">
        <v>192000</v>
      </c>
      <c r="O110">
        <v>0</v>
      </c>
      <c r="P110">
        <v>0</v>
      </c>
      <c r="Q110">
        <v>0</v>
      </c>
      <c r="R110" t="s">
        <v>637</v>
      </c>
      <c r="S110" t="str">
        <f>IFERROR(VLOOKUP(CONCATENATE(Fix_Mapping[[#This Row],[KODE BARANG]],1),'Form Fix'!$A$6:$F$286,4,0),0)</f>
        <v>052503901</v>
      </c>
      <c r="T110">
        <f>IFERROR(VLOOKUP(CONCATENATE(Fix_Mapping[[#This Row],[KODE BARANG]],2),'Form Fix'!$A$6:$F$286,4,0),0)</f>
        <v>0</v>
      </c>
      <c r="U110">
        <f>IFERROR(VLOOKUP(CONCATENATE(Fix_Mapping[[#This Row],[KODE BARANG]],3),'Form Fix'!$A$6:$F$286,4,0),0)</f>
        <v>0</v>
      </c>
      <c r="V110">
        <f>IFERROR(VLOOKUP(CONCATENATE(Fix_Mapping[[#This Row],[KODE BARANG]],4),'Form Fix'!$A$6:$F$286,4,0),0)</f>
        <v>0</v>
      </c>
      <c r="W110">
        <f>IFERROR(VLOOKUP(CONCATENATE(Fix_Mapping[[#This Row],[KODE BARANG]],5),'Form Fix'!$A$6:$F$286,4,0),0)</f>
        <v>0</v>
      </c>
    </row>
    <row r="111" spans="1:23">
      <c r="A111" t="s">
        <v>1172</v>
      </c>
      <c r="B111" t="s">
        <v>1192</v>
      </c>
      <c r="C111">
        <v>24</v>
      </c>
      <c r="D111" t="s">
        <v>671</v>
      </c>
      <c r="E111" t="s">
        <v>1054</v>
      </c>
      <c r="F111">
        <v>18351.171171171172</v>
      </c>
      <c r="G111">
        <v>440428.10810810816</v>
      </c>
      <c r="H111">
        <v>20369.800000000003</v>
      </c>
      <c r="I111">
        <v>488875.20000000013</v>
      </c>
      <c r="J111">
        <v>19819.819819819819</v>
      </c>
      <c r="K111">
        <v>475675.67567567562</v>
      </c>
      <c r="L111">
        <v>22000</v>
      </c>
      <c r="M111">
        <v>528000</v>
      </c>
      <c r="O111">
        <v>0</v>
      </c>
      <c r="P111">
        <v>0</v>
      </c>
      <c r="Q111">
        <v>0</v>
      </c>
      <c r="R111" t="s">
        <v>637</v>
      </c>
      <c r="S111" t="str">
        <f>IFERROR(VLOOKUP(CONCATENATE(Fix_Mapping[[#This Row],[KODE BARANG]],1),'Form Fix'!$A$6:$F$286,4,0),0)</f>
        <v>052506602</v>
      </c>
      <c r="T111">
        <f>IFERROR(VLOOKUP(CONCATENATE(Fix_Mapping[[#This Row],[KODE BARANG]],2),'Form Fix'!$A$6:$F$286,4,0),0)</f>
        <v>0</v>
      </c>
      <c r="U111">
        <f>IFERROR(VLOOKUP(CONCATENATE(Fix_Mapping[[#This Row],[KODE BARANG]],3),'Form Fix'!$A$6:$F$286,4,0),0)</f>
        <v>0</v>
      </c>
      <c r="V111">
        <f>IFERROR(VLOOKUP(CONCATENATE(Fix_Mapping[[#This Row],[KODE BARANG]],4),'Form Fix'!$A$6:$F$286,4,0),0)</f>
        <v>0</v>
      </c>
      <c r="W111">
        <f>IFERROR(VLOOKUP(CONCATENATE(Fix_Mapping[[#This Row],[KODE BARANG]],5),'Form Fix'!$A$6:$F$286,4,0),0)</f>
        <v>0</v>
      </c>
    </row>
    <row r="112" spans="1:23">
      <c r="A112" t="s">
        <v>886</v>
      </c>
      <c r="B112" t="s">
        <v>1000</v>
      </c>
      <c r="C112">
        <v>24</v>
      </c>
      <c r="D112" t="s">
        <v>671</v>
      </c>
      <c r="E112" t="s">
        <v>1054</v>
      </c>
      <c r="F112">
        <v>18351.171171171172</v>
      </c>
      <c r="G112">
        <v>440428.10810810816</v>
      </c>
      <c r="H112">
        <v>20369.800000000003</v>
      </c>
      <c r="I112">
        <v>488875.20000000013</v>
      </c>
      <c r="J112">
        <v>19819.819819819819</v>
      </c>
      <c r="K112">
        <v>475675.67567567562</v>
      </c>
      <c r="L112">
        <v>22000</v>
      </c>
      <c r="M112">
        <v>528000</v>
      </c>
      <c r="O112">
        <v>0</v>
      </c>
      <c r="P112">
        <v>0</v>
      </c>
      <c r="Q112">
        <v>0</v>
      </c>
      <c r="R112" t="s">
        <v>637</v>
      </c>
      <c r="S112" t="str">
        <f>IFERROR(VLOOKUP(CONCATENATE(Fix_Mapping[[#This Row],[KODE BARANG]],1),'Form Fix'!$A$6:$F$286,4,0),0)</f>
        <v>052502400</v>
      </c>
      <c r="T112">
        <f>IFERROR(VLOOKUP(CONCATENATE(Fix_Mapping[[#This Row],[KODE BARANG]],2),'Form Fix'!$A$6:$F$286,4,0),0)</f>
        <v>0</v>
      </c>
      <c r="U112">
        <f>IFERROR(VLOOKUP(CONCATENATE(Fix_Mapping[[#This Row],[KODE BARANG]],3),'Form Fix'!$A$6:$F$286,4,0),0)</f>
        <v>0</v>
      </c>
      <c r="V112">
        <f>IFERROR(VLOOKUP(CONCATENATE(Fix_Mapping[[#This Row],[KODE BARANG]],4),'Form Fix'!$A$6:$F$286,4,0),0)</f>
        <v>0</v>
      </c>
      <c r="W112">
        <f>IFERROR(VLOOKUP(CONCATENATE(Fix_Mapping[[#This Row],[KODE BARANG]],5),'Form Fix'!$A$6:$F$286,4,0),0)</f>
        <v>0</v>
      </c>
    </row>
    <row r="113" spans="1:23">
      <c r="A113" t="s">
        <v>887</v>
      </c>
      <c r="B113" t="s">
        <v>1001</v>
      </c>
      <c r="C113">
        <v>48</v>
      </c>
      <c r="D113" t="s">
        <v>671</v>
      </c>
      <c r="E113" t="s">
        <v>1054</v>
      </c>
      <c r="F113">
        <v>3336.5765765765759</v>
      </c>
      <c r="G113">
        <v>160155.67567567565</v>
      </c>
      <c r="H113">
        <v>3703.5999999999995</v>
      </c>
      <c r="I113">
        <v>177772.79999999999</v>
      </c>
      <c r="J113">
        <v>3603.6036036036035</v>
      </c>
      <c r="K113">
        <v>172972.97297297296</v>
      </c>
      <c r="L113">
        <v>4000</v>
      </c>
      <c r="M113">
        <v>192000</v>
      </c>
      <c r="O113">
        <v>0</v>
      </c>
      <c r="P113">
        <v>0</v>
      </c>
      <c r="Q113">
        <v>0</v>
      </c>
      <c r="R113" t="s">
        <v>637</v>
      </c>
      <c r="S113" t="str">
        <f>IFERROR(VLOOKUP(CONCATENATE(Fix_Mapping[[#This Row],[KODE BARANG]],1),'Form Fix'!$A$6:$F$286,4,0),0)</f>
        <v>052502901</v>
      </c>
      <c r="T113">
        <f>IFERROR(VLOOKUP(CONCATENATE(Fix_Mapping[[#This Row],[KODE BARANG]],2),'Form Fix'!$A$6:$F$286,4,0),0)</f>
        <v>0</v>
      </c>
      <c r="U113">
        <f>IFERROR(VLOOKUP(CONCATENATE(Fix_Mapping[[#This Row],[KODE BARANG]],3),'Form Fix'!$A$6:$F$286,4,0),0)</f>
        <v>0</v>
      </c>
      <c r="V113">
        <f>IFERROR(VLOOKUP(CONCATENATE(Fix_Mapping[[#This Row],[KODE BARANG]],4),'Form Fix'!$A$6:$F$286,4,0),0)</f>
        <v>0</v>
      </c>
      <c r="W113">
        <f>IFERROR(VLOOKUP(CONCATENATE(Fix_Mapping[[#This Row],[KODE BARANG]],5),'Form Fix'!$A$6:$F$286,4,0),0)</f>
        <v>0</v>
      </c>
    </row>
    <row r="114" spans="1:23">
      <c r="A114" t="s">
        <v>888</v>
      </c>
      <c r="B114" t="s">
        <v>1002</v>
      </c>
      <c r="C114">
        <v>24</v>
      </c>
      <c r="D114" t="s">
        <v>730</v>
      </c>
      <c r="E114" t="s">
        <v>1054</v>
      </c>
      <c r="F114">
        <v>31697.477477477474</v>
      </c>
      <c r="G114">
        <v>760739.45945945941</v>
      </c>
      <c r="H114">
        <v>35184.199999999997</v>
      </c>
      <c r="I114">
        <v>844420.8</v>
      </c>
      <c r="J114">
        <v>34234.234234234231</v>
      </c>
      <c r="K114">
        <v>821621.62162162154</v>
      </c>
      <c r="L114">
        <v>38000</v>
      </c>
      <c r="M114">
        <v>912000</v>
      </c>
      <c r="O114">
        <v>0</v>
      </c>
      <c r="P114">
        <v>0</v>
      </c>
      <c r="Q114">
        <v>0</v>
      </c>
      <c r="R114" t="s">
        <v>637</v>
      </c>
      <c r="S114" t="str">
        <f>IFERROR(VLOOKUP(CONCATENATE(Fix_Mapping[[#This Row],[KODE BARANG]],1),'Form Fix'!$A$6:$F$286,4,0),0)</f>
        <v>052504500</v>
      </c>
      <c r="T114">
        <f>IFERROR(VLOOKUP(CONCATENATE(Fix_Mapping[[#This Row],[KODE BARANG]],2),'Form Fix'!$A$6:$F$286,4,0),0)</f>
        <v>0</v>
      </c>
      <c r="U114">
        <f>IFERROR(VLOOKUP(CONCATENATE(Fix_Mapping[[#This Row],[KODE BARANG]],3),'Form Fix'!$A$6:$F$286,4,0),0)</f>
        <v>0</v>
      </c>
      <c r="V114">
        <f>IFERROR(VLOOKUP(CONCATENATE(Fix_Mapping[[#This Row],[KODE BARANG]],4),'Form Fix'!$A$6:$F$286,4,0),0)</f>
        <v>0</v>
      </c>
      <c r="W114">
        <f>IFERROR(VLOOKUP(CONCATENATE(Fix_Mapping[[#This Row],[KODE BARANG]],5),'Form Fix'!$A$6:$F$286,4,0),0)</f>
        <v>0</v>
      </c>
    </row>
    <row r="115" spans="1:23">
      <c r="A115" t="s">
        <v>889</v>
      </c>
      <c r="B115" t="s">
        <v>1003</v>
      </c>
      <c r="C115">
        <v>24</v>
      </c>
      <c r="D115" t="s">
        <v>730</v>
      </c>
      <c r="E115" t="s">
        <v>1054</v>
      </c>
      <c r="F115">
        <v>31697.477477477474</v>
      </c>
      <c r="G115">
        <v>760739.45945945941</v>
      </c>
      <c r="H115">
        <v>35184.199999999997</v>
      </c>
      <c r="I115">
        <v>844420.8</v>
      </c>
      <c r="J115">
        <v>34234.234234234231</v>
      </c>
      <c r="K115">
        <v>821621.62162162154</v>
      </c>
      <c r="L115">
        <v>38000</v>
      </c>
      <c r="M115">
        <v>912000</v>
      </c>
      <c r="O115">
        <v>0</v>
      </c>
      <c r="P115">
        <v>0</v>
      </c>
      <c r="Q115">
        <v>0</v>
      </c>
      <c r="R115" t="s">
        <v>637</v>
      </c>
      <c r="S115" t="str">
        <f>IFERROR(VLOOKUP(CONCATENATE(Fix_Mapping[[#This Row],[KODE BARANG]],1),'Form Fix'!$A$6:$F$286,4,0),0)</f>
        <v>052506501</v>
      </c>
      <c r="T115">
        <f>IFERROR(VLOOKUP(CONCATENATE(Fix_Mapping[[#This Row],[KODE BARANG]],2),'Form Fix'!$A$6:$F$286,4,0),0)</f>
        <v>0</v>
      </c>
      <c r="U115">
        <f>IFERROR(VLOOKUP(CONCATENATE(Fix_Mapping[[#This Row],[KODE BARANG]],3),'Form Fix'!$A$6:$F$286,4,0),0)</f>
        <v>0</v>
      </c>
      <c r="V115">
        <f>IFERROR(VLOOKUP(CONCATENATE(Fix_Mapping[[#This Row],[KODE BARANG]],4),'Form Fix'!$A$6:$F$286,4,0),0)</f>
        <v>0</v>
      </c>
      <c r="W115">
        <f>IFERROR(VLOOKUP(CONCATENATE(Fix_Mapping[[#This Row],[KODE BARANG]],5),'Form Fix'!$A$6:$F$286,4,0),0)</f>
        <v>0</v>
      </c>
    </row>
    <row r="116" spans="1:23">
      <c r="A116" t="s">
        <v>890</v>
      </c>
      <c r="B116" t="s">
        <v>1004</v>
      </c>
      <c r="C116">
        <v>24</v>
      </c>
      <c r="D116" t="s">
        <v>730</v>
      </c>
      <c r="E116" t="s">
        <v>1054</v>
      </c>
      <c r="F116">
        <v>31697.477477477474</v>
      </c>
      <c r="G116">
        <v>760739.45945945941</v>
      </c>
      <c r="H116">
        <v>35184.199999999997</v>
      </c>
      <c r="I116">
        <v>844420.8</v>
      </c>
      <c r="J116">
        <v>34234.234234234231</v>
      </c>
      <c r="K116">
        <v>821621.62162162154</v>
      </c>
      <c r="L116">
        <v>38000</v>
      </c>
      <c r="M116">
        <v>912000</v>
      </c>
      <c r="O116">
        <v>0</v>
      </c>
      <c r="P116">
        <v>0</v>
      </c>
      <c r="Q116">
        <v>0</v>
      </c>
      <c r="R116" t="s">
        <v>637</v>
      </c>
      <c r="S116" t="str">
        <f>IFERROR(VLOOKUP(CONCATENATE(Fix_Mapping[[#This Row],[KODE BARANG]],1),'Form Fix'!$A$6:$F$286,4,0),0)</f>
        <v>052502500</v>
      </c>
      <c r="T116">
        <f>IFERROR(VLOOKUP(CONCATENATE(Fix_Mapping[[#This Row],[KODE BARANG]],2),'Form Fix'!$A$6:$F$286,4,0),0)</f>
        <v>0</v>
      </c>
      <c r="U116">
        <f>IFERROR(VLOOKUP(CONCATENATE(Fix_Mapping[[#This Row],[KODE BARANG]],3),'Form Fix'!$A$6:$F$286,4,0),0)</f>
        <v>0</v>
      </c>
      <c r="V116">
        <f>IFERROR(VLOOKUP(CONCATENATE(Fix_Mapping[[#This Row],[KODE BARANG]],4),'Form Fix'!$A$6:$F$286,4,0),0)</f>
        <v>0</v>
      </c>
      <c r="W116">
        <f>IFERROR(VLOOKUP(CONCATENATE(Fix_Mapping[[#This Row],[KODE BARANG]],5),'Form Fix'!$A$6:$F$286,4,0),0)</f>
        <v>0</v>
      </c>
    </row>
    <row r="117" spans="1:23">
      <c r="A117" t="s">
        <v>1173</v>
      </c>
      <c r="B117" t="s">
        <v>1193</v>
      </c>
      <c r="C117">
        <v>48</v>
      </c>
      <c r="D117" t="s">
        <v>671</v>
      </c>
      <c r="E117" t="s">
        <v>1054</v>
      </c>
      <c r="F117">
        <v>3336.5765765765759</v>
      </c>
      <c r="G117">
        <v>160155.67567567565</v>
      </c>
      <c r="H117">
        <v>3703.5999999999995</v>
      </c>
      <c r="I117">
        <v>177772.79999999999</v>
      </c>
      <c r="J117">
        <v>3603.6036036036035</v>
      </c>
      <c r="K117">
        <v>172972.97297297296</v>
      </c>
      <c r="L117">
        <v>4000</v>
      </c>
      <c r="M117">
        <v>192000</v>
      </c>
      <c r="O117">
        <v>0</v>
      </c>
      <c r="P117">
        <v>0</v>
      </c>
      <c r="Q117">
        <v>0</v>
      </c>
      <c r="R117" t="s">
        <v>637</v>
      </c>
      <c r="S117" t="str">
        <f>IFERROR(VLOOKUP(CONCATENATE(Fix_Mapping[[#This Row],[KODE BARANG]],1),'Form Fix'!$A$6:$F$286,4,0),0)</f>
        <v>052506000</v>
      </c>
      <c r="T117">
        <f>IFERROR(VLOOKUP(CONCATENATE(Fix_Mapping[[#This Row],[KODE BARANG]],2),'Form Fix'!$A$6:$F$286,4,0),0)</f>
        <v>0</v>
      </c>
      <c r="U117">
        <f>IFERROR(VLOOKUP(CONCATENATE(Fix_Mapping[[#This Row],[KODE BARANG]],3),'Form Fix'!$A$6:$F$286,4,0),0)</f>
        <v>0</v>
      </c>
      <c r="V117">
        <f>IFERROR(VLOOKUP(CONCATENATE(Fix_Mapping[[#This Row],[KODE BARANG]],4),'Form Fix'!$A$6:$F$286,4,0),0)</f>
        <v>0</v>
      </c>
      <c r="W117">
        <f>IFERROR(VLOOKUP(CONCATENATE(Fix_Mapping[[#This Row],[KODE BARANG]],5),'Form Fix'!$A$6:$F$286,4,0),0)</f>
        <v>0</v>
      </c>
    </row>
    <row r="118" spans="1:23">
      <c r="A118" t="s">
        <v>1174</v>
      </c>
      <c r="B118" t="s">
        <v>1194</v>
      </c>
      <c r="C118">
        <v>24</v>
      </c>
      <c r="D118" t="s">
        <v>671</v>
      </c>
      <c r="E118" t="s">
        <v>1054</v>
      </c>
      <c r="F118">
        <v>18351.171171171172</v>
      </c>
      <c r="G118">
        <v>440428.10810810816</v>
      </c>
      <c r="H118">
        <v>20369.800000000003</v>
      </c>
      <c r="I118">
        <v>488875.20000000013</v>
      </c>
      <c r="J118">
        <v>19819.819819819819</v>
      </c>
      <c r="K118">
        <v>475675.67567567562</v>
      </c>
      <c r="L118">
        <v>22000</v>
      </c>
      <c r="M118">
        <v>528000</v>
      </c>
      <c r="O118">
        <v>0</v>
      </c>
      <c r="P118">
        <v>0</v>
      </c>
      <c r="Q118">
        <v>0</v>
      </c>
      <c r="R118" t="s">
        <v>637</v>
      </c>
      <c r="S118" t="str">
        <f>IFERROR(VLOOKUP(CONCATENATE(Fix_Mapping[[#This Row],[KODE BARANG]],1),'Form Fix'!$A$6:$F$286,4,0),0)</f>
        <v>052502402</v>
      </c>
      <c r="T118">
        <f>IFERROR(VLOOKUP(CONCATENATE(Fix_Mapping[[#This Row],[KODE BARANG]],2),'Form Fix'!$A$6:$F$286,4,0),0)</f>
        <v>0</v>
      </c>
      <c r="U118">
        <f>IFERROR(VLOOKUP(CONCATENATE(Fix_Mapping[[#This Row],[KODE BARANG]],3),'Form Fix'!$A$6:$F$286,4,0),0)</f>
        <v>0</v>
      </c>
      <c r="V118">
        <f>IFERROR(VLOOKUP(CONCATENATE(Fix_Mapping[[#This Row],[KODE BARANG]],4),'Form Fix'!$A$6:$F$286,4,0),0)</f>
        <v>0</v>
      </c>
      <c r="W118">
        <f>IFERROR(VLOOKUP(CONCATENATE(Fix_Mapping[[#This Row],[KODE BARANG]],5),'Form Fix'!$A$6:$F$286,4,0),0)</f>
        <v>0</v>
      </c>
    </row>
    <row r="119" spans="1:23">
      <c r="A119" t="s">
        <v>1175</v>
      </c>
      <c r="B119" t="s">
        <v>1195</v>
      </c>
      <c r="C119">
        <v>24</v>
      </c>
      <c r="D119" t="s">
        <v>671</v>
      </c>
      <c r="E119" t="s">
        <v>1054</v>
      </c>
      <c r="F119">
        <v>18351.171171171172</v>
      </c>
      <c r="G119">
        <v>440428.10810810816</v>
      </c>
      <c r="H119">
        <v>20369.800000000003</v>
      </c>
      <c r="I119">
        <v>488875.20000000013</v>
      </c>
      <c r="J119">
        <v>19819.819819819819</v>
      </c>
      <c r="K119">
        <v>475675.67567567562</v>
      </c>
      <c r="L119">
        <v>22000</v>
      </c>
      <c r="M119">
        <v>528000</v>
      </c>
      <c r="O119">
        <v>0</v>
      </c>
      <c r="P119">
        <v>0</v>
      </c>
      <c r="Q119">
        <v>0</v>
      </c>
      <c r="R119" t="s">
        <v>637</v>
      </c>
      <c r="S119" t="str">
        <f>IFERROR(VLOOKUP(CONCATENATE(Fix_Mapping[[#This Row],[KODE BARANG]],1),'Form Fix'!$A$6:$F$286,4,0),0)</f>
        <v>052506702</v>
      </c>
      <c r="T119">
        <f>IFERROR(VLOOKUP(CONCATENATE(Fix_Mapping[[#This Row],[KODE BARANG]],2),'Form Fix'!$A$6:$F$286,4,0),0)</f>
        <v>0</v>
      </c>
      <c r="U119">
        <f>IFERROR(VLOOKUP(CONCATENATE(Fix_Mapping[[#This Row],[KODE BARANG]],3),'Form Fix'!$A$6:$F$286,4,0),0)</f>
        <v>0</v>
      </c>
      <c r="V119">
        <f>IFERROR(VLOOKUP(CONCATENATE(Fix_Mapping[[#This Row],[KODE BARANG]],4),'Form Fix'!$A$6:$F$286,4,0),0)</f>
        <v>0</v>
      </c>
      <c r="W119">
        <f>IFERROR(VLOOKUP(CONCATENATE(Fix_Mapping[[#This Row],[KODE BARANG]],5),'Form Fix'!$A$6:$F$286,4,0),0)</f>
        <v>0</v>
      </c>
    </row>
    <row r="120" spans="1:23">
      <c r="A120" t="s">
        <v>891</v>
      </c>
      <c r="B120" t="s">
        <v>1005</v>
      </c>
      <c r="C120">
        <v>24</v>
      </c>
      <c r="D120" t="s">
        <v>671</v>
      </c>
      <c r="E120" t="s">
        <v>1056</v>
      </c>
      <c r="F120">
        <v>18351.171171171172</v>
      </c>
      <c r="G120">
        <v>440428.10810810816</v>
      </c>
      <c r="H120">
        <v>20369.800000000003</v>
      </c>
      <c r="I120">
        <v>488875.20000000013</v>
      </c>
      <c r="J120">
        <v>19819.819819819819</v>
      </c>
      <c r="K120">
        <v>475675.67567567562</v>
      </c>
      <c r="L120">
        <v>22000</v>
      </c>
      <c r="M120">
        <v>528000</v>
      </c>
      <c r="O120">
        <v>0</v>
      </c>
      <c r="P120">
        <v>0</v>
      </c>
      <c r="Q120">
        <v>0</v>
      </c>
      <c r="R120" t="s">
        <v>637</v>
      </c>
      <c r="S120" t="str">
        <f>IFERROR(VLOOKUP(CONCATENATE(Fix_Mapping[[#This Row],[KODE BARANG]],1),'Form Fix'!$A$6:$F$286,4,0),0)</f>
        <v>052501600</v>
      </c>
      <c r="T120">
        <f>IFERROR(VLOOKUP(CONCATENATE(Fix_Mapping[[#This Row],[KODE BARANG]],2),'Form Fix'!$A$6:$F$286,4,0),0)</f>
        <v>0</v>
      </c>
      <c r="U120">
        <f>IFERROR(VLOOKUP(CONCATENATE(Fix_Mapping[[#This Row],[KODE BARANG]],3),'Form Fix'!$A$6:$F$286,4,0),0)</f>
        <v>0</v>
      </c>
      <c r="V120">
        <f>IFERROR(VLOOKUP(CONCATENATE(Fix_Mapping[[#This Row],[KODE BARANG]],4),'Form Fix'!$A$6:$F$286,4,0),0)</f>
        <v>0</v>
      </c>
      <c r="W120">
        <f>IFERROR(VLOOKUP(CONCATENATE(Fix_Mapping[[#This Row],[KODE BARANG]],5),'Form Fix'!$A$6:$F$286,4,0),0)</f>
        <v>0</v>
      </c>
    </row>
    <row r="121" spans="1:23">
      <c r="A121" t="s">
        <v>892</v>
      </c>
      <c r="B121" t="s">
        <v>1006</v>
      </c>
      <c r="C121">
        <v>24</v>
      </c>
      <c r="D121" t="s">
        <v>671</v>
      </c>
      <c r="E121" t="s">
        <v>1056</v>
      </c>
      <c r="F121">
        <v>18351.171171171172</v>
      </c>
      <c r="G121">
        <v>440428.10810810816</v>
      </c>
      <c r="H121">
        <v>20369.800000000003</v>
      </c>
      <c r="I121">
        <v>488875.20000000013</v>
      </c>
      <c r="J121">
        <v>19819.819819819819</v>
      </c>
      <c r="K121">
        <v>475675.67567567562</v>
      </c>
      <c r="L121">
        <v>22000</v>
      </c>
      <c r="M121">
        <v>528000</v>
      </c>
      <c r="O121">
        <v>0</v>
      </c>
      <c r="P121">
        <v>0</v>
      </c>
      <c r="Q121">
        <v>0</v>
      </c>
      <c r="R121" t="s">
        <v>637</v>
      </c>
      <c r="S121" t="str">
        <f>IFERROR(VLOOKUP(CONCATENATE(Fix_Mapping[[#This Row],[KODE BARANG]],1),'Form Fix'!$A$6:$F$286,4,0),0)</f>
        <v>052503400</v>
      </c>
      <c r="T121">
        <f>IFERROR(VLOOKUP(CONCATENATE(Fix_Mapping[[#This Row],[KODE BARANG]],2),'Form Fix'!$A$6:$F$286,4,0),0)</f>
        <v>0</v>
      </c>
      <c r="U121">
        <f>IFERROR(VLOOKUP(CONCATENATE(Fix_Mapping[[#This Row],[KODE BARANG]],3),'Form Fix'!$A$6:$F$286,4,0),0)</f>
        <v>0</v>
      </c>
      <c r="V121">
        <f>IFERROR(VLOOKUP(CONCATENATE(Fix_Mapping[[#This Row],[KODE BARANG]],4),'Form Fix'!$A$6:$F$286,4,0),0)</f>
        <v>0</v>
      </c>
      <c r="W121">
        <f>IFERROR(VLOOKUP(CONCATENATE(Fix_Mapping[[#This Row],[KODE BARANG]],5),'Form Fix'!$A$6:$F$286,4,0),0)</f>
        <v>0</v>
      </c>
    </row>
    <row r="122" spans="1:23">
      <c r="A122" t="s">
        <v>893</v>
      </c>
      <c r="B122" t="s">
        <v>1007</v>
      </c>
      <c r="C122">
        <v>24</v>
      </c>
      <c r="D122" t="s">
        <v>671</v>
      </c>
      <c r="E122" t="s">
        <v>1056</v>
      </c>
      <c r="F122">
        <v>18351.171171171172</v>
      </c>
      <c r="G122">
        <v>440428.10810810816</v>
      </c>
      <c r="H122">
        <v>20369.800000000003</v>
      </c>
      <c r="I122">
        <v>488875.20000000013</v>
      </c>
      <c r="J122">
        <v>19819.819819819819</v>
      </c>
      <c r="K122">
        <v>475675.67567567562</v>
      </c>
      <c r="L122">
        <v>22000</v>
      </c>
      <c r="M122">
        <v>528000</v>
      </c>
      <c r="O122">
        <v>0</v>
      </c>
      <c r="P122">
        <v>0</v>
      </c>
      <c r="Q122">
        <v>0</v>
      </c>
      <c r="R122" t="s">
        <v>637</v>
      </c>
      <c r="S122" t="str">
        <f>IFERROR(VLOOKUP(CONCATENATE(Fix_Mapping[[#This Row],[KODE BARANG]],1),'Form Fix'!$A$6:$F$286,4,0),0)</f>
        <v>052505400</v>
      </c>
      <c r="T122">
        <f>IFERROR(VLOOKUP(CONCATENATE(Fix_Mapping[[#This Row],[KODE BARANG]],2),'Form Fix'!$A$6:$F$286,4,0),0)</f>
        <v>0</v>
      </c>
      <c r="U122">
        <f>IFERROR(VLOOKUP(CONCATENATE(Fix_Mapping[[#This Row],[KODE BARANG]],3),'Form Fix'!$A$6:$F$286,4,0),0)</f>
        <v>0</v>
      </c>
      <c r="V122">
        <f>IFERROR(VLOOKUP(CONCATENATE(Fix_Mapping[[#This Row],[KODE BARANG]],4),'Form Fix'!$A$6:$F$286,4,0),0)</f>
        <v>0</v>
      </c>
      <c r="W122">
        <f>IFERROR(VLOOKUP(CONCATENATE(Fix_Mapping[[#This Row],[KODE BARANG]],5),'Form Fix'!$A$6:$F$286,4,0),0)</f>
        <v>0</v>
      </c>
    </row>
    <row r="123" spans="1:23">
      <c r="A123" t="s">
        <v>894</v>
      </c>
      <c r="B123" t="s">
        <v>1008</v>
      </c>
      <c r="C123">
        <v>24</v>
      </c>
      <c r="D123" t="s">
        <v>730</v>
      </c>
      <c r="E123" t="s">
        <v>1056</v>
      </c>
      <c r="F123">
        <v>31697.477477477474</v>
      </c>
      <c r="G123">
        <v>760739.45945945941</v>
      </c>
      <c r="H123">
        <v>35184.199999999997</v>
      </c>
      <c r="I123">
        <v>844420.8</v>
      </c>
      <c r="J123">
        <v>34234.234234234231</v>
      </c>
      <c r="K123">
        <v>821621.62162162154</v>
      </c>
      <c r="L123">
        <v>38000</v>
      </c>
      <c r="M123">
        <v>912000</v>
      </c>
      <c r="O123">
        <v>0</v>
      </c>
      <c r="P123">
        <v>0</v>
      </c>
      <c r="Q123">
        <v>0</v>
      </c>
      <c r="R123" t="s">
        <v>637</v>
      </c>
      <c r="S123" t="str">
        <f>IFERROR(VLOOKUP(CONCATENATE(Fix_Mapping[[#This Row],[KODE BARANG]],1),'Form Fix'!$A$6:$F$286,4,0),0)</f>
        <v>052501500</v>
      </c>
      <c r="T123">
        <f>IFERROR(VLOOKUP(CONCATENATE(Fix_Mapping[[#This Row],[KODE BARANG]],2),'Form Fix'!$A$6:$F$286,4,0),0)</f>
        <v>0</v>
      </c>
      <c r="U123">
        <f>IFERROR(VLOOKUP(CONCATENATE(Fix_Mapping[[#This Row],[KODE BARANG]],3),'Form Fix'!$A$6:$F$286,4,0),0)</f>
        <v>0</v>
      </c>
      <c r="V123">
        <f>IFERROR(VLOOKUP(CONCATENATE(Fix_Mapping[[#This Row],[KODE BARANG]],4),'Form Fix'!$A$6:$F$286,4,0),0)</f>
        <v>0</v>
      </c>
      <c r="W123">
        <f>IFERROR(VLOOKUP(CONCATENATE(Fix_Mapping[[#This Row],[KODE BARANG]],5),'Form Fix'!$A$6:$F$286,4,0),0)</f>
        <v>0</v>
      </c>
    </row>
    <row r="124" spans="1:23">
      <c r="A124" t="s">
        <v>895</v>
      </c>
      <c r="B124" t="s">
        <v>1009</v>
      </c>
      <c r="C124">
        <v>24</v>
      </c>
      <c r="D124" t="s">
        <v>730</v>
      </c>
      <c r="E124" t="s">
        <v>1056</v>
      </c>
      <c r="F124">
        <v>31697.477477477474</v>
      </c>
      <c r="G124">
        <v>760739.45945945941</v>
      </c>
      <c r="H124">
        <v>35184.199999999997</v>
      </c>
      <c r="I124">
        <v>844420.8</v>
      </c>
      <c r="J124">
        <v>34234.234234234231</v>
      </c>
      <c r="K124">
        <v>821621.62162162154</v>
      </c>
      <c r="L124">
        <v>38000</v>
      </c>
      <c r="M124">
        <v>912000</v>
      </c>
      <c r="O124">
        <v>0</v>
      </c>
      <c r="P124">
        <v>0</v>
      </c>
      <c r="Q124">
        <v>0</v>
      </c>
      <c r="R124" t="s">
        <v>637</v>
      </c>
      <c r="S124" t="str">
        <f>IFERROR(VLOOKUP(CONCATENATE(Fix_Mapping[[#This Row],[KODE BARANG]],1),'Form Fix'!$A$6:$F$286,4,0),0)</f>
        <v>052503500</v>
      </c>
      <c r="T124">
        <f>IFERROR(VLOOKUP(CONCATENATE(Fix_Mapping[[#This Row],[KODE BARANG]],2),'Form Fix'!$A$6:$F$286,4,0),0)</f>
        <v>0</v>
      </c>
      <c r="U124">
        <f>IFERROR(VLOOKUP(CONCATENATE(Fix_Mapping[[#This Row],[KODE BARANG]],3),'Form Fix'!$A$6:$F$286,4,0),0)</f>
        <v>0</v>
      </c>
      <c r="V124">
        <f>IFERROR(VLOOKUP(CONCATENATE(Fix_Mapping[[#This Row],[KODE BARANG]],4),'Form Fix'!$A$6:$F$286,4,0),0)</f>
        <v>0</v>
      </c>
      <c r="W124">
        <f>IFERROR(VLOOKUP(CONCATENATE(Fix_Mapping[[#This Row],[KODE BARANG]],5),'Form Fix'!$A$6:$F$286,4,0),0)</f>
        <v>0</v>
      </c>
    </row>
    <row r="125" spans="1:23">
      <c r="A125" t="s">
        <v>896</v>
      </c>
      <c r="B125" t="s">
        <v>1010</v>
      </c>
      <c r="C125">
        <v>24</v>
      </c>
      <c r="D125" t="s">
        <v>730</v>
      </c>
      <c r="E125" t="s">
        <v>1056</v>
      </c>
      <c r="F125">
        <v>31697.477477477474</v>
      </c>
      <c r="G125">
        <v>760739.45945945941</v>
      </c>
      <c r="H125">
        <v>35184.199999999997</v>
      </c>
      <c r="I125">
        <v>844420.8</v>
      </c>
      <c r="J125">
        <v>34234.234234234231</v>
      </c>
      <c r="K125">
        <v>821621.62162162154</v>
      </c>
      <c r="L125">
        <v>38000</v>
      </c>
      <c r="M125">
        <v>912000</v>
      </c>
      <c r="O125">
        <v>0</v>
      </c>
      <c r="P125">
        <v>0</v>
      </c>
      <c r="Q125">
        <v>0</v>
      </c>
      <c r="R125" t="s">
        <v>637</v>
      </c>
      <c r="S125" t="str">
        <f>IFERROR(VLOOKUP(CONCATENATE(Fix_Mapping[[#This Row],[KODE BARANG]],1),'Form Fix'!$A$6:$F$286,4,0),0)</f>
        <v>052505500</v>
      </c>
      <c r="T125">
        <f>IFERROR(VLOOKUP(CONCATENATE(Fix_Mapping[[#This Row],[KODE BARANG]],2),'Form Fix'!$A$6:$F$286,4,0),0)</f>
        <v>0</v>
      </c>
      <c r="U125">
        <f>IFERROR(VLOOKUP(CONCATENATE(Fix_Mapping[[#This Row],[KODE BARANG]],3),'Form Fix'!$A$6:$F$286,4,0),0)</f>
        <v>0</v>
      </c>
      <c r="V125">
        <f>IFERROR(VLOOKUP(CONCATENATE(Fix_Mapping[[#This Row],[KODE BARANG]],4),'Form Fix'!$A$6:$F$286,4,0),0)</f>
        <v>0</v>
      </c>
      <c r="W125">
        <f>IFERROR(VLOOKUP(CONCATENATE(Fix_Mapping[[#This Row],[KODE BARANG]],5),'Form Fix'!$A$6:$F$286,4,0),0)</f>
        <v>0</v>
      </c>
    </row>
    <row r="126" spans="1:23">
      <c r="A126" t="s">
        <v>1179</v>
      </c>
      <c r="B126" t="s">
        <v>1198</v>
      </c>
      <c r="C126">
        <v>6</v>
      </c>
      <c r="D126" t="s">
        <v>735</v>
      </c>
      <c r="E126" t="s">
        <v>1058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Q126">
        <v>0</v>
      </c>
      <c r="S126" t="str">
        <f>IFERROR(VLOOKUP(CONCATENATE(Fix_Mapping[[#This Row],[KODE BARANG]],1),'Form Fix'!$A$6:$F$286,4,0),0)</f>
        <v>042501702</v>
      </c>
      <c r="T126">
        <f>IFERROR(VLOOKUP(CONCATENATE(Fix_Mapping[[#This Row],[KODE BARANG]],2),'Form Fix'!$A$6:$F$286,4,0),0)</f>
        <v>0</v>
      </c>
      <c r="U126">
        <f>IFERROR(VLOOKUP(CONCATENATE(Fix_Mapping[[#This Row],[KODE BARANG]],3),'Form Fix'!$A$6:$F$286,4,0),0)</f>
        <v>0</v>
      </c>
      <c r="V126">
        <f>IFERROR(VLOOKUP(CONCATENATE(Fix_Mapping[[#This Row],[KODE BARANG]],4),'Form Fix'!$A$6:$F$286,4,0),0)</f>
        <v>0</v>
      </c>
      <c r="W126">
        <f>IFERROR(VLOOKUP(CONCATENATE(Fix_Mapping[[#This Row],[KODE BARANG]],5),'Form Fix'!$A$6:$F$286,4,0),0)</f>
        <v>0</v>
      </c>
    </row>
    <row r="127" spans="1:23">
      <c r="A127" t="s">
        <v>898</v>
      </c>
      <c r="B127" t="s">
        <v>1012</v>
      </c>
      <c r="C127">
        <v>72</v>
      </c>
      <c r="D127" t="s">
        <v>187</v>
      </c>
      <c r="E127" t="s">
        <v>1058</v>
      </c>
      <c r="F127">
        <v>2836.0900900900901</v>
      </c>
      <c r="G127">
        <v>204198.48648648648</v>
      </c>
      <c r="H127">
        <v>3148.0600000000004</v>
      </c>
      <c r="I127">
        <v>226660.32</v>
      </c>
      <c r="J127">
        <v>3063.0630630630631</v>
      </c>
      <c r="K127">
        <v>220540.54054054053</v>
      </c>
      <c r="L127">
        <v>3400.0000000000005</v>
      </c>
      <c r="M127">
        <v>244800</v>
      </c>
      <c r="O127">
        <v>0</v>
      </c>
      <c r="P127">
        <v>0</v>
      </c>
      <c r="Q127">
        <v>0</v>
      </c>
      <c r="R127" t="s">
        <v>637</v>
      </c>
      <c r="S127" t="str">
        <f>IFERROR(VLOOKUP(CONCATENATE(Fix_Mapping[[#This Row],[KODE BARANG]],1),'Form Fix'!$A$6:$F$286,4,0),0)</f>
        <v>042505001</v>
      </c>
      <c r="T127">
        <f>IFERROR(VLOOKUP(CONCATENATE(Fix_Mapping[[#This Row],[KODE BARANG]],2),'Form Fix'!$A$6:$F$286,4,0),0)</f>
        <v>0</v>
      </c>
      <c r="U127">
        <f>IFERROR(VLOOKUP(CONCATENATE(Fix_Mapping[[#This Row],[KODE BARANG]],3),'Form Fix'!$A$6:$F$286,4,0),0)</f>
        <v>0</v>
      </c>
      <c r="V127">
        <f>IFERROR(VLOOKUP(CONCATENATE(Fix_Mapping[[#This Row],[KODE BARANG]],4),'Form Fix'!$A$6:$F$286,4,0),0)</f>
        <v>0</v>
      </c>
      <c r="W127">
        <f>IFERROR(VLOOKUP(CONCATENATE(Fix_Mapping[[#This Row],[KODE BARANG]],5),'Form Fix'!$A$6:$F$286,4,0),0)</f>
        <v>0</v>
      </c>
    </row>
    <row r="128" spans="1:23">
      <c r="A128" t="s">
        <v>899</v>
      </c>
      <c r="B128" t="s">
        <v>1013</v>
      </c>
      <c r="C128">
        <v>24</v>
      </c>
      <c r="D128" t="s">
        <v>736</v>
      </c>
      <c r="E128" t="s">
        <v>1058</v>
      </c>
      <c r="F128">
        <v>7340.468468468468</v>
      </c>
      <c r="G128">
        <v>176171.24324324323</v>
      </c>
      <c r="H128">
        <v>8147.92</v>
      </c>
      <c r="I128">
        <v>195550.07999999999</v>
      </c>
      <c r="J128">
        <v>7927.9279279279281</v>
      </c>
      <c r="K128">
        <v>190270.27027027027</v>
      </c>
      <c r="L128">
        <v>8800.0000000000018</v>
      </c>
      <c r="M128">
        <v>211200</v>
      </c>
      <c r="O128">
        <v>0</v>
      </c>
      <c r="P128">
        <v>0</v>
      </c>
      <c r="Q128">
        <v>0</v>
      </c>
      <c r="R128" t="s">
        <v>637</v>
      </c>
      <c r="S128" t="str">
        <f>IFERROR(VLOOKUP(CONCATENATE(Fix_Mapping[[#This Row],[KODE BARANG]],1),'Form Fix'!$A$6:$F$286,4,0),0)</f>
        <v>042505800</v>
      </c>
      <c r="T128" t="str">
        <f>IFERROR(VLOOKUP(CONCATENATE(Fix_Mapping[[#This Row],[KODE BARANG]],2),'Form Fix'!$A$6:$F$286,4,0),0)</f>
        <v>042504004</v>
      </c>
      <c r="U128">
        <f>IFERROR(VLOOKUP(CONCATENATE(Fix_Mapping[[#This Row],[KODE BARANG]],3),'Form Fix'!$A$6:$F$286,4,0),0)</f>
        <v>0</v>
      </c>
      <c r="V128">
        <f>IFERROR(VLOOKUP(CONCATENATE(Fix_Mapping[[#This Row],[KODE BARANG]],4),'Form Fix'!$A$6:$F$286,4,0),0)</f>
        <v>0</v>
      </c>
      <c r="W128">
        <f>IFERROR(VLOOKUP(CONCATENATE(Fix_Mapping[[#This Row],[KODE BARANG]],5),'Form Fix'!$A$6:$F$286,4,0),0)</f>
        <v>0</v>
      </c>
    </row>
    <row r="129" spans="1:23">
      <c r="A129" t="s">
        <v>900</v>
      </c>
      <c r="B129" t="s">
        <v>1014</v>
      </c>
      <c r="C129">
        <v>24</v>
      </c>
      <c r="D129" t="s">
        <v>736</v>
      </c>
      <c r="E129" t="s">
        <v>1058</v>
      </c>
      <c r="F129">
        <v>7340.468468468468</v>
      </c>
      <c r="G129">
        <v>176171.24324324323</v>
      </c>
      <c r="H129">
        <v>8147.92</v>
      </c>
      <c r="I129">
        <v>195550.07999999999</v>
      </c>
      <c r="J129">
        <v>7927.9279279279281</v>
      </c>
      <c r="K129">
        <v>190270.27027027027</v>
      </c>
      <c r="L129">
        <v>8800.0000000000018</v>
      </c>
      <c r="M129">
        <v>211200</v>
      </c>
      <c r="O129">
        <v>0</v>
      </c>
      <c r="P129">
        <v>0</v>
      </c>
      <c r="Q129">
        <v>0</v>
      </c>
      <c r="R129" t="s">
        <v>637</v>
      </c>
      <c r="S129" t="str">
        <f>IFERROR(VLOOKUP(CONCATENATE(Fix_Mapping[[#This Row],[KODE BARANG]],1),'Form Fix'!$A$6:$F$286,4,0),0)</f>
        <v>042506800</v>
      </c>
      <c r="T129" t="str">
        <f>IFERROR(VLOOKUP(CONCATENATE(Fix_Mapping[[#This Row],[KODE BARANG]],2),'Form Fix'!$A$6:$F$286,4,0),0)</f>
        <v>042506008</v>
      </c>
      <c r="U129" t="str">
        <f>IFERROR(VLOOKUP(CONCATENATE(Fix_Mapping[[#This Row],[KODE BARANG]],3),'Form Fix'!$A$6:$F$286,4,0),0)</f>
        <v>042506012</v>
      </c>
      <c r="V129">
        <f>IFERROR(VLOOKUP(CONCATENATE(Fix_Mapping[[#This Row],[KODE BARANG]],4),'Form Fix'!$A$6:$F$286,4,0),0)</f>
        <v>0</v>
      </c>
      <c r="W129">
        <f>IFERROR(VLOOKUP(CONCATENATE(Fix_Mapping[[#This Row],[KODE BARANG]],5),'Form Fix'!$A$6:$F$286,4,0),0)</f>
        <v>0</v>
      </c>
    </row>
    <row r="130" spans="1:23">
      <c r="A130" t="s">
        <v>901</v>
      </c>
      <c r="B130" t="s">
        <v>1015</v>
      </c>
      <c r="C130">
        <v>24</v>
      </c>
      <c r="D130" t="s">
        <v>736</v>
      </c>
      <c r="E130" t="s">
        <v>1058</v>
      </c>
      <c r="F130">
        <v>7340.468468468468</v>
      </c>
      <c r="G130">
        <v>176171.24324324323</v>
      </c>
      <c r="H130">
        <v>8147.92</v>
      </c>
      <c r="I130">
        <v>195550.07999999999</v>
      </c>
      <c r="J130">
        <v>7927.9279279279281</v>
      </c>
      <c r="K130">
        <v>190270.27027027027</v>
      </c>
      <c r="L130">
        <v>8800.0000000000018</v>
      </c>
      <c r="M130">
        <v>211200</v>
      </c>
      <c r="O130">
        <v>0</v>
      </c>
      <c r="P130">
        <v>0</v>
      </c>
      <c r="Q130">
        <v>0</v>
      </c>
      <c r="R130" t="s">
        <v>637</v>
      </c>
      <c r="S130" t="str">
        <f>IFERROR(VLOOKUP(CONCATENATE(Fix_Mapping[[#This Row],[KODE BARANG]],1),'Form Fix'!$A$6:$F$286,4,0),0)</f>
        <v>042501800</v>
      </c>
      <c r="T130" t="str">
        <f>IFERROR(VLOOKUP(CONCATENATE(Fix_Mapping[[#This Row],[KODE BARANG]],2),'Form Fix'!$A$6:$F$286,4,0),0)</f>
        <v>042501008</v>
      </c>
      <c r="U130" t="str">
        <f>IFERROR(VLOOKUP(CONCATENATE(Fix_Mapping[[#This Row],[KODE BARANG]],3),'Form Fix'!$A$6:$F$286,4,0),0)</f>
        <v>042501011</v>
      </c>
      <c r="V130">
        <f>IFERROR(VLOOKUP(CONCATENATE(Fix_Mapping[[#This Row],[KODE BARANG]],4),'Form Fix'!$A$6:$F$286,4,0),0)</f>
        <v>0</v>
      </c>
      <c r="W130">
        <f>IFERROR(VLOOKUP(CONCATENATE(Fix_Mapping[[#This Row],[KODE BARANG]],5),'Form Fix'!$A$6:$F$286,4,0),0)</f>
        <v>0</v>
      </c>
    </row>
    <row r="131" spans="1:23">
      <c r="A131" t="s">
        <v>902</v>
      </c>
      <c r="B131" t="s">
        <v>1016</v>
      </c>
      <c r="C131">
        <v>24</v>
      </c>
      <c r="D131" t="s">
        <v>736</v>
      </c>
      <c r="E131" t="s">
        <v>1058</v>
      </c>
      <c r="F131">
        <v>7340.468468468468</v>
      </c>
      <c r="G131">
        <v>176171.24324324323</v>
      </c>
      <c r="H131">
        <v>8147.92</v>
      </c>
      <c r="I131">
        <v>195550.07999999999</v>
      </c>
      <c r="J131">
        <v>7927.9279279279281</v>
      </c>
      <c r="K131">
        <v>190270.27027027027</v>
      </c>
      <c r="L131">
        <v>8800.0000000000018</v>
      </c>
      <c r="M131">
        <v>211200</v>
      </c>
      <c r="O131">
        <v>0</v>
      </c>
      <c r="P131">
        <v>0</v>
      </c>
      <c r="Q131">
        <v>0</v>
      </c>
      <c r="R131" t="s">
        <v>637</v>
      </c>
      <c r="S131" t="str">
        <f>IFERROR(VLOOKUP(CONCATENATE(Fix_Mapping[[#This Row],[KODE BARANG]],1),'Form Fix'!$A$6:$F$286,4,0),0)</f>
        <v>042502800</v>
      </c>
      <c r="T131" t="str">
        <f>IFERROR(VLOOKUP(CONCATENATE(Fix_Mapping[[#This Row],[KODE BARANG]],2),'Form Fix'!$A$6:$F$286,4,0),0)</f>
        <v>042503004</v>
      </c>
      <c r="U131">
        <f>IFERROR(VLOOKUP(CONCATENATE(Fix_Mapping[[#This Row],[KODE BARANG]],3),'Form Fix'!$A$6:$F$286,4,0),0)</f>
        <v>0</v>
      </c>
      <c r="V131">
        <f>IFERROR(VLOOKUP(CONCATENATE(Fix_Mapping[[#This Row],[KODE BARANG]],4),'Form Fix'!$A$6:$F$286,4,0),0)</f>
        <v>0</v>
      </c>
      <c r="W131">
        <f>IFERROR(VLOOKUP(CONCATENATE(Fix_Mapping[[#This Row],[KODE BARANG]],5),'Form Fix'!$A$6:$F$286,4,0),0)</f>
        <v>0</v>
      </c>
    </row>
    <row r="132" spans="1:23">
      <c r="A132" t="s">
        <v>903</v>
      </c>
      <c r="B132" t="s">
        <v>1017</v>
      </c>
      <c r="C132">
        <v>24</v>
      </c>
      <c r="D132" t="s">
        <v>736</v>
      </c>
      <c r="E132" t="s">
        <v>1058</v>
      </c>
      <c r="F132">
        <v>7340.468468468468</v>
      </c>
      <c r="G132">
        <v>176171.24324324323</v>
      </c>
      <c r="H132">
        <v>8147.92</v>
      </c>
      <c r="I132">
        <v>195550.07999999999</v>
      </c>
      <c r="J132">
        <v>7927.9279279279281</v>
      </c>
      <c r="K132">
        <v>190270.27027027027</v>
      </c>
      <c r="L132">
        <v>8800.0000000000018</v>
      </c>
      <c r="M132">
        <v>211200</v>
      </c>
      <c r="O132">
        <v>0</v>
      </c>
      <c r="P132">
        <v>0</v>
      </c>
      <c r="Q132">
        <v>0</v>
      </c>
      <c r="R132" t="s">
        <v>637</v>
      </c>
      <c r="S132" t="str">
        <f>IFERROR(VLOOKUP(CONCATENATE(Fix_Mapping[[#This Row],[KODE BARANG]],1),'Form Fix'!$A$6:$F$286,4,0),0)</f>
        <v>042503800</v>
      </c>
      <c r="T132" t="str">
        <f>IFERROR(VLOOKUP(CONCATENATE(Fix_Mapping[[#This Row],[KODE BARANG]],2),'Form Fix'!$A$6:$F$286,4,0),0)</f>
        <v>042505005</v>
      </c>
      <c r="U132">
        <f>IFERROR(VLOOKUP(CONCATENATE(Fix_Mapping[[#This Row],[KODE BARANG]],3),'Form Fix'!$A$6:$F$286,4,0),0)</f>
        <v>0</v>
      </c>
      <c r="V132">
        <f>IFERROR(VLOOKUP(CONCATENATE(Fix_Mapping[[#This Row],[KODE BARANG]],4),'Form Fix'!$A$6:$F$286,4,0),0)</f>
        <v>0</v>
      </c>
      <c r="W132">
        <f>IFERROR(VLOOKUP(CONCATENATE(Fix_Mapping[[#This Row],[KODE BARANG]],5),'Form Fix'!$A$6:$F$286,4,0),0)</f>
        <v>0</v>
      </c>
    </row>
    <row r="133" spans="1:23">
      <c r="A133" t="s">
        <v>904</v>
      </c>
      <c r="B133" t="s">
        <v>1018</v>
      </c>
      <c r="C133">
        <v>24</v>
      </c>
      <c r="D133" t="s">
        <v>736</v>
      </c>
      <c r="E133" t="s">
        <v>1058</v>
      </c>
      <c r="F133">
        <v>7340.468468468468</v>
      </c>
      <c r="G133">
        <v>176171.24324324323</v>
      </c>
      <c r="H133">
        <v>8147.92</v>
      </c>
      <c r="I133">
        <v>195550.07999999999</v>
      </c>
      <c r="J133">
        <v>7927.9279279279281</v>
      </c>
      <c r="K133">
        <v>190270.27027027027</v>
      </c>
      <c r="L133">
        <v>8800.0000000000018</v>
      </c>
      <c r="M133">
        <v>211200</v>
      </c>
      <c r="O133">
        <v>0</v>
      </c>
      <c r="P133">
        <v>0</v>
      </c>
      <c r="Q133">
        <v>0</v>
      </c>
      <c r="R133" t="s">
        <v>637</v>
      </c>
      <c r="S133" t="str">
        <f>IFERROR(VLOOKUP(CONCATENATE(Fix_Mapping[[#This Row],[KODE BARANG]],1),'Form Fix'!$A$6:$F$286,4,0),0)</f>
        <v>042504800</v>
      </c>
      <c r="T133" t="str">
        <f>IFERROR(VLOOKUP(CONCATENATE(Fix_Mapping[[#This Row],[KODE BARANG]],2),'Form Fix'!$A$6:$F$286,4,0),0)</f>
        <v>042502008</v>
      </c>
      <c r="U133">
        <f>IFERROR(VLOOKUP(CONCATENATE(Fix_Mapping[[#This Row],[KODE BARANG]],3),'Form Fix'!$A$6:$F$286,4,0),0)</f>
        <v>0</v>
      </c>
      <c r="V133">
        <f>IFERROR(VLOOKUP(CONCATENATE(Fix_Mapping[[#This Row],[KODE BARANG]],4),'Form Fix'!$A$6:$F$286,4,0),0)</f>
        <v>0</v>
      </c>
      <c r="W133">
        <f>IFERROR(VLOOKUP(CONCATENATE(Fix_Mapping[[#This Row],[KODE BARANG]],5),'Form Fix'!$A$6:$F$286,4,0),0)</f>
        <v>0</v>
      </c>
    </row>
    <row r="134" spans="1:23">
      <c r="A134" t="s">
        <v>1177</v>
      </c>
      <c r="B134" t="s">
        <v>1196</v>
      </c>
      <c r="C134">
        <v>18</v>
      </c>
      <c r="D134" t="s">
        <v>736</v>
      </c>
      <c r="E134" t="s">
        <v>1058</v>
      </c>
      <c r="F134">
        <v>9342.4144144144138</v>
      </c>
      <c r="G134">
        <v>168163.45945945944</v>
      </c>
      <c r="H134">
        <v>10370.08</v>
      </c>
      <c r="I134">
        <v>186661.44</v>
      </c>
      <c r="J134">
        <v>10090.090090090089</v>
      </c>
      <c r="K134">
        <v>181621.6216216216</v>
      </c>
      <c r="L134">
        <v>11200</v>
      </c>
      <c r="M134">
        <v>201600</v>
      </c>
      <c r="O134">
        <v>0</v>
      </c>
      <c r="P134">
        <v>0</v>
      </c>
      <c r="Q134">
        <v>0</v>
      </c>
      <c r="R134" t="s">
        <v>637</v>
      </c>
      <c r="S134" t="str">
        <f>IFERROR(VLOOKUP(CONCATENATE(Fix_Mapping[[#This Row],[KODE BARANG]],1),'Form Fix'!$A$6:$F$286,4,0),0)</f>
        <v>042502500</v>
      </c>
      <c r="T134" t="str">
        <f>IFERROR(VLOOKUP(CONCATENATE(Fix_Mapping[[#This Row],[KODE BARANG]],2),'Form Fix'!$A$6:$F$286,4,0),0)</f>
        <v>042502501</v>
      </c>
      <c r="U134">
        <f>IFERROR(VLOOKUP(CONCATENATE(Fix_Mapping[[#This Row],[KODE BARANG]],3),'Form Fix'!$A$6:$F$286,4,0),0)</f>
        <v>0</v>
      </c>
      <c r="V134">
        <f>IFERROR(VLOOKUP(CONCATENATE(Fix_Mapping[[#This Row],[KODE BARANG]],4),'Form Fix'!$A$6:$F$286,4,0),0)</f>
        <v>0</v>
      </c>
      <c r="W134">
        <f>IFERROR(VLOOKUP(CONCATENATE(Fix_Mapping[[#This Row],[KODE BARANG]],5),'Form Fix'!$A$6:$F$286,4,0),0)</f>
        <v>0</v>
      </c>
    </row>
    <row r="135" spans="1:23">
      <c r="A135" t="s">
        <v>1178</v>
      </c>
      <c r="B135" t="s">
        <v>1197</v>
      </c>
      <c r="C135">
        <v>18</v>
      </c>
      <c r="D135" t="s">
        <v>736</v>
      </c>
      <c r="E135" t="s">
        <v>1058</v>
      </c>
      <c r="F135">
        <v>8675.0990990990995</v>
      </c>
      <c r="G135">
        <v>156151.78378378379</v>
      </c>
      <c r="H135">
        <v>9629.36</v>
      </c>
      <c r="I135">
        <v>173328.48</v>
      </c>
      <c r="J135">
        <v>9369.3693693693695</v>
      </c>
      <c r="K135">
        <v>168648.64864864864</v>
      </c>
      <c r="L135">
        <v>10400.000000000002</v>
      </c>
      <c r="M135">
        <v>187200</v>
      </c>
      <c r="O135">
        <v>0</v>
      </c>
      <c r="P135">
        <v>0</v>
      </c>
      <c r="Q135">
        <v>0</v>
      </c>
      <c r="R135" t="s">
        <v>637</v>
      </c>
      <c r="S135">
        <f>IFERROR(VLOOKUP(CONCATENATE(Fix_Mapping[[#This Row],[KODE BARANG]],1),'Form Fix'!$A$6:$F$286,4,0),0)</f>
        <v>0</v>
      </c>
      <c r="T135">
        <f>IFERROR(VLOOKUP(CONCATENATE(Fix_Mapping[[#This Row],[KODE BARANG]],2),'Form Fix'!$A$6:$F$286,4,0),0)</f>
        <v>0</v>
      </c>
      <c r="U135" t="str">
        <f>IFERROR(VLOOKUP(CONCATENATE(Fix_Mapping[[#This Row],[KODE BARANG]],3),'Form Fix'!$A$6:$F$286,4,0),0)</f>
        <v>042502503</v>
      </c>
      <c r="V135">
        <f>IFERROR(VLOOKUP(CONCATENATE(Fix_Mapping[[#This Row],[KODE BARANG]],4),'Form Fix'!$A$6:$F$286,4,0),0)</f>
        <v>0</v>
      </c>
      <c r="W135">
        <f>IFERROR(VLOOKUP(CONCATENATE(Fix_Mapping[[#This Row],[KODE BARANG]],5),'Form Fix'!$A$6:$F$286,4,0),0)</f>
        <v>0</v>
      </c>
    </row>
    <row r="136" spans="1:23">
      <c r="A136" t="s">
        <v>1180</v>
      </c>
      <c r="B136" t="s">
        <v>1198</v>
      </c>
      <c r="C136">
        <v>6</v>
      </c>
      <c r="D136" t="s">
        <v>735</v>
      </c>
      <c r="E136" t="s">
        <v>1058</v>
      </c>
      <c r="F136">
        <v>34033.08108108108</v>
      </c>
      <c r="G136">
        <v>204198.48648648648</v>
      </c>
      <c r="H136">
        <v>37776.720000000001</v>
      </c>
      <c r="I136">
        <v>226660.32</v>
      </c>
      <c r="J136">
        <v>36756.756756756753</v>
      </c>
      <c r="K136">
        <v>220540.54054054053</v>
      </c>
      <c r="L136">
        <v>40800</v>
      </c>
      <c r="M136">
        <v>244800</v>
      </c>
      <c r="O136">
        <v>0</v>
      </c>
      <c r="P136">
        <v>0</v>
      </c>
      <c r="Q136">
        <v>0</v>
      </c>
      <c r="R136" t="s">
        <v>637</v>
      </c>
      <c r="S136" t="str">
        <f>IFERROR(VLOOKUP(CONCATENATE(Fix_Mapping[[#This Row],[KODE BARANG]],1),'Form Fix'!$A$6:$F$286,4,0),0)</f>
        <v>042501703</v>
      </c>
      <c r="T136">
        <f>IFERROR(VLOOKUP(CONCATENATE(Fix_Mapping[[#This Row],[KODE BARANG]],2),'Form Fix'!$A$6:$F$286,4,0),0)</f>
        <v>0</v>
      </c>
      <c r="U136">
        <f>IFERROR(VLOOKUP(CONCATENATE(Fix_Mapping[[#This Row],[KODE BARANG]],3),'Form Fix'!$A$6:$F$286,4,0),0)</f>
        <v>0</v>
      </c>
      <c r="V136">
        <f>IFERROR(VLOOKUP(CONCATENATE(Fix_Mapping[[#This Row],[KODE BARANG]],4),'Form Fix'!$A$6:$F$286,4,0),0)</f>
        <v>0</v>
      </c>
      <c r="W136">
        <f>IFERROR(VLOOKUP(CONCATENATE(Fix_Mapping[[#This Row],[KODE BARANG]],5),'Form Fix'!$A$6:$F$286,4,0),0)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G177"/>
  <sheetViews>
    <sheetView workbookViewId="0">
      <selection activeCell="C17" sqref="C17"/>
    </sheetView>
  </sheetViews>
  <sheetFormatPr defaultRowHeight="15"/>
  <cols>
    <col min="1" max="1" width="23.7109375" bestFit="1" customWidth="1"/>
    <col min="2" max="2" width="57.140625" bestFit="1" customWidth="1"/>
    <col min="3" max="7" width="16.5703125" bestFit="1" customWidth="1"/>
  </cols>
  <sheetData>
    <row r="1" spans="1:7">
      <c r="A1" s="4" t="s">
        <v>29</v>
      </c>
      <c r="B1" s="4" t="s">
        <v>21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</row>
    <row r="2" spans="1:7">
      <c r="A2" t="s">
        <v>789</v>
      </c>
      <c r="B2" t="s">
        <v>905</v>
      </c>
      <c r="C2" t="str">
        <f>IFERROR(VLOOKUP(CONCATENATE(Table43_1[[#This Row],[Kode BARANG Win2]],1),'Form Fix'!$A$6:$F$205,4,0),0)</f>
        <v>040411111</v>
      </c>
      <c r="D2">
        <f>IFERROR(VLOOKUP(CONCATENATE(Table43_1[[#This Row],[Kode BARANG Win2]],2),'Form Fix'!$A$6:$F$205,4,0),0)</f>
        <v>0</v>
      </c>
      <c r="E2">
        <f>IFERROR(VLOOKUP(CONCATENATE(Table43_1[[#This Row],[Kode BARANG Win2]],3),'Form Fix'!$A$6:$F$205,4,0),0)</f>
        <v>0</v>
      </c>
      <c r="F2">
        <f>IFERROR(VLOOKUP(CONCATENATE(Table43_1[[#This Row],[Kode BARANG Win2]],4),'Form Fix'!$A$6:$F$205,4,0),0)</f>
        <v>0</v>
      </c>
      <c r="G2">
        <f>IFERROR(VLOOKUP(CONCATENATE(Table43_1[[#This Row],[Kode BARANG Win2]],5),'Form Fix'!$A$6:$F$205,4,0),0)</f>
        <v>0</v>
      </c>
    </row>
    <row r="3" spans="1:7">
      <c r="A3" t="s">
        <v>790</v>
      </c>
      <c r="B3" t="s">
        <v>907</v>
      </c>
      <c r="C3" t="str">
        <f>IFERROR(VLOOKUP(CONCATENATE(Table43_1[[#This Row],[Kode BARANG Win2]],1),'Form Fix'!$A$6:$F$205,4,0),0)</f>
        <v>050413100</v>
      </c>
      <c r="D3">
        <f>IFERROR(VLOOKUP(CONCATENATE(Table43_1[[#This Row],[Kode BARANG Win2]],2),'Form Fix'!$A$6:$F$205,4,0),0)</f>
        <v>0</v>
      </c>
      <c r="E3">
        <f>IFERROR(VLOOKUP(CONCATENATE(Table43_1[[#This Row],[Kode BARANG Win2]],3),'Form Fix'!$A$6:$F$205,4,0),0)</f>
        <v>0</v>
      </c>
      <c r="F3">
        <f>IFERROR(VLOOKUP(CONCATENATE(Table43_1[[#This Row],[Kode BARANG Win2]],4),'Form Fix'!$A$6:$F$205,4,0),0)</f>
        <v>0</v>
      </c>
      <c r="G3">
        <f>IFERROR(VLOOKUP(CONCATENATE(Table43_1[[#This Row],[Kode BARANG Win2]],5),'Form Fix'!$A$6:$F$205,4,0),0)</f>
        <v>0</v>
      </c>
    </row>
    <row r="4" spans="1:7">
      <c r="A4" t="s">
        <v>791</v>
      </c>
      <c r="B4" t="s">
        <v>908</v>
      </c>
      <c r="C4" t="str">
        <f>IFERROR(VLOOKUP(CONCATENATE(Table43_1[[#This Row],[Kode BARANG Win2]],1),'Form Fix'!$A$6:$F$205,4,0),0)</f>
        <v>050415100</v>
      </c>
      <c r="D4">
        <f>IFERROR(VLOOKUP(CONCATENATE(Table43_1[[#This Row],[Kode BARANG Win2]],2),'Form Fix'!$A$6:$F$205,4,0),0)</f>
        <v>0</v>
      </c>
      <c r="E4">
        <f>IFERROR(VLOOKUP(CONCATENATE(Table43_1[[#This Row],[Kode BARANG Win2]],3),'Form Fix'!$A$6:$F$205,4,0),0)</f>
        <v>0</v>
      </c>
      <c r="F4">
        <f>IFERROR(VLOOKUP(CONCATENATE(Table43_1[[#This Row],[Kode BARANG Win2]],4),'Form Fix'!$A$6:$F$205,4,0),0)</f>
        <v>0</v>
      </c>
      <c r="G4">
        <f>IFERROR(VLOOKUP(CONCATENATE(Table43_1[[#This Row],[Kode BARANG Win2]],5),'Form Fix'!$A$6:$F$205,4,0),0)</f>
        <v>0</v>
      </c>
    </row>
    <row r="5" spans="1:7">
      <c r="A5" t="s">
        <v>792</v>
      </c>
      <c r="B5" t="s">
        <v>909</v>
      </c>
      <c r="C5" t="str">
        <f>IFERROR(VLOOKUP(CONCATENATE(Table43_1[[#This Row],[Kode BARANG Win2]],1),'Form Fix'!$A$6:$F$205,4,0),0)</f>
        <v>050413200</v>
      </c>
      <c r="D5">
        <f>IFERROR(VLOOKUP(CONCATENATE(Table43_1[[#This Row],[Kode BARANG Win2]],2),'Form Fix'!$A$6:$F$205,4,0),0)</f>
        <v>0</v>
      </c>
      <c r="E5">
        <f>IFERROR(VLOOKUP(CONCATENATE(Table43_1[[#This Row],[Kode BARANG Win2]],3),'Form Fix'!$A$6:$F$205,4,0),0)</f>
        <v>0</v>
      </c>
      <c r="F5">
        <f>IFERROR(VLOOKUP(CONCATENATE(Table43_1[[#This Row],[Kode BARANG Win2]],4),'Form Fix'!$A$6:$F$205,4,0),0)</f>
        <v>0</v>
      </c>
      <c r="G5">
        <f>IFERROR(VLOOKUP(CONCATENATE(Table43_1[[#This Row],[Kode BARANG Win2]],5),'Form Fix'!$A$6:$F$205,4,0),0)</f>
        <v>0</v>
      </c>
    </row>
    <row r="6" spans="1:7">
      <c r="A6" t="s">
        <v>793</v>
      </c>
      <c r="B6" t="s">
        <v>910</v>
      </c>
      <c r="C6" t="str">
        <f>IFERROR(VLOOKUP(CONCATENATE(Table43_1[[#This Row],[Kode BARANG Win2]],1),'Form Fix'!$A$6:$F$205,4,0),0)</f>
        <v>050415200</v>
      </c>
      <c r="D6">
        <f>IFERROR(VLOOKUP(CONCATENATE(Table43_1[[#This Row],[Kode BARANG Win2]],2),'Form Fix'!$A$6:$F$205,4,0),0)</f>
        <v>0</v>
      </c>
      <c r="E6">
        <f>IFERROR(VLOOKUP(CONCATENATE(Table43_1[[#This Row],[Kode BARANG Win2]],3),'Form Fix'!$A$6:$F$205,4,0),0)</f>
        <v>0</v>
      </c>
      <c r="F6">
        <f>IFERROR(VLOOKUP(CONCATENATE(Table43_1[[#This Row],[Kode BARANG Win2]],4),'Form Fix'!$A$6:$F$205,4,0),0)</f>
        <v>0</v>
      </c>
      <c r="G6">
        <f>IFERROR(VLOOKUP(CONCATENATE(Table43_1[[#This Row],[Kode BARANG Win2]],5),'Form Fix'!$A$6:$F$205,4,0),0)</f>
        <v>0</v>
      </c>
    </row>
    <row r="7" spans="1:7">
      <c r="A7" t="s">
        <v>794</v>
      </c>
      <c r="B7" t="s">
        <v>911</v>
      </c>
      <c r="C7" t="str">
        <f>IFERROR(VLOOKUP(CONCATENATE(Table43_1[[#This Row],[Kode BARANG Win2]],1),'Form Fix'!$A$6:$F$205,4,0),0)</f>
        <v>040413100</v>
      </c>
      <c r="D7">
        <f>IFERROR(VLOOKUP(CONCATENATE(Table43_1[[#This Row],[Kode BARANG Win2]],2),'Form Fix'!$A$6:$F$205,4,0),0)</f>
        <v>0</v>
      </c>
      <c r="E7">
        <f>IFERROR(VLOOKUP(CONCATENATE(Table43_1[[#This Row],[Kode BARANG Win2]],3),'Form Fix'!$A$6:$F$205,4,0),0)</f>
        <v>0</v>
      </c>
      <c r="F7">
        <f>IFERROR(VLOOKUP(CONCATENATE(Table43_1[[#This Row],[Kode BARANG Win2]],4),'Form Fix'!$A$6:$F$205,4,0),0)</f>
        <v>0</v>
      </c>
      <c r="G7">
        <f>IFERROR(VLOOKUP(CONCATENATE(Table43_1[[#This Row],[Kode BARANG Win2]],5),'Form Fix'!$A$6:$F$205,4,0),0)</f>
        <v>0</v>
      </c>
    </row>
    <row r="8" spans="1:7">
      <c r="A8" t="s">
        <v>795</v>
      </c>
      <c r="B8" t="s">
        <v>912</v>
      </c>
      <c r="C8" t="str">
        <f>IFERROR(VLOOKUP(CONCATENATE(Table43_1[[#This Row],[Kode BARANG Win2]],1),'Form Fix'!$A$6:$F$205,4,0),0)</f>
        <v>040415100</v>
      </c>
      <c r="D8">
        <f>IFERROR(VLOOKUP(CONCATENATE(Table43_1[[#This Row],[Kode BARANG Win2]],2),'Form Fix'!$A$6:$F$205,4,0),0)</f>
        <v>0</v>
      </c>
      <c r="E8">
        <f>IFERROR(VLOOKUP(CONCATENATE(Table43_1[[#This Row],[Kode BARANG Win2]],3),'Form Fix'!$A$6:$F$205,4,0),0)</f>
        <v>0</v>
      </c>
      <c r="F8">
        <f>IFERROR(VLOOKUP(CONCATENATE(Table43_1[[#This Row],[Kode BARANG Win2]],4),'Form Fix'!$A$6:$F$205,4,0),0)</f>
        <v>0</v>
      </c>
      <c r="G8">
        <f>IFERROR(VLOOKUP(CONCATENATE(Table43_1[[#This Row],[Kode BARANG Win2]],5),'Form Fix'!$A$6:$F$205,4,0),0)</f>
        <v>0</v>
      </c>
    </row>
    <row r="9" spans="1:7">
      <c r="A9" t="s">
        <v>796</v>
      </c>
      <c r="B9" t="s">
        <v>913</v>
      </c>
      <c r="C9" t="str">
        <f>IFERROR(VLOOKUP(CONCATENATE(Table43_1[[#This Row],[Kode BARANG Win2]],1),'Form Fix'!$A$6:$F$205,4,0),0)</f>
        <v>040402200</v>
      </c>
      <c r="D9">
        <f>IFERROR(VLOOKUP(CONCATENATE(Table43_1[[#This Row],[Kode BARANG Win2]],2),'Form Fix'!$A$6:$F$205,4,0),0)</f>
        <v>0</v>
      </c>
      <c r="E9">
        <f>IFERROR(VLOOKUP(CONCATENATE(Table43_1[[#This Row],[Kode BARANG Win2]],3),'Form Fix'!$A$6:$F$205,4,0),0)</f>
        <v>0</v>
      </c>
      <c r="F9">
        <f>IFERROR(VLOOKUP(CONCATENATE(Table43_1[[#This Row],[Kode BARANG Win2]],4),'Form Fix'!$A$6:$F$205,4,0),0)</f>
        <v>0</v>
      </c>
      <c r="G9">
        <f>IFERROR(VLOOKUP(CONCATENATE(Table43_1[[#This Row],[Kode BARANG Win2]],5),'Form Fix'!$A$6:$F$205,4,0),0)</f>
        <v>0</v>
      </c>
    </row>
    <row r="10" spans="1:7">
      <c r="A10" t="s">
        <v>797</v>
      </c>
      <c r="B10" t="s">
        <v>914</v>
      </c>
      <c r="C10" t="str">
        <f>IFERROR(VLOOKUP(CONCATENATE(Table43_1[[#This Row],[Kode BARANG Win2]],1),'Form Fix'!$A$6:$F$205,4,0),0)</f>
        <v>050703100</v>
      </c>
      <c r="D10">
        <f>IFERROR(VLOOKUP(CONCATENATE(Table43_1[[#This Row],[Kode BARANG Win2]],2),'Form Fix'!$A$6:$F$205,4,0),0)</f>
        <v>0</v>
      </c>
      <c r="E10">
        <f>IFERROR(VLOOKUP(CONCATENATE(Table43_1[[#This Row],[Kode BARANG Win2]],3),'Form Fix'!$A$6:$F$205,4,0),0)</f>
        <v>0</v>
      </c>
      <c r="F10">
        <f>IFERROR(VLOOKUP(CONCATENATE(Table43_1[[#This Row],[Kode BARANG Win2]],4),'Form Fix'!$A$6:$F$205,4,0),0)</f>
        <v>0</v>
      </c>
      <c r="G10">
        <f>IFERROR(VLOOKUP(CONCATENATE(Table43_1[[#This Row],[Kode BARANG Win2]],5),'Form Fix'!$A$6:$F$205,4,0),0)</f>
        <v>0</v>
      </c>
    </row>
    <row r="11" spans="1:7">
      <c r="A11" t="s">
        <v>1238</v>
      </c>
      <c r="B11" t="s">
        <v>1247</v>
      </c>
      <c r="C11" t="str">
        <f>IFERROR(VLOOKUP(CONCATENATE(Table43_1[[#This Row],[Kode BARANG Win2]],1),'Form Fix'!$A$6:$F$205,4,0),0)</f>
        <v>050703100</v>
      </c>
      <c r="D11">
        <f>IFERROR(VLOOKUP(CONCATENATE(Table43_1[[#This Row],[Kode BARANG Win2]],2),'Form Fix'!$A$6:$F$205,4,0),0)</f>
        <v>0</v>
      </c>
      <c r="E11">
        <f>IFERROR(VLOOKUP(CONCATENATE(Table43_1[[#This Row],[Kode BARANG Win2]],3),'Form Fix'!$A$6:$F$205,4,0),0)</f>
        <v>0</v>
      </c>
      <c r="F11">
        <f>IFERROR(VLOOKUP(CONCATENATE(Table43_1[[#This Row],[Kode BARANG Win2]],4),'Form Fix'!$A$6:$F$205,4,0),0)</f>
        <v>0</v>
      </c>
      <c r="G11">
        <f>IFERROR(VLOOKUP(CONCATENATE(Table43_1[[#This Row],[Kode BARANG Win2]],5),'Form Fix'!$A$6:$F$205,4,0),0)</f>
        <v>0</v>
      </c>
    </row>
    <row r="12" spans="1:7">
      <c r="A12" t="s">
        <v>798</v>
      </c>
      <c r="B12" t="s">
        <v>915</v>
      </c>
      <c r="C12" t="str">
        <f>IFERROR(VLOOKUP(CONCATENATE(Table43_1[[#This Row],[Kode BARANG Win2]],1),'Form Fix'!$A$6:$F$205,4,0),0)</f>
        <v>050702100</v>
      </c>
      <c r="D12">
        <f>IFERROR(VLOOKUP(CONCATENATE(Table43_1[[#This Row],[Kode BARANG Win2]],2),'Form Fix'!$A$6:$F$205,4,0),0)</f>
        <v>0</v>
      </c>
      <c r="E12">
        <f>IFERROR(VLOOKUP(CONCATENATE(Table43_1[[#This Row],[Kode BARANG Win2]],3),'Form Fix'!$A$6:$F$205,4,0),0)</f>
        <v>0</v>
      </c>
      <c r="F12">
        <f>IFERROR(VLOOKUP(CONCATENATE(Table43_1[[#This Row],[Kode BARANG Win2]],4),'Form Fix'!$A$6:$F$205,4,0),0)</f>
        <v>0</v>
      </c>
      <c r="G12">
        <f>IFERROR(VLOOKUP(CONCATENATE(Table43_1[[#This Row],[Kode BARANG Win2]],5),'Form Fix'!$A$6:$F$205,4,0),0)</f>
        <v>0</v>
      </c>
    </row>
    <row r="13" spans="1:7">
      <c r="A13" t="s">
        <v>799</v>
      </c>
      <c r="B13" t="s">
        <v>916</v>
      </c>
      <c r="C13" t="str">
        <f>IFERROR(VLOOKUP(CONCATENATE(Table43_1[[#This Row],[Kode BARANG Win2]],1),'Form Fix'!$A$6:$F$205,4,0),0)</f>
        <v>050701100</v>
      </c>
      <c r="D13">
        <f>IFERROR(VLOOKUP(CONCATENATE(Table43_1[[#This Row],[Kode BARANG Win2]],2),'Form Fix'!$A$6:$F$205,4,0),0)</f>
        <v>0</v>
      </c>
      <c r="E13">
        <f>IFERROR(VLOOKUP(CONCATENATE(Table43_1[[#This Row],[Kode BARANG Win2]],3),'Form Fix'!$A$6:$F$205,4,0),0)</f>
        <v>0</v>
      </c>
      <c r="F13">
        <f>IFERROR(VLOOKUP(CONCATENATE(Table43_1[[#This Row],[Kode BARANG Win2]],4),'Form Fix'!$A$6:$F$205,4,0),0)</f>
        <v>0</v>
      </c>
      <c r="G13">
        <f>IFERROR(VLOOKUP(CONCATENATE(Table43_1[[#This Row],[Kode BARANG Win2]],5),'Form Fix'!$A$6:$F$205,4,0),0)</f>
        <v>0</v>
      </c>
    </row>
    <row r="14" spans="1:7">
      <c r="A14" t="s">
        <v>800</v>
      </c>
      <c r="B14" t="s">
        <v>917</v>
      </c>
      <c r="C14" t="str">
        <f>IFERROR(VLOOKUP(CONCATENATE(Table43_1[[#This Row],[Kode BARANG Win2]],1),'Form Fix'!$A$6:$F$205,4,0),0)</f>
        <v>050703101</v>
      </c>
      <c r="D14">
        <f>IFERROR(VLOOKUP(CONCATENATE(Table43_1[[#This Row],[Kode BARANG Win2]],2),'Form Fix'!$A$6:$F$205,4,0),0)</f>
        <v>0</v>
      </c>
      <c r="E14">
        <f>IFERROR(VLOOKUP(CONCATENATE(Table43_1[[#This Row],[Kode BARANG Win2]],3),'Form Fix'!$A$6:$F$205,4,0),0)</f>
        <v>0</v>
      </c>
      <c r="F14">
        <f>IFERROR(VLOOKUP(CONCATENATE(Table43_1[[#This Row],[Kode BARANG Win2]],4),'Form Fix'!$A$6:$F$205,4,0),0)</f>
        <v>0</v>
      </c>
      <c r="G14">
        <f>IFERROR(VLOOKUP(CONCATENATE(Table43_1[[#This Row],[Kode BARANG Win2]],5),'Form Fix'!$A$6:$F$205,4,0),0)</f>
        <v>0</v>
      </c>
    </row>
    <row r="15" spans="1:7">
      <c r="A15" t="s">
        <v>801</v>
      </c>
      <c r="B15" t="s">
        <v>918</v>
      </c>
      <c r="C15" t="str">
        <f>IFERROR(VLOOKUP(CONCATENATE(Table43_1[[#This Row],[Kode BARANG Win2]],1),'Form Fix'!$A$6:$F$205,4,0),0)</f>
        <v>050702101</v>
      </c>
      <c r="D15">
        <f>IFERROR(VLOOKUP(CONCATENATE(Table43_1[[#This Row],[Kode BARANG Win2]],2),'Form Fix'!$A$6:$F$205,4,0),0)</f>
        <v>0</v>
      </c>
      <c r="E15">
        <f>IFERROR(VLOOKUP(CONCATENATE(Table43_1[[#This Row],[Kode BARANG Win2]],3),'Form Fix'!$A$6:$F$205,4,0),0)</f>
        <v>0</v>
      </c>
      <c r="F15">
        <f>IFERROR(VLOOKUP(CONCATENATE(Table43_1[[#This Row],[Kode BARANG Win2]],4),'Form Fix'!$A$6:$F$205,4,0),0)</f>
        <v>0</v>
      </c>
      <c r="G15">
        <f>IFERROR(VLOOKUP(CONCATENATE(Table43_1[[#This Row],[Kode BARANG Win2]],5),'Form Fix'!$A$6:$F$205,4,0),0)</f>
        <v>0</v>
      </c>
    </row>
    <row r="16" spans="1:7">
      <c r="A16" t="s">
        <v>802</v>
      </c>
      <c r="B16" t="s">
        <v>919</v>
      </c>
      <c r="C16" t="str">
        <f>IFERROR(VLOOKUP(CONCATENATE(Table43_1[[#This Row],[Kode BARANG Win2]],1),'Form Fix'!$A$6:$F$205,4,0),0)</f>
        <v>050701101</v>
      </c>
      <c r="D16">
        <f>IFERROR(VLOOKUP(CONCATENATE(Table43_1[[#This Row],[Kode BARANG Win2]],2),'Form Fix'!$A$6:$F$205,4,0),0)</f>
        <v>0</v>
      </c>
      <c r="E16">
        <f>IFERROR(VLOOKUP(CONCATENATE(Table43_1[[#This Row],[Kode BARANG Win2]],3),'Form Fix'!$A$6:$F$205,4,0),0)</f>
        <v>0</v>
      </c>
      <c r="F16">
        <f>IFERROR(VLOOKUP(CONCATENATE(Table43_1[[#This Row],[Kode BARANG Win2]],4),'Form Fix'!$A$6:$F$205,4,0),0)</f>
        <v>0</v>
      </c>
      <c r="G16">
        <f>IFERROR(VLOOKUP(CONCATENATE(Table43_1[[#This Row],[Kode BARANG Win2]],5),'Form Fix'!$A$6:$F$205,4,0),0)</f>
        <v>0</v>
      </c>
    </row>
    <row r="17" spans="1:7">
      <c r="A17" t="s">
        <v>803</v>
      </c>
      <c r="B17" t="s">
        <v>920</v>
      </c>
      <c r="C17" t="str">
        <f>IFERROR(VLOOKUP(CONCATENATE(Table43_1[[#This Row],[Kode BARANG Win2]],1),'Form Fix'!$A$6:$F$205,4,0),0)</f>
        <v>040703101</v>
      </c>
      <c r="D17">
        <f>IFERROR(VLOOKUP(CONCATENATE(Table43_1[[#This Row],[Kode BARANG Win2]],2),'Form Fix'!$A$6:$F$205,4,0),0)</f>
        <v>0</v>
      </c>
      <c r="E17">
        <f>IFERROR(VLOOKUP(CONCATENATE(Table43_1[[#This Row],[Kode BARANG Win2]],3),'Form Fix'!$A$6:$F$205,4,0),0)</f>
        <v>0</v>
      </c>
      <c r="F17">
        <f>IFERROR(VLOOKUP(CONCATENATE(Table43_1[[#This Row],[Kode BARANG Win2]],4),'Form Fix'!$A$6:$F$205,4,0),0)</f>
        <v>0</v>
      </c>
      <c r="G17">
        <f>IFERROR(VLOOKUP(CONCATENATE(Table43_1[[#This Row],[Kode BARANG Win2]],5),'Form Fix'!$A$6:$F$205,4,0),0)</f>
        <v>0</v>
      </c>
    </row>
    <row r="18" spans="1:7">
      <c r="A18" t="s">
        <v>804</v>
      </c>
      <c r="B18" t="s">
        <v>921</v>
      </c>
      <c r="C18" t="str">
        <f>IFERROR(VLOOKUP(CONCATENATE(Table43_1[[#This Row],[Kode BARANG Win2]],1),'Form Fix'!$A$6:$F$205,4,0),0)</f>
        <v>040703100</v>
      </c>
      <c r="D18">
        <f>IFERROR(VLOOKUP(CONCATENATE(Table43_1[[#This Row],[Kode BARANG Win2]],2),'Form Fix'!$A$6:$F$205,4,0),0)</f>
        <v>0</v>
      </c>
      <c r="E18">
        <f>IFERROR(VLOOKUP(CONCATENATE(Table43_1[[#This Row],[Kode BARANG Win2]],3),'Form Fix'!$A$6:$F$205,4,0),0)</f>
        <v>0</v>
      </c>
      <c r="F18">
        <f>IFERROR(VLOOKUP(CONCATENATE(Table43_1[[#This Row],[Kode BARANG Win2]],4),'Form Fix'!$A$6:$F$205,4,0),0)</f>
        <v>0</v>
      </c>
      <c r="G18">
        <f>IFERROR(VLOOKUP(CONCATENATE(Table43_1[[#This Row],[Kode BARANG Win2]],5),'Form Fix'!$A$6:$F$205,4,0),0)</f>
        <v>0</v>
      </c>
    </row>
    <row r="19" spans="1:7">
      <c r="A19" t="s">
        <v>805</v>
      </c>
      <c r="B19" t="s">
        <v>922</v>
      </c>
      <c r="C19" t="str">
        <f>IFERROR(VLOOKUP(CONCATENATE(Table43_1[[#This Row],[Kode BARANG Win2]],1),'Form Fix'!$A$6:$F$205,4,0),0)</f>
        <v>040702101</v>
      </c>
      <c r="D19">
        <f>IFERROR(VLOOKUP(CONCATENATE(Table43_1[[#This Row],[Kode BARANG Win2]],2),'Form Fix'!$A$6:$F$205,4,0),0)</f>
        <v>0</v>
      </c>
      <c r="E19">
        <f>IFERROR(VLOOKUP(CONCATENATE(Table43_1[[#This Row],[Kode BARANG Win2]],3),'Form Fix'!$A$6:$F$205,4,0),0)</f>
        <v>0</v>
      </c>
      <c r="F19">
        <f>IFERROR(VLOOKUP(CONCATENATE(Table43_1[[#This Row],[Kode BARANG Win2]],4),'Form Fix'!$A$6:$F$205,4,0),0)</f>
        <v>0</v>
      </c>
      <c r="G19">
        <f>IFERROR(VLOOKUP(CONCATENATE(Table43_1[[#This Row],[Kode BARANG Win2]],5),'Form Fix'!$A$6:$F$205,4,0),0)</f>
        <v>0</v>
      </c>
    </row>
    <row r="20" spans="1:7">
      <c r="A20" t="s">
        <v>806</v>
      </c>
      <c r="B20" t="s">
        <v>923</v>
      </c>
      <c r="C20" t="str">
        <f>IFERROR(VLOOKUP(CONCATENATE(Table43_1[[#This Row],[Kode BARANG Win2]],1),'Form Fix'!$A$6:$F$205,4,0),0)</f>
        <v>040702100</v>
      </c>
      <c r="D20">
        <f>IFERROR(VLOOKUP(CONCATENATE(Table43_1[[#This Row],[Kode BARANG Win2]],2),'Form Fix'!$A$6:$F$205,4,0),0)</f>
        <v>0</v>
      </c>
      <c r="E20">
        <f>IFERROR(VLOOKUP(CONCATENATE(Table43_1[[#This Row],[Kode BARANG Win2]],3),'Form Fix'!$A$6:$F$205,4,0),0)</f>
        <v>0</v>
      </c>
      <c r="F20">
        <f>IFERROR(VLOOKUP(CONCATENATE(Table43_1[[#This Row],[Kode BARANG Win2]],4),'Form Fix'!$A$6:$F$205,4,0),0)</f>
        <v>0</v>
      </c>
      <c r="G20">
        <f>IFERROR(VLOOKUP(CONCATENATE(Table43_1[[#This Row],[Kode BARANG Win2]],5),'Form Fix'!$A$6:$F$205,4,0),0)</f>
        <v>0</v>
      </c>
    </row>
    <row r="21" spans="1:7">
      <c r="A21" t="s">
        <v>807</v>
      </c>
      <c r="B21" t="s">
        <v>924</v>
      </c>
      <c r="C21" t="str">
        <f>IFERROR(VLOOKUP(CONCATENATE(Table43_1[[#This Row],[Kode BARANG Win2]],1),'Form Fix'!$A$6:$F$205,4,0),0)</f>
        <v>040701101</v>
      </c>
      <c r="D21">
        <f>IFERROR(VLOOKUP(CONCATENATE(Table43_1[[#This Row],[Kode BARANG Win2]],2),'Form Fix'!$A$6:$F$205,4,0),0)</f>
        <v>0</v>
      </c>
      <c r="E21">
        <f>IFERROR(VLOOKUP(CONCATENATE(Table43_1[[#This Row],[Kode BARANG Win2]],3),'Form Fix'!$A$6:$F$205,4,0),0)</f>
        <v>0</v>
      </c>
      <c r="F21">
        <f>IFERROR(VLOOKUP(CONCATENATE(Table43_1[[#This Row],[Kode BARANG Win2]],4),'Form Fix'!$A$6:$F$205,4,0),0)</f>
        <v>0</v>
      </c>
      <c r="G21">
        <f>IFERROR(VLOOKUP(CONCATENATE(Table43_1[[#This Row],[Kode BARANG Win2]],5),'Form Fix'!$A$6:$F$205,4,0),0)</f>
        <v>0</v>
      </c>
    </row>
    <row r="22" spans="1:7">
      <c r="A22" t="s">
        <v>808</v>
      </c>
      <c r="B22" t="s">
        <v>925</v>
      </c>
      <c r="C22" t="str">
        <f>IFERROR(VLOOKUP(CONCATENATE(Table43_1[[#This Row],[Kode BARANG Win2]],1),'Form Fix'!$A$6:$F$205,4,0),0)</f>
        <v>040701100</v>
      </c>
      <c r="D22">
        <f>IFERROR(VLOOKUP(CONCATENATE(Table43_1[[#This Row],[Kode BARANG Win2]],2),'Form Fix'!$A$6:$F$205,4,0),0)</f>
        <v>0</v>
      </c>
      <c r="E22">
        <f>IFERROR(VLOOKUP(CONCATENATE(Table43_1[[#This Row],[Kode BARANG Win2]],3),'Form Fix'!$A$6:$F$205,4,0),0)</f>
        <v>0</v>
      </c>
      <c r="F22">
        <f>IFERROR(VLOOKUP(CONCATENATE(Table43_1[[#This Row],[Kode BARANG Win2]],4),'Form Fix'!$A$6:$F$205,4,0),0)</f>
        <v>0</v>
      </c>
      <c r="G22">
        <f>IFERROR(VLOOKUP(CONCATENATE(Table43_1[[#This Row],[Kode BARANG Win2]],5),'Form Fix'!$A$6:$F$205,4,0),0)</f>
        <v>0</v>
      </c>
    </row>
    <row r="23" spans="1:7">
      <c r="A23" t="s">
        <v>809</v>
      </c>
      <c r="B23" t="s">
        <v>926</v>
      </c>
      <c r="C23" t="str">
        <f>IFERROR(VLOOKUP(CONCATENATE(Table43_1[[#This Row],[Kode BARANG Win2]],1),'Form Fix'!$A$6:$F$205,4,0),0)</f>
        <v>070703292</v>
      </c>
      <c r="D23">
        <f>IFERROR(VLOOKUP(CONCATENATE(Table43_1[[#This Row],[Kode BARANG Win2]],2),'Form Fix'!$A$6:$F$205,4,0),0)</f>
        <v>0</v>
      </c>
      <c r="E23">
        <f>IFERROR(VLOOKUP(CONCATENATE(Table43_1[[#This Row],[Kode BARANG Win2]],3),'Form Fix'!$A$6:$F$205,4,0),0)</f>
        <v>0</v>
      </c>
      <c r="F23">
        <f>IFERROR(VLOOKUP(CONCATENATE(Table43_1[[#This Row],[Kode BARANG Win2]],4),'Form Fix'!$A$6:$F$205,4,0),0)</f>
        <v>0</v>
      </c>
      <c r="G23">
        <f>IFERROR(VLOOKUP(CONCATENATE(Table43_1[[#This Row],[Kode BARANG Win2]],5),'Form Fix'!$A$6:$F$205,4,0),0)</f>
        <v>0</v>
      </c>
    </row>
    <row r="24" spans="1:7">
      <c r="A24" t="s">
        <v>810</v>
      </c>
      <c r="B24" t="s">
        <v>927</v>
      </c>
      <c r="C24" t="str">
        <f>IFERROR(VLOOKUP(CONCATENATE(Table43_1[[#This Row],[Kode BARANG Win2]],1),'Form Fix'!$A$6:$F$205,4,0),0)</f>
        <v>070702292</v>
      </c>
      <c r="D24">
        <f>IFERROR(VLOOKUP(CONCATENATE(Table43_1[[#This Row],[Kode BARANG Win2]],2),'Form Fix'!$A$6:$F$205,4,0),0)</f>
        <v>0</v>
      </c>
      <c r="E24">
        <f>IFERROR(VLOOKUP(CONCATENATE(Table43_1[[#This Row],[Kode BARANG Win2]],3),'Form Fix'!$A$6:$F$205,4,0),0)</f>
        <v>0</v>
      </c>
      <c r="F24">
        <f>IFERROR(VLOOKUP(CONCATENATE(Table43_1[[#This Row],[Kode BARANG Win2]],4),'Form Fix'!$A$6:$F$205,4,0),0)</f>
        <v>0</v>
      </c>
      <c r="G24">
        <f>IFERROR(VLOOKUP(CONCATENATE(Table43_1[[#This Row],[Kode BARANG Win2]],5),'Form Fix'!$A$6:$F$205,4,0),0)</f>
        <v>0</v>
      </c>
    </row>
    <row r="25" spans="1:7">
      <c r="A25" t="s">
        <v>811</v>
      </c>
      <c r="B25" t="s">
        <v>928</v>
      </c>
      <c r="C25" t="str">
        <f>IFERROR(VLOOKUP(CONCATENATE(Table43_1[[#This Row],[Kode BARANG Win2]],1),'Form Fix'!$A$6:$F$205,4,0),0)</f>
        <v>070702391</v>
      </c>
      <c r="D25" t="str">
        <f>IFERROR(VLOOKUP(CONCATENATE(Table43_1[[#This Row],[Kode BARANG Win2]],2),'Form Fix'!$A$6:$F$205,4,0),0)</f>
        <v>070702000</v>
      </c>
      <c r="E25">
        <f>IFERROR(VLOOKUP(CONCATENATE(Table43_1[[#This Row],[Kode BARANG Win2]],3),'Form Fix'!$A$6:$F$205,4,0),0)</f>
        <v>0</v>
      </c>
      <c r="F25">
        <f>IFERROR(VLOOKUP(CONCATENATE(Table43_1[[#This Row],[Kode BARANG Win2]],4),'Form Fix'!$A$6:$F$205,4,0),0)</f>
        <v>0</v>
      </c>
      <c r="G25">
        <f>IFERROR(VLOOKUP(CONCATENATE(Table43_1[[#This Row],[Kode BARANG Win2]],5),'Form Fix'!$A$6:$F$205,4,0),0)</f>
        <v>0</v>
      </c>
    </row>
    <row r="26" spans="1:7">
      <c r="A26" t="s">
        <v>1239</v>
      </c>
      <c r="B26" t="s">
        <v>1248</v>
      </c>
      <c r="C26">
        <f>IFERROR(VLOOKUP(CONCATENATE(Table43_1[[#This Row],[Kode BARANG Win2]],1),'Form Fix'!$A$6:$F$205,4,0),0)</f>
        <v>0</v>
      </c>
      <c r="D26">
        <f>IFERROR(VLOOKUP(CONCATENATE(Table43_1[[#This Row],[Kode BARANG Win2]],2),'Form Fix'!$A$6:$F$205,4,0),0)</f>
        <v>0</v>
      </c>
      <c r="E26" t="str">
        <f>IFERROR(VLOOKUP(CONCATENATE(Table43_1[[#This Row],[Kode BARANG Win2]],3),'Form Fix'!$A$6:$F$205,4,0),0)</f>
        <v>070702000</v>
      </c>
      <c r="F26">
        <f>IFERROR(VLOOKUP(CONCATENATE(Table43_1[[#This Row],[Kode BARANG Win2]],4),'Form Fix'!$A$6:$F$205,4,0),0)</f>
        <v>0</v>
      </c>
      <c r="G26">
        <f>IFERROR(VLOOKUP(CONCATENATE(Table43_1[[#This Row],[Kode BARANG Win2]],5),'Form Fix'!$A$6:$F$205,4,0),0)</f>
        <v>0</v>
      </c>
    </row>
    <row r="27" spans="1:7">
      <c r="A27" t="s">
        <v>812</v>
      </c>
      <c r="B27" t="s">
        <v>929</v>
      </c>
      <c r="C27" t="str">
        <f>IFERROR(VLOOKUP(CONCATENATE(Table43_1[[#This Row],[Kode BARANG Win2]],1),'Form Fix'!$A$6:$F$205,4,0),0)</f>
        <v>070701292</v>
      </c>
      <c r="D27">
        <f>IFERROR(VLOOKUP(CONCATENATE(Table43_1[[#This Row],[Kode BARANG Win2]],2),'Form Fix'!$A$6:$F$205,4,0),0)</f>
        <v>0</v>
      </c>
      <c r="E27">
        <f>IFERROR(VLOOKUP(CONCATENATE(Table43_1[[#This Row],[Kode BARANG Win2]],3),'Form Fix'!$A$6:$F$205,4,0),0)</f>
        <v>0</v>
      </c>
      <c r="F27">
        <f>IFERROR(VLOOKUP(CONCATENATE(Table43_1[[#This Row],[Kode BARANG Win2]],4),'Form Fix'!$A$6:$F$205,4,0),0)</f>
        <v>0</v>
      </c>
      <c r="G27">
        <f>IFERROR(VLOOKUP(CONCATENATE(Table43_1[[#This Row],[Kode BARANG Win2]],5),'Form Fix'!$A$6:$F$205,4,0),0)</f>
        <v>0</v>
      </c>
    </row>
    <row r="28" spans="1:7">
      <c r="A28" t="s">
        <v>813</v>
      </c>
      <c r="B28" t="s">
        <v>930</v>
      </c>
      <c r="C28" t="str">
        <f>IFERROR(VLOOKUP(CONCATENATE(Table43_1[[#This Row],[Kode BARANG Win2]],1),'Form Fix'!$A$6:$F$205,4,0),0)</f>
        <v>070701000</v>
      </c>
      <c r="D28">
        <f>IFERROR(VLOOKUP(CONCATENATE(Table43_1[[#This Row],[Kode BARANG Win2]],2),'Form Fix'!$A$6:$F$205,4,0),0)</f>
        <v>0</v>
      </c>
      <c r="E28">
        <f>IFERROR(VLOOKUP(CONCATENATE(Table43_1[[#This Row],[Kode BARANG Win2]],3),'Form Fix'!$A$6:$F$205,4,0),0)</f>
        <v>0</v>
      </c>
      <c r="F28">
        <f>IFERROR(VLOOKUP(CONCATENATE(Table43_1[[#This Row],[Kode BARANG Win2]],4),'Form Fix'!$A$6:$F$205,4,0),0)</f>
        <v>0</v>
      </c>
      <c r="G28">
        <f>IFERROR(VLOOKUP(CONCATENATE(Table43_1[[#This Row],[Kode BARANG Win2]],5),'Form Fix'!$A$6:$F$205,4,0),0)</f>
        <v>0</v>
      </c>
    </row>
    <row r="29" spans="1:7">
      <c r="A29" t="s">
        <v>1240</v>
      </c>
      <c r="B29" t="s">
        <v>1249</v>
      </c>
      <c r="C29">
        <f>IFERROR(VLOOKUP(CONCATENATE(Table43_1[[#This Row],[Kode BARANG Win2]],1),'Form Fix'!$A$6:$F$205,4,0),0)</f>
        <v>0</v>
      </c>
      <c r="D29" t="str">
        <f>IFERROR(VLOOKUP(CONCATENATE(Table43_1[[#This Row],[Kode BARANG Win2]],2),'Form Fix'!$A$6:$F$205,4,0),0)</f>
        <v>070701000</v>
      </c>
      <c r="E29">
        <f>IFERROR(VLOOKUP(CONCATENATE(Table43_1[[#This Row],[Kode BARANG Win2]],3),'Form Fix'!$A$6:$F$205,4,0),0)</f>
        <v>0</v>
      </c>
      <c r="F29">
        <f>IFERROR(VLOOKUP(CONCATENATE(Table43_1[[#This Row],[Kode BARANG Win2]],4),'Form Fix'!$A$6:$F$205,4,0),0)</f>
        <v>0</v>
      </c>
      <c r="G29">
        <f>IFERROR(VLOOKUP(CONCATENATE(Table43_1[[#This Row],[Kode BARANG Win2]],5),'Form Fix'!$A$6:$F$205,4,0),0)</f>
        <v>0</v>
      </c>
    </row>
    <row r="30" spans="1:7">
      <c r="A30" t="s">
        <v>814</v>
      </c>
      <c r="B30" t="s">
        <v>931</v>
      </c>
      <c r="C30" t="str">
        <f>IFERROR(VLOOKUP(CONCATENATE(Table43_1[[#This Row],[Kode BARANG Win2]],1),'Form Fix'!$A$6:$F$205,4,0),0)</f>
        <v>052602001</v>
      </c>
      <c r="D30">
        <f>IFERROR(VLOOKUP(CONCATENATE(Table43_1[[#This Row],[Kode BARANG Win2]],2),'Form Fix'!$A$6:$F$205,4,0),0)</f>
        <v>0</v>
      </c>
      <c r="E30">
        <f>IFERROR(VLOOKUP(CONCATENATE(Table43_1[[#This Row],[Kode BARANG Win2]],3),'Form Fix'!$A$6:$F$205,4,0),0)</f>
        <v>0</v>
      </c>
      <c r="F30">
        <f>IFERROR(VLOOKUP(CONCATENATE(Table43_1[[#This Row],[Kode BARANG Win2]],4),'Form Fix'!$A$6:$F$205,4,0),0)</f>
        <v>0</v>
      </c>
      <c r="G30">
        <f>IFERROR(VLOOKUP(CONCATENATE(Table43_1[[#This Row],[Kode BARANG Win2]],5),'Form Fix'!$A$6:$F$205,4,0),0)</f>
        <v>0</v>
      </c>
    </row>
    <row r="31" spans="1:7">
      <c r="A31" t="s">
        <v>815</v>
      </c>
      <c r="B31" t="s">
        <v>932</v>
      </c>
      <c r="C31" t="str">
        <f>IFERROR(VLOOKUP(CONCATENATE(Table43_1[[#This Row],[Kode BARANG Win2]],1),'Form Fix'!$A$6:$F$205,4,0),0)</f>
        <v>050701293</v>
      </c>
      <c r="D31">
        <f>IFERROR(VLOOKUP(CONCATENATE(Table43_1[[#This Row],[Kode BARANG Win2]],2),'Form Fix'!$A$6:$F$205,4,0),0)</f>
        <v>0</v>
      </c>
      <c r="E31">
        <f>IFERROR(VLOOKUP(CONCATENATE(Table43_1[[#This Row],[Kode BARANG Win2]],3),'Form Fix'!$A$6:$F$205,4,0),0)</f>
        <v>0</v>
      </c>
      <c r="F31">
        <f>IFERROR(VLOOKUP(CONCATENATE(Table43_1[[#This Row],[Kode BARANG Win2]],4),'Form Fix'!$A$6:$F$205,4,0),0)</f>
        <v>0</v>
      </c>
      <c r="G31">
        <f>IFERROR(VLOOKUP(CONCATENATE(Table43_1[[#This Row],[Kode BARANG Win2]],5),'Form Fix'!$A$6:$F$205,4,0),0)</f>
        <v>0</v>
      </c>
    </row>
    <row r="32" spans="1:7">
      <c r="A32" t="s">
        <v>816</v>
      </c>
      <c r="B32" t="s">
        <v>933</v>
      </c>
      <c r="C32" t="str">
        <f>IFERROR(VLOOKUP(CONCATENATE(Table43_1[[#This Row],[Kode BARANG Win2]],1),'Form Fix'!$A$6:$F$205,4,0),0)</f>
        <v>072601000</v>
      </c>
      <c r="D32">
        <f>IFERROR(VLOOKUP(CONCATENATE(Table43_1[[#This Row],[Kode BARANG Win2]],2),'Form Fix'!$A$6:$F$205,4,0),0)</f>
        <v>0</v>
      </c>
      <c r="E32">
        <f>IFERROR(VLOOKUP(CONCATENATE(Table43_1[[#This Row],[Kode BARANG Win2]],3),'Form Fix'!$A$6:$F$205,4,0),0)</f>
        <v>0</v>
      </c>
      <c r="F32">
        <f>IFERROR(VLOOKUP(CONCATENATE(Table43_1[[#This Row],[Kode BARANG Win2]],4),'Form Fix'!$A$6:$F$205,4,0),0)</f>
        <v>0</v>
      </c>
      <c r="G32">
        <f>IFERROR(VLOOKUP(CONCATENATE(Table43_1[[#This Row],[Kode BARANG Win2]],5),'Form Fix'!$A$6:$F$205,4,0),0)</f>
        <v>0</v>
      </c>
    </row>
    <row r="33" spans="1:7">
      <c r="A33" t="s">
        <v>817</v>
      </c>
      <c r="B33" t="s">
        <v>934</v>
      </c>
      <c r="C33" t="str">
        <f>IFERROR(VLOOKUP(CONCATENATE(Table43_1[[#This Row],[Kode BARANG Win2]],1),'Form Fix'!$A$6:$F$205,4,0),0)</f>
        <v>050704293</v>
      </c>
      <c r="D33">
        <f>IFERROR(VLOOKUP(CONCATENATE(Table43_1[[#This Row],[Kode BARANG Win2]],2),'Form Fix'!$A$6:$F$205,4,0),0)</f>
        <v>0</v>
      </c>
      <c r="E33">
        <f>IFERROR(VLOOKUP(CONCATENATE(Table43_1[[#This Row],[Kode BARANG Win2]],3),'Form Fix'!$A$6:$F$205,4,0),0)</f>
        <v>0</v>
      </c>
      <c r="F33">
        <f>IFERROR(VLOOKUP(CONCATENATE(Table43_1[[#This Row],[Kode BARANG Win2]],4),'Form Fix'!$A$6:$F$205,4,0),0)</f>
        <v>0</v>
      </c>
      <c r="G33">
        <f>IFERROR(VLOOKUP(CONCATENATE(Table43_1[[#This Row],[Kode BARANG Win2]],5),'Form Fix'!$A$6:$F$205,4,0),0)</f>
        <v>0</v>
      </c>
    </row>
    <row r="34" spans="1:7">
      <c r="A34" t="s">
        <v>818</v>
      </c>
      <c r="B34" t="s">
        <v>935</v>
      </c>
      <c r="C34" t="str">
        <f>IFERROR(VLOOKUP(CONCATENATE(Table43_1[[#This Row],[Kode BARANG Win2]],1),'Form Fix'!$A$6:$F$205,4,0),0)</f>
        <v>072604000</v>
      </c>
      <c r="D34">
        <f>IFERROR(VLOOKUP(CONCATENATE(Table43_1[[#This Row],[Kode BARANG Win2]],2),'Form Fix'!$A$6:$F$205,4,0),0)</f>
        <v>0</v>
      </c>
      <c r="E34">
        <f>IFERROR(VLOOKUP(CONCATENATE(Table43_1[[#This Row],[Kode BARANG Win2]],3),'Form Fix'!$A$6:$F$205,4,0),0)</f>
        <v>0</v>
      </c>
      <c r="F34">
        <f>IFERROR(VLOOKUP(CONCATENATE(Table43_1[[#This Row],[Kode BARANG Win2]],4),'Form Fix'!$A$6:$F$205,4,0),0)</f>
        <v>0</v>
      </c>
      <c r="G34">
        <f>IFERROR(VLOOKUP(CONCATENATE(Table43_1[[#This Row],[Kode BARANG Win2]],5),'Form Fix'!$A$6:$F$205,4,0),0)</f>
        <v>0</v>
      </c>
    </row>
    <row r="35" spans="1:7">
      <c r="A35" t="s">
        <v>819</v>
      </c>
      <c r="B35" t="s">
        <v>936</v>
      </c>
      <c r="C35" t="str">
        <f>IFERROR(VLOOKUP(CONCATENATE(Table43_1[[#This Row],[Kode BARANG Win2]],1),'Form Fix'!$A$6:$F$205,4,0),0)</f>
        <v>050702293</v>
      </c>
      <c r="D35">
        <f>IFERROR(VLOOKUP(CONCATENATE(Table43_1[[#This Row],[Kode BARANG Win2]],2),'Form Fix'!$A$6:$F$205,4,0),0)</f>
        <v>0</v>
      </c>
      <c r="E35">
        <f>IFERROR(VLOOKUP(CONCATENATE(Table43_1[[#This Row],[Kode BARANG Win2]],3),'Form Fix'!$A$6:$F$205,4,0),0)</f>
        <v>0</v>
      </c>
      <c r="F35">
        <f>IFERROR(VLOOKUP(CONCATENATE(Table43_1[[#This Row],[Kode BARANG Win2]],4),'Form Fix'!$A$6:$F$205,4,0),0)</f>
        <v>0</v>
      </c>
      <c r="G35">
        <f>IFERROR(VLOOKUP(CONCATENATE(Table43_1[[#This Row],[Kode BARANG Win2]],5),'Form Fix'!$A$6:$F$205,4,0),0)</f>
        <v>0</v>
      </c>
    </row>
    <row r="36" spans="1:7">
      <c r="A36" t="s">
        <v>820</v>
      </c>
      <c r="B36" t="s">
        <v>937</v>
      </c>
      <c r="C36" t="str">
        <f>IFERROR(VLOOKUP(CONCATENATE(Table43_1[[#This Row],[Kode BARANG Win2]],1),'Form Fix'!$A$6:$F$205,4,0),0)</f>
        <v>072602000</v>
      </c>
      <c r="D36">
        <f>IFERROR(VLOOKUP(CONCATENATE(Table43_1[[#This Row],[Kode BARANG Win2]],2),'Form Fix'!$A$6:$F$205,4,0),0)</f>
        <v>0</v>
      </c>
      <c r="E36">
        <f>IFERROR(VLOOKUP(CONCATENATE(Table43_1[[#This Row],[Kode BARANG Win2]],3),'Form Fix'!$A$6:$F$205,4,0),0)</f>
        <v>0</v>
      </c>
      <c r="F36">
        <f>IFERROR(VLOOKUP(CONCATENATE(Table43_1[[#This Row],[Kode BARANG Win2]],4),'Form Fix'!$A$6:$F$205,4,0),0)</f>
        <v>0</v>
      </c>
      <c r="G36">
        <f>IFERROR(VLOOKUP(CONCATENATE(Table43_1[[#This Row],[Kode BARANG Win2]],5),'Form Fix'!$A$6:$F$205,4,0),0)</f>
        <v>0</v>
      </c>
    </row>
    <row r="37" spans="1:7">
      <c r="A37" t="s">
        <v>821</v>
      </c>
      <c r="B37" t="s">
        <v>938</v>
      </c>
      <c r="C37" t="str">
        <f>IFERROR(VLOOKUP(CONCATENATE(Table43_1[[#This Row],[Kode BARANG Win2]],1),'Form Fix'!$A$6:$F$205,4,0),0)</f>
        <v>050703293</v>
      </c>
      <c r="D37">
        <f>IFERROR(VLOOKUP(CONCATENATE(Table43_1[[#This Row],[Kode BARANG Win2]],2),'Form Fix'!$A$6:$F$205,4,0),0)</f>
        <v>0</v>
      </c>
      <c r="E37">
        <f>IFERROR(VLOOKUP(CONCATENATE(Table43_1[[#This Row],[Kode BARANG Win2]],3),'Form Fix'!$A$6:$F$205,4,0),0)</f>
        <v>0</v>
      </c>
      <c r="F37">
        <f>IFERROR(VLOOKUP(CONCATENATE(Table43_1[[#This Row],[Kode BARANG Win2]],4),'Form Fix'!$A$6:$F$205,4,0),0)</f>
        <v>0</v>
      </c>
      <c r="G37">
        <f>IFERROR(VLOOKUP(CONCATENATE(Table43_1[[#This Row],[Kode BARANG Win2]],5),'Form Fix'!$A$6:$F$205,4,0),0)</f>
        <v>0</v>
      </c>
    </row>
    <row r="38" spans="1:7">
      <c r="A38" t="s">
        <v>822</v>
      </c>
      <c r="B38" t="s">
        <v>939</v>
      </c>
      <c r="C38" t="str">
        <f>IFERROR(VLOOKUP(CONCATENATE(Table43_1[[#This Row],[Kode BARANG Win2]],1),'Form Fix'!$A$6:$F$205,4,0),0)</f>
        <v>072603000</v>
      </c>
      <c r="D38">
        <f>IFERROR(VLOOKUP(CONCATENATE(Table43_1[[#This Row],[Kode BARANG Win2]],2),'Form Fix'!$A$6:$F$205,4,0),0)</f>
        <v>0</v>
      </c>
      <c r="E38">
        <f>IFERROR(VLOOKUP(CONCATENATE(Table43_1[[#This Row],[Kode BARANG Win2]],3),'Form Fix'!$A$6:$F$205,4,0),0)</f>
        <v>0</v>
      </c>
      <c r="F38">
        <f>IFERROR(VLOOKUP(CONCATENATE(Table43_1[[#This Row],[Kode BARANG Win2]],4),'Form Fix'!$A$6:$F$205,4,0),0)</f>
        <v>0</v>
      </c>
      <c r="G38">
        <f>IFERROR(VLOOKUP(CONCATENATE(Table43_1[[#This Row],[Kode BARANG Win2]],5),'Form Fix'!$A$6:$F$205,4,0),0)</f>
        <v>0</v>
      </c>
    </row>
    <row r="39" spans="1:7">
      <c r="A39" t="s">
        <v>1147</v>
      </c>
      <c r="B39" t="s">
        <v>1199</v>
      </c>
      <c r="C39">
        <f>IFERROR(VLOOKUP(CONCATENATE(Table43_1[[#This Row],[Kode BARANG Win2]],1),'Form Fix'!$A$6:$F$205,4,0),0)</f>
        <v>112603000</v>
      </c>
      <c r="D39">
        <f>IFERROR(VLOOKUP(CONCATENATE(Table43_1[[#This Row],[Kode BARANG Win2]],2),'Form Fix'!$A$6:$F$205,4,0),0)</f>
        <v>0</v>
      </c>
      <c r="E39">
        <f>IFERROR(VLOOKUP(CONCATENATE(Table43_1[[#This Row],[Kode BARANG Win2]],3),'Form Fix'!$A$6:$F$205,4,0),0)</f>
        <v>0</v>
      </c>
      <c r="F39">
        <f>IFERROR(VLOOKUP(CONCATENATE(Table43_1[[#This Row],[Kode BARANG Win2]],4),'Form Fix'!$A$6:$F$205,4,0),0)</f>
        <v>0</v>
      </c>
      <c r="G39">
        <f>IFERROR(VLOOKUP(CONCATENATE(Table43_1[[#This Row],[Kode BARANG Win2]],5),'Form Fix'!$A$6:$F$205,4,0),0)</f>
        <v>0</v>
      </c>
    </row>
    <row r="40" spans="1:7">
      <c r="A40" t="s">
        <v>1148</v>
      </c>
      <c r="B40" t="s">
        <v>1200</v>
      </c>
      <c r="C40">
        <f>IFERROR(VLOOKUP(CONCATENATE(Table43_1[[#This Row],[Kode BARANG Win2]],1),'Form Fix'!$A$6:$F$205,4,0),0)</f>
        <v>112601000</v>
      </c>
      <c r="D40">
        <f>IFERROR(VLOOKUP(CONCATENATE(Table43_1[[#This Row],[Kode BARANG Win2]],2),'Form Fix'!$A$6:$F$205,4,0),0)</f>
        <v>0</v>
      </c>
      <c r="E40">
        <f>IFERROR(VLOOKUP(CONCATENATE(Table43_1[[#This Row],[Kode BARANG Win2]],3),'Form Fix'!$A$6:$F$205,4,0),0)</f>
        <v>0</v>
      </c>
      <c r="F40">
        <f>IFERROR(VLOOKUP(CONCATENATE(Table43_1[[#This Row],[Kode BARANG Win2]],4),'Form Fix'!$A$6:$F$205,4,0),0)</f>
        <v>0</v>
      </c>
      <c r="G40">
        <f>IFERROR(VLOOKUP(CONCATENATE(Table43_1[[#This Row],[Kode BARANG Win2]],5),'Form Fix'!$A$6:$F$205,4,0),0)</f>
        <v>0</v>
      </c>
    </row>
    <row r="41" spans="1:7">
      <c r="A41" t="s">
        <v>1149</v>
      </c>
      <c r="B41" t="s">
        <v>1201</v>
      </c>
      <c r="C41">
        <f>IFERROR(VLOOKUP(CONCATENATE(Table43_1[[#This Row],[Kode BARANG Win2]],1),'Form Fix'!$A$6:$F$205,4,0),0)</f>
        <v>112604000</v>
      </c>
      <c r="D41">
        <f>IFERROR(VLOOKUP(CONCATENATE(Table43_1[[#This Row],[Kode BARANG Win2]],2),'Form Fix'!$A$6:$F$205,4,0),0)</f>
        <v>0</v>
      </c>
      <c r="E41">
        <f>IFERROR(VLOOKUP(CONCATENATE(Table43_1[[#This Row],[Kode BARANG Win2]],3),'Form Fix'!$A$6:$F$205,4,0),0)</f>
        <v>0</v>
      </c>
      <c r="F41">
        <f>IFERROR(VLOOKUP(CONCATENATE(Table43_1[[#This Row],[Kode BARANG Win2]],4),'Form Fix'!$A$6:$F$205,4,0),0)</f>
        <v>0</v>
      </c>
      <c r="G41">
        <f>IFERROR(VLOOKUP(CONCATENATE(Table43_1[[#This Row],[Kode BARANG Win2]],5),'Form Fix'!$A$6:$F$205,4,0),0)</f>
        <v>0</v>
      </c>
    </row>
    <row r="42" spans="1:7">
      <c r="A42" t="s">
        <v>1150</v>
      </c>
      <c r="B42" t="s">
        <v>1202</v>
      </c>
      <c r="C42">
        <f>IFERROR(VLOOKUP(CONCATENATE(Table43_1[[#This Row],[Kode BARANG Win2]],1),'Form Fix'!$A$6:$F$205,4,0),0)</f>
        <v>112602000</v>
      </c>
      <c r="D42">
        <f>IFERROR(VLOOKUP(CONCATENATE(Table43_1[[#This Row],[Kode BARANG Win2]],2),'Form Fix'!$A$6:$F$205,4,0),0)</f>
        <v>0</v>
      </c>
      <c r="E42">
        <f>IFERROR(VLOOKUP(CONCATENATE(Table43_1[[#This Row],[Kode BARANG Win2]],3),'Form Fix'!$A$6:$F$205,4,0),0)</f>
        <v>0</v>
      </c>
      <c r="F42">
        <f>IFERROR(VLOOKUP(CONCATENATE(Table43_1[[#This Row],[Kode BARANG Win2]],4),'Form Fix'!$A$6:$F$205,4,0),0)</f>
        <v>0</v>
      </c>
      <c r="G42">
        <f>IFERROR(VLOOKUP(CONCATENATE(Table43_1[[#This Row],[Kode BARANG Win2]],5),'Form Fix'!$A$6:$F$205,4,0),0)</f>
        <v>0</v>
      </c>
    </row>
    <row r="43" spans="1:7">
      <c r="A43" t="s">
        <v>823</v>
      </c>
      <c r="B43" t="s">
        <v>940</v>
      </c>
      <c r="C43" t="str">
        <f>IFERROR(VLOOKUP(CONCATENATE(Table43_1[[#This Row],[Kode BARANG Win2]],1),'Form Fix'!$A$6:$F$205,4,0),0)</f>
        <v>051702001</v>
      </c>
      <c r="D43">
        <f>IFERROR(VLOOKUP(CONCATENATE(Table43_1[[#This Row],[Kode BARANG Win2]],2),'Form Fix'!$A$6:$F$205,4,0),0)</f>
        <v>0</v>
      </c>
      <c r="E43">
        <f>IFERROR(VLOOKUP(CONCATENATE(Table43_1[[#This Row],[Kode BARANG Win2]],3),'Form Fix'!$A$6:$F$205,4,0),0)</f>
        <v>0</v>
      </c>
      <c r="F43">
        <f>IFERROR(VLOOKUP(CONCATENATE(Table43_1[[#This Row],[Kode BARANG Win2]],4),'Form Fix'!$A$6:$F$205,4,0),0)</f>
        <v>0</v>
      </c>
      <c r="G43">
        <f>IFERROR(VLOOKUP(CONCATENATE(Table43_1[[#This Row],[Kode BARANG Win2]],5),'Form Fix'!$A$6:$F$205,4,0),0)</f>
        <v>0</v>
      </c>
    </row>
    <row r="44" spans="1:7">
      <c r="A44" t="s">
        <v>824</v>
      </c>
      <c r="B44" t="s">
        <v>941</v>
      </c>
      <c r="C44" t="str">
        <f>IFERROR(VLOOKUP(CONCATENATE(Table43_1[[#This Row],[Kode BARANG Win2]],1),'Form Fix'!$A$6:$F$205,4,0),0)</f>
        <v>051706001</v>
      </c>
      <c r="D44">
        <f>IFERROR(VLOOKUP(CONCATENATE(Table43_1[[#This Row],[Kode BARANG Win2]],2),'Form Fix'!$A$6:$F$205,4,0),0)</f>
        <v>0</v>
      </c>
      <c r="E44">
        <f>IFERROR(VLOOKUP(CONCATENATE(Table43_1[[#This Row],[Kode BARANG Win2]],3),'Form Fix'!$A$6:$F$205,4,0),0)</f>
        <v>0</v>
      </c>
      <c r="F44">
        <f>IFERROR(VLOOKUP(CONCATENATE(Table43_1[[#This Row],[Kode BARANG Win2]],4),'Form Fix'!$A$6:$F$205,4,0),0)</f>
        <v>0</v>
      </c>
      <c r="G44">
        <f>IFERROR(VLOOKUP(CONCATENATE(Table43_1[[#This Row],[Kode BARANG Win2]],5),'Form Fix'!$A$6:$F$205,4,0),0)</f>
        <v>0</v>
      </c>
    </row>
    <row r="45" spans="1:7">
      <c r="A45" t="s">
        <v>825</v>
      </c>
      <c r="B45" t="s">
        <v>942</v>
      </c>
      <c r="C45" t="str">
        <f>IFERROR(VLOOKUP(CONCATENATE(Table43_1[[#This Row],[Kode BARANG Win2]],1),'Form Fix'!$A$6:$F$205,4,0),0)</f>
        <v>051703003</v>
      </c>
      <c r="D45">
        <f>IFERROR(VLOOKUP(CONCATENATE(Table43_1[[#This Row],[Kode BARANG Win2]],2),'Form Fix'!$A$6:$F$205,4,0),0)</f>
        <v>0</v>
      </c>
      <c r="E45">
        <f>IFERROR(VLOOKUP(CONCATENATE(Table43_1[[#This Row],[Kode BARANG Win2]],3),'Form Fix'!$A$6:$F$205,4,0),0)</f>
        <v>0</v>
      </c>
      <c r="F45">
        <f>IFERROR(VLOOKUP(CONCATENATE(Table43_1[[#This Row],[Kode BARANG Win2]],4),'Form Fix'!$A$6:$F$205,4,0),0)</f>
        <v>0</v>
      </c>
      <c r="G45">
        <f>IFERROR(VLOOKUP(CONCATENATE(Table43_1[[#This Row],[Kode BARANG Win2]],5),'Form Fix'!$A$6:$F$205,4,0),0)</f>
        <v>0</v>
      </c>
    </row>
    <row r="46" spans="1:7">
      <c r="A46" t="s">
        <v>826</v>
      </c>
      <c r="B46" t="s">
        <v>943</v>
      </c>
      <c r="C46" t="str">
        <f>IFERROR(VLOOKUP(CONCATENATE(Table43_1[[#This Row],[Kode BARANG Win2]],1),'Form Fix'!$A$6:$F$205,4,0),0)</f>
        <v>051703002</v>
      </c>
      <c r="D46">
        <f>IFERROR(VLOOKUP(CONCATENATE(Table43_1[[#This Row],[Kode BARANG Win2]],2),'Form Fix'!$A$6:$F$205,4,0),0)</f>
        <v>0</v>
      </c>
      <c r="E46">
        <f>IFERROR(VLOOKUP(CONCATENATE(Table43_1[[#This Row],[Kode BARANG Win2]],3),'Form Fix'!$A$6:$F$205,4,0),0)</f>
        <v>0</v>
      </c>
      <c r="F46">
        <f>IFERROR(VLOOKUP(CONCATENATE(Table43_1[[#This Row],[Kode BARANG Win2]],4),'Form Fix'!$A$6:$F$205,4,0),0)</f>
        <v>0</v>
      </c>
      <c r="G46">
        <f>IFERROR(VLOOKUP(CONCATENATE(Table43_1[[#This Row],[Kode BARANG Win2]],5),'Form Fix'!$A$6:$F$205,4,0),0)</f>
        <v>0</v>
      </c>
    </row>
    <row r="47" spans="1:7">
      <c r="A47" t="s">
        <v>827</v>
      </c>
      <c r="B47" t="s">
        <v>944</v>
      </c>
      <c r="C47" t="str">
        <f>IFERROR(VLOOKUP(CONCATENATE(Table43_1[[#This Row],[Kode BARANG Win2]],1),'Form Fix'!$A$6:$F$205,4,0),0)</f>
        <v>051703001</v>
      </c>
      <c r="D47">
        <f>IFERROR(VLOOKUP(CONCATENATE(Table43_1[[#This Row],[Kode BARANG Win2]],2),'Form Fix'!$A$6:$F$205,4,0),0)</f>
        <v>0</v>
      </c>
      <c r="E47">
        <f>IFERROR(VLOOKUP(CONCATENATE(Table43_1[[#This Row],[Kode BARANG Win2]],3),'Form Fix'!$A$6:$F$205,4,0),0)</f>
        <v>0</v>
      </c>
      <c r="F47">
        <f>IFERROR(VLOOKUP(CONCATENATE(Table43_1[[#This Row],[Kode BARANG Win2]],4),'Form Fix'!$A$6:$F$205,4,0),0)</f>
        <v>0</v>
      </c>
      <c r="G47">
        <f>IFERROR(VLOOKUP(CONCATENATE(Table43_1[[#This Row],[Kode BARANG Win2]],5),'Form Fix'!$A$6:$F$205,4,0),0)</f>
        <v>0</v>
      </c>
    </row>
    <row r="48" spans="1:7">
      <c r="A48" t="s">
        <v>828</v>
      </c>
      <c r="B48" t="s">
        <v>945</v>
      </c>
      <c r="C48" t="str">
        <f>IFERROR(VLOOKUP(CONCATENATE(Table43_1[[#This Row],[Kode BARANG Win2]],1),'Form Fix'!$A$6:$F$205,4,0),0)</f>
        <v>051701003</v>
      </c>
      <c r="D48">
        <f>IFERROR(VLOOKUP(CONCATENATE(Table43_1[[#This Row],[Kode BARANG Win2]],2),'Form Fix'!$A$6:$F$205,4,0),0)</f>
        <v>0</v>
      </c>
      <c r="E48">
        <f>IFERROR(VLOOKUP(CONCATENATE(Table43_1[[#This Row],[Kode BARANG Win2]],3),'Form Fix'!$A$6:$F$205,4,0),0)</f>
        <v>0</v>
      </c>
      <c r="F48">
        <f>IFERROR(VLOOKUP(CONCATENATE(Table43_1[[#This Row],[Kode BARANG Win2]],4),'Form Fix'!$A$6:$F$205,4,0),0)</f>
        <v>0</v>
      </c>
      <c r="G48">
        <f>IFERROR(VLOOKUP(CONCATENATE(Table43_1[[#This Row],[Kode BARANG Win2]],5),'Form Fix'!$A$6:$F$205,4,0),0)</f>
        <v>0</v>
      </c>
    </row>
    <row r="49" spans="1:7">
      <c r="A49" t="s">
        <v>829</v>
      </c>
      <c r="B49" t="s">
        <v>946</v>
      </c>
      <c r="C49" t="str">
        <f>IFERROR(VLOOKUP(CONCATENATE(Table43_1[[#This Row],[Kode BARANG Win2]],1),'Form Fix'!$A$6:$F$205,4,0),0)</f>
        <v>051701002</v>
      </c>
      <c r="D49">
        <f>IFERROR(VLOOKUP(CONCATENATE(Table43_1[[#This Row],[Kode BARANG Win2]],2),'Form Fix'!$A$6:$F$205,4,0),0)</f>
        <v>0</v>
      </c>
      <c r="E49">
        <f>IFERROR(VLOOKUP(CONCATENATE(Table43_1[[#This Row],[Kode BARANG Win2]],3),'Form Fix'!$A$6:$F$205,4,0),0)</f>
        <v>0</v>
      </c>
      <c r="F49">
        <f>IFERROR(VLOOKUP(CONCATENATE(Table43_1[[#This Row],[Kode BARANG Win2]],4),'Form Fix'!$A$6:$F$205,4,0),0)</f>
        <v>0</v>
      </c>
      <c r="G49">
        <f>IFERROR(VLOOKUP(CONCATENATE(Table43_1[[#This Row],[Kode BARANG Win2]],5),'Form Fix'!$A$6:$F$205,4,0),0)</f>
        <v>0</v>
      </c>
    </row>
    <row r="50" spans="1:7">
      <c r="A50" t="s">
        <v>1151</v>
      </c>
      <c r="B50" t="s">
        <v>1181</v>
      </c>
      <c r="C50" t="str">
        <f>IFERROR(VLOOKUP(CONCATENATE(Table43_1[[#This Row],[Kode BARANG Win2]],1),'Form Fix'!$A$6:$F$205,4,0),0)</f>
        <v>051701495</v>
      </c>
      <c r="D50">
        <f>IFERROR(VLOOKUP(CONCATENATE(Table43_1[[#This Row],[Kode BARANG Win2]],2),'Form Fix'!$A$6:$F$205,4,0),0)</f>
        <v>0</v>
      </c>
      <c r="E50">
        <f>IFERROR(VLOOKUP(CONCATENATE(Table43_1[[#This Row],[Kode BARANG Win2]],3),'Form Fix'!$A$6:$F$205,4,0),0)</f>
        <v>0</v>
      </c>
      <c r="F50">
        <f>IFERROR(VLOOKUP(CONCATENATE(Table43_1[[#This Row],[Kode BARANG Win2]],4),'Form Fix'!$A$6:$F$205,4,0),0)</f>
        <v>0</v>
      </c>
      <c r="G50">
        <f>IFERROR(VLOOKUP(CONCATENATE(Table43_1[[#This Row],[Kode BARANG Win2]],5),'Form Fix'!$A$6:$F$205,4,0),0)</f>
        <v>0</v>
      </c>
    </row>
    <row r="51" spans="1:7">
      <c r="A51" t="s">
        <v>830</v>
      </c>
      <c r="B51" t="s">
        <v>947</v>
      </c>
      <c r="C51" t="str">
        <f>IFERROR(VLOOKUP(CONCATENATE(Table43_1[[#This Row],[Kode BARANG Win2]],1),'Form Fix'!$A$6:$F$205,4,0),0)</f>
        <v>051701001</v>
      </c>
      <c r="D51">
        <f>IFERROR(VLOOKUP(CONCATENATE(Table43_1[[#This Row],[Kode BARANG Win2]],2),'Form Fix'!$A$6:$F$205,4,0),0)</f>
        <v>0</v>
      </c>
      <c r="E51">
        <f>IFERROR(VLOOKUP(CONCATENATE(Table43_1[[#This Row],[Kode BARANG Win2]],3),'Form Fix'!$A$6:$F$205,4,0),0)</f>
        <v>0</v>
      </c>
      <c r="F51">
        <f>IFERROR(VLOOKUP(CONCATENATE(Table43_1[[#This Row],[Kode BARANG Win2]],4),'Form Fix'!$A$6:$F$205,4,0),0)</f>
        <v>0</v>
      </c>
      <c r="G51">
        <f>IFERROR(VLOOKUP(CONCATENATE(Table43_1[[#This Row],[Kode BARANG Win2]],5),'Form Fix'!$A$6:$F$205,4,0),0)</f>
        <v>0</v>
      </c>
    </row>
    <row r="52" spans="1:7">
      <c r="A52" t="s">
        <v>831</v>
      </c>
      <c r="B52" t="s">
        <v>948</v>
      </c>
      <c r="C52" t="str">
        <f>IFERROR(VLOOKUP(CONCATENATE(Table43_1[[#This Row],[Kode BARANG Win2]],1),'Form Fix'!$A$6:$F$205,4,0),0)</f>
        <v>051704001</v>
      </c>
      <c r="D52">
        <f>IFERROR(VLOOKUP(CONCATENATE(Table43_1[[#This Row],[Kode BARANG Win2]],2),'Form Fix'!$A$6:$F$205,4,0),0)</f>
        <v>0</v>
      </c>
      <c r="E52">
        <f>IFERROR(VLOOKUP(CONCATENATE(Table43_1[[#This Row],[Kode BARANG Win2]],3),'Form Fix'!$A$6:$F$205,4,0),0)</f>
        <v>0</v>
      </c>
      <c r="F52">
        <f>IFERROR(VLOOKUP(CONCATENATE(Table43_1[[#This Row],[Kode BARANG Win2]],4),'Form Fix'!$A$6:$F$205,4,0),0)</f>
        <v>0</v>
      </c>
      <c r="G52">
        <f>IFERROR(VLOOKUP(CONCATENATE(Table43_1[[#This Row],[Kode BARANG Win2]],5),'Form Fix'!$A$6:$F$205,4,0),0)</f>
        <v>0</v>
      </c>
    </row>
    <row r="53" spans="1:7">
      <c r="A53" t="s">
        <v>832</v>
      </c>
      <c r="B53" t="s">
        <v>949</v>
      </c>
      <c r="C53" t="str">
        <f>IFERROR(VLOOKUP(CONCATENATE(Table43_1[[#This Row],[Kode BARANG Win2]],1),'Form Fix'!$A$6:$F$205,4,0),0)</f>
        <v>051705002</v>
      </c>
      <c r="D53">
        <f>IFERROR(VLOOKUP(CONCATENATE(Table43_1[[#This Row],[Kode BARANG Win2]],2),'Form Fix'!$A$6:$F$205,4,0),0)</f>
        <v>0</v>
      </c>
      <c r="E53">
        <f>IFERROR(VLOOKUP(CONCATENATE(Table43_1[[#This Row],[Kode BARANG Win2]],3),'Form Fix'!$A$6:$F$205,4,0),0)</f>
        <v>0</v>
      </c>
      <c r="F53">
        <f>IFERROR(VLOOKUP(CONCATENATE(Table43_1[[#This Row],[Kode BARANG Win2]],4),'Form Fix'!$A$6:$F$205,4,0),0)</f>
        <v>0</v>
      </c>
      <c r="G53">
        <f>IFERROR(VLOOKUP(CONCATENATE(Table43_1[[#This Row],[Kode BARANG Win2]],5),'Form Fix'!$A$6:$F$205,4,0),0)</f>
        <v>0</v>
      </c>
    </row>
    <row r="54" spans="1:7">
      <c r="A54" t="s">
        <v>833</v>
      </c>
      <c r="B54" t="s">
        <v>950</v>
      </c>
      <c r="C54" t="str">
        <f>IFERROR(VLOOKUP(CONCATENATE(Table43_1[[#This Row],[Kode BARANG Win2]],1),'Form Fix'!$A$6:$F$205,4,0),0)</f>
        <v>051705001</v>
      </c>
      <c r="D54">
        <f>IFERROR(VLOOKUP(CONCATENATE(Table43_1[[#This Row],[Kode BARANG Win2]],2),'Form Fix'!$A$6:$F$205,4,0),0)</f>
        <v>0</v>
      </c>
      <c r="E54">
        <f>IFERROR(VLOOKUP(CONCATENATE(Table43_1[[#This Row],[Kode BARANG Win2]],3),'Form Fix'!$A$6:$F$205,4,0),0)</f>
        <v>0</v>
      </c>
      <c r="F54">
        <f>IFERROR(VLOOKUP(CONCATENATE(Table43_1[[#This Row],[Kode BARANG Win2]],4),'Form Fix'!$A$6:$F$205,4,0),0)</f>
        <v>0</v>
      </c>
      <c r="G54">
        <f>IFERROR(VLOOKUP(CONCATENATE(Table43_1[[#This Row],[Kode BARANG Win2]],5),'Form Fix'!$A$6:$F$205,4,0),0)</f>
        <v>0</v>
      </c>
    </row>
    <row r="55" spans="1:7">
      <c r="A55" t="s">
        <v>1152</v>
      </c>
      <c r="B55" t="s">
        <v>1203</v>
      </c>
      <c r="C55" t="str">
        <f>IFERROR(VLOOKUP(CONCATENATE(Table43_1[[#This Row],[Kode BARANG Win2]],1),'Form Fix'!$A$6:$F$205,4,0),0)</f>
        <v>051701400</v>
      </c>
      <c r="D55">
        <f>IFERROR(VLOOKUP(CONCATENATE(Table43_1[[#This Row],[Kode BARANG Win2]],2),'Form Fix'!$A$6:$F$205,4,0),0)</f>
        <v>0</v>
      </c>
      <c r="E55">
        <f>IFERROR(VLOOKUP(CONCATENATE(Table43_1[[#This Row],[Kode BARANG Win2]],3),'Form Fix'!$A$6:$F$205,4,0),0)</f>
        <v>0</v>
      </c>
      <c r="F55">
        <f>IFERROR(VLOOKUP(CONCATENATE(Table43_1[[#This Row],[Kode BARANG Win2]],4),'Form Fix'!$A$6:$F$205,4,0),0)</f>
        <v>0</v>
      </c>
      <c r="G55">
        <f>IFERROR(VLOOKUP(CONCATENATE(Table43_1[[#This Row],[Kode BARANG Win2]],5),'Form Fix'!$A$6:$F$205,4,0),0)</f>
        <v>0</v>
      </c>
    </row>
    <row r="56" spans="1:7">
      <c r="A56" t="s">
        <v>1153</v>
      </c>
      <c r="B56" t="s">
        <v>1204</v>
      </c>
      <c r="C56" t="str">
        <f>IFERROR(VLOOKUP(CONCATENATE(Table43_1[[#This Row],[Kode BARANG Win2]],1),'Form Fix'!$A$6:$F$205,4,0),0)</f>
        <v>051702400</v>
      </c>
      <c r="D56">
        <f>IFERROR(VLOOKUP(CONCATENATE(Table43_1[[#This Row],[Kode BARANG Win2]],2),'Form Fix'!$A$6:$F$205,4,0),0)</f>
        <v>0</v>
      </c>
      <c r="E56">
        <f>IFERROR(VLOOKUP(CONCATENATE(Table43_1[[#This Row],[Kode BARANG Win2]],3),'Form Fix'!$A$6:$F$205,4,0),0)</f>
        <v>0</v>
      </c>
      <c r="F56">
        <f>IFERROR(VLOOKUP(CONCATENATE(Table43_1[[#This Row],[Kode BARANG Win2]],4),'Form Fix'!$A$6:$F$205,4,0),0)</f>
        <v>0</v>
      </c>
      <c r="G56">
        <f>IFERROR(VLOOKUP(CONCATENATE(Table43_1[[#This Row],[Kode BARANG Win2]],5),'Form Fix'!$A$6:$F$205,4,0),0)</f>
        <v>0</v>
      </c>
    </row>
    <row r="57" spans="1:7">
      <c r="A57" t="s">
        <v>1154</v>
      </c>
      <c r="B57" t="s">
        <v>1205</v>
      </c>
      <c r="C57" t="str">
        <f>IFERROR(VLOOKUP(CONCATENATE(Table43_1[[#This Row],[Kode BARANG Win2]],1),'Form Fix'!$A$6:$F$205,4,0),0)</f>
        <v>051703400</v>
      </c>
      <c r="D57">
        <f>IFERROR(VLOOKUP(CONCATENATE(Table43_1[[#This Row],[Kode BARANG Win2]],2),'Form Fix'!$A$6:$F$205,4,0),0)</f>
        <v>0</v>
      </c>
      <c r="E57">
        <f>IFERROR(VLOOKUP(CONCATENATE(Table43_1[[#This Row],[Kode BARANG Win2]],3),'Form Fix'!$A$6:$F$205,4,0),0)</f>
        <v>0</v>
      </c>
      <c r="F57">
        <f>IFERROR(VLOOKUP(CONCATENATE(Table43_1[[#This Row],[Kode BARANG Win2]],4),'Form Fix'!$A$6:$F$205,4,0),0)</f>
        <v>0</v>
      </c>
      <c r="G57">
        <f>IFERROR(VLOOKUP(CONCATENATE(Table43_1[[#This Row],[Kode BARANG Win2]],5),'Form Fix'!$A$6:$F$205,4,0),0)</f>
        <v>0</v>
      </c>
    </row>
    <row r="58" spans="1:7">
      <c r="A58" t="s">
        <v>1155</v>
      </c>
      <c r="B58" t="s">
        <v>1206</v>
      </c>
      <c r="C58" t="str">
        <f>IFERROR(VLOOKUP(CONCATENATE(Table43_1[[#This Row],[Kode BARANG Win2]],1),'Form Fix'!$A$6:$F$205,4,0),0)</f>
        <v>051704400</v>
      </c>
      <c r="D58">
        <f>IFERROR(VLOOKUP(CONCATENATE(Table43_1[[#This Row],[Kode BARANG Win2]],2),'Form Fix'!$A$6:$F$205,4,0),0)</f>
        <v>0</v>
      </c>
      <c r="E58">
        <f>IFERROR(VLOOKUP(CONCATENATE(Table43_1[[#This Row],[Kode BARANG Win2]],3),'Form Fix'!$A$6:$F$205,4,0),0)</f>
        <v>0</v>
      </c>
      <c r="F58">
        <f>IFERROR(VLOOKUP(CONCATENATE(Table43_1[[#This Row],[Kode BARANG Win2]],4),'Form Fix'!$A$6:$F$205,4,0),0)</f>
        <v>0</v>
      </c>
      <c r="G58">
        <f>IFERROR(VLOOKUP(CONCATENATE(Table43_1[[#This Row],[Kode BARANG Win2]],5),'Form Fix'!$A$6:$F$205,4,0),0)</f>
        <v>0</v>
      </c>
    </row>
    <row r="59" spans="1:7">
      <c r="A59" t="s">
        <v>1156</v>
      </c>
      <c r="B59" t="s">
        <v>1207</v>
      </c>
      <c r="C59" t="str">
        <f>IFERROR(VLOOKUP(CONCATENATE(Table43_1[[#This Row],[Kode BARANG Win2]],1),'Form Fix'!$A$6:$F$205,4,0),0)</f>
        <v>051705400</v>
      </c>
      <c r="D59">
        <f>IFERROR(VLOOKUP(CONCATENATE(Table43_1[[#This Row],[Kode BARANG Win2]],2),'Form Fix'!$A$6:$F$205,4,0),0)</f>
        <v>0</v>
      </c>
      <c r="E59">
        <f>IFERROR(VLOOKUP(CONCATENATE(Table43_1[[#This Row],[Kode BARANG Win2]],3),'Form Fix'!$A$6:$F$205,4,0),0)</f>
        <v>0</v>
      </c>
      <c r="F59">
        <f>IFERROR(VLOOKUP(CONCATENATE(Table43_1[[#This Row],[Kode BARANG Win2]],4),'Form Fix'!$A$6:$F$205,4,0),0)</f>
        <v>0</v>
      </c>
      <c r="G59">
        <f>IFERROR(VLOOKUP(CONCATENATE(Table43_1[[#This Row],[Kode BARANG Win2]],5),'Form Fix'!$A$6:$F$205,4,0),0)</f>
        <v>0</v>
      </c>
    </row>
    <row r="60" spans="1:7">
      <c r="A60" t="s">
        <v>1157</v>
      </c>
      <c r="B60" t="s">
        <v>1208</v>
      </c>
      <c r="C60" t="str">
        <f>IFERROR(VLOOKUP(CONCATENATE(Table43_1[[#This Row],[Kode BARANG Win2]],1),'Form Fix'!$A$6:$F$205,4,0),0)</f>
        <v>051706400</v>
      </c>
      <c r="D60">
        <f>IFERROR(VLOOKUP(CONCATENATE(Table43_1[[#This Row],[Kode BARANG Win2]],2),'Form Fix'!$A$6:$F$205,4,0),0)</f>
        <v>0</v>
      </c>
      <c r="E60">
        <f>IFERROR(VLOOKUP(CONCATENATE(Table43_1[[#This Row],[Kode BARANG Win2]],3),'Form Fix'!$A$6:$F$205,4,0),0)</f>
        <v>0</v>
      </c>
      <c r="F60">
        <f>IFERROR(VLOOKUP(CONCATENATE(Table43_1[[#This Row],[Kode BARANG Win2]],4),'Form Fix'!$A$6:$F$205,4,0),0)</f>
        <v>0</v>
      </c>
      <c r="G60">
        <f>IFERROR(VLOOKUP(CONCATENATE(Table43_1[[#This Row],[Kode BARANG Win2]],5),'Form Fix'!$A$6:$F$205,4,0),0)</f>
        <v>0</v>
      </c>
    </row>
    <row r="61" spans="1:7">
      <c r="A61" t="s">
        <v>1241</v>
      </c>
      <c r="B61" t="s">
        <v>1250</v>
      </c>
      <c r="C61" t="str">
        <f>IFERROR(VLOOKUP(CONCATENATE(Table43_1[[#This Row],[Kode BARANG Win2]],1),'Form Fix'!$A$6:$F$205,4,0),0)</f>
        <v>051705000</v>
      </c>
      <c r="D61">
        <f>IFERROR(VLOOKUP(CONCATENATE(Table43_1[[#This Row],[Kode BARANG Win2]],2),'Form Fix'!$A$6:$F$205,4,0),0)</f>
        <v>0</v>
      </c>
      <c r="E61">
        <f>IFERROR(VLOOKUP(CONCATENATE(Table43_1[[#This Row],[Kode BARANG Win2]],3),'Form Fix'!$A$6:$F$205,4,0),0)</f>
        <v>0</v>
      </c>
      <c r="F61">
        <f>IFERROR(VLOOKUP(CONCATENATE(Table43_1[[#This Row],[Kode BARANG Win2]],4),'Form Fix'!$A$6:$F$205,4,0),0)</f>
        <v>0</v>
      </c>
      <c r="G61">
        <f>IFERROR(VLOOKUP(CONCATENATE(Table43_1[[#This Row],[Kode BARANG Win2]],5),'Form Fix'!$A$6:$F$205,4,0),0)</f>
        <v>0</v>
      </c>
    </row>
    <row r="62" spans="1:7">
      <c r="A62" t="s">
        <v>1158</v>
      </c>
      <c r="B62" t="s">
        <v>1182</v>
      </c>
      <c r="C62" t="str">
        <f>IFERROR(VLOOKUP(CONCATENATE(Table43_1[[#This Row],[Kode BARANG Win2]],1),'Form Fix'!$A$6:$F$205,4,0),0)</f>
        <v>051705401</v>
      </c>
      <c r="D62">
        <f>IFERROR(VLOOKUP(CONCATENATE(Table43_1[[#This Row],[Kode BARANG Win2]],2),'Form Fix'!$A$6:$F$205,4,0),0)</f>
        <v>0</v>
      </c>
      <c r="E62">
        <f>IFERROR(VLOOKUP(CONCATENATE(Table43_1[[#This Row],[Kode BARANG Win2]],3),'Form Fix'!$A$6:$F$205,4,0),0)</f>
        <v>0</v>
      </c>
      <c r="F62">
        <f>IFERROR(VLOOKUP(CONCATENATE(Table43_1[[#This Row],[Kode BARANG Win2]],4),'Form Fix'!$A$6:$F$205,4,0),0)</f>
        <v>0</v>
      </c>
      <c r="G62">
        <f>IFERROR(VLOOKUP(CONCATENATE(Table43_1[[#This Row],[Kode BARANG Win2]],5),'Form Fix'!$A$6:$F$205,4,0),0)</f>
        <v>0</v>
      </c>
    </row>
    <row r="63" spans="1:7">
      <c r="A63" t="s">
        <v>834</v>
      </c>
      <c r="B63" t="s">
        <v>951</v>
      </c>
      <c r="C63" t="str">
        <f>IFERROR(VLOOKUP(CONCATENATE(Table43_1[[#This Row],[Kode BARANG Win2]],1),'Form Fix'!$A$6:$F$205,4,0),0)</f>
        <v>071702204</v>
      </c>
      <c r="D63">
        <f>IFERROR(VLOOKUP(CONCATENATE(Table43_1[[#This Row],[Kode BARANG Win2]],2),'Form Fix'!$A$6:$F$205,4,0),0)</f>
        <v>0</v>
      </c>
      <c r="E63">
        <f>IFERROR(VLOOKUP(CONCATENATE(Table43_1[[#This Row],[Kode BARANG Win2]],3),'Form Fix'!$A$6:$F$205,4,0),0)</f>
        <v>0</v>
      </c>
      <c r="F63">
        <f>IFERROR(VLOOKUP(CONCATENATE(Table43_1[[#This Row],[Kode BARANG Win2]],4),'Form Fix'!$A$6:$F$205,4,0),0)</f>
        <v>0</v>
      </c>
      <c r="G63">
        <f>IFERROR(VLOOKUP(CONCATENATE(Table43_1[[#This Row],[Kode BARANG Win2]],5),'Form Fix'!$A$6:$F$205,4,0),0)</f>
        <v>0</v>
      </c>
    </row>
    <row r="64" spans="1:7">
      <c r="A64" t="s">
        <v>835</v>
      </c>
      <c r="B64" t="s">
        <v>952</v>
      </c>
      <c r="C64" t="str">
        <f>IFERROR(VLOOKUP(CONCATENATE(Table43_1[[#This Row],[Kode BARANG Win2]],1),'Form Fix'!$A$6:$F$205,4,0),0)</f>
        <v>071702302</v>
      </c>
      <c r="D64">
        <f>IFERROR(VLOOKUP(CONCATENATE(Table43_1[[#This Row],[Kode BARANG Win2]],2),'Form Fix'!$A$6:$F$205,4,0),0)</f>
        <v>0</v>
      </c>
      <c r="E64">
        <f>IFERROR(VLOOKUP(CONCATENATE(Table43_1[[#This Row],[Kode BARANG Win2]],3),'Form Fix'!$A$6:$F$205,4,0),0)</f>
        <v>0</v>
      </c>
      <c r="F64">
        <f>IFERROR(VLOOKUP(CONCATENATE(Table43_1[[#This Row],[Kode BARANG Win2]],4),'Form Fix'!$A$6:$F$205,4,0),0)</f>
        <v>0</v>
      </c>
      <c r="G64">
        <f>IFERROR(VLOOKUP(CONCATENATE(Table43_1[[#This Row],[Kode BARANG Win2]],5),'Form Fix'!$A$6:$F$205,4,0),0)</f>
        <v>0</v>
      </c>
    </row>
    <row r="65" spans="1:7">
      <c r="A65" t="s">
        <v>836</v>
      </c>
      <c r="B65" t="s">
        <v>953</v>
      </c>
      <c r="C65" t="str">
        <f>IFERROR(VLOOKUP(CONCATENATE(Table43_1[[#This Row],[Kode BARANG Win2]],1),'Form Fix'!$A$6:$F$205,4,0),0)</f>
        <v>071703204</v>
      </c>
      <c r="D65">
        <f>IFERROR(VLOOKUP(CONCATENATE(Table43_1[[#This Row],[Kode BARANG Win2]],2),'Form Fix'!$A$6:$F$205,4,0),0)</f>
        <v>0</v>
      </c>
      <c r="E65">
        <f>IFERROR(VLOOKUP(CONCATENATE(Table43_1[[#This Row],[Kode BARANG Win2]],3),'Form Fix'!$A$6:$F$205,4,0),0)</f>
        <v>0</v>
      </c>
      <c r="F65">
        <f>IFERROR(VLOOKUP(CONCATENATE(Table43_1[[#This Row],[Kode BARANG Win2]],4),'Form Fix'!$A$6:$F$205,4,0),0)</f>
        <v>0</v>
      </c>
      <c r="G65">
        <f>IFERROR(VLOOKUP(CONCATENATE(Table43_1[[#This Row],[Kode BARANG Win2]],5),'Form Fix'!$A$6:$F$205,4,0),0)</f>
        <v>0</v>
      </c>
    </row>
    <row r="66" spans="1:7">
      <c r="A66" t="s">
        <v>837</v>
      </c>
      <c r="B66" t="s">
        <v>954</v>
      </c>
      <c r="C66" t="str">
        <f>IFERROR(VLOOKUP(CONCATENATE(Table43_1[[#This Row],[Kode BARANG Win2]],1),'Form Fix'!$A$6:$F$205,4,0),0)</f>
        <v>071703302</v>
      </c>
      <c r="D66">
        <f>IFERROR(VLOOKUP(CONCATENATE(Table43_1[[#This Row],[Kode BARANG Win2]],2),'Form Fix'!$A$6:$F$205,4,0),0)</f>
        <v>0</v>
      </c>
      <c r="E66">
        <f>IFERROR(VLOOKUP(CONCATENATE(Table43_1[[#This Row],[Kode BARANG Win2]],3),'Form Fix'!$A$6:$F$205,4,0),0)</f>
        <v>0</v>
      </c>
      <c r="F66">
        <f>IFERROR(VLOOKUP(CONCATENATE(Table43_1[[#This Row],[Kode BARANG Win2]],4),'Form Fix'!$A$6:$F$205,4,0),0)</f>
        <v>0</v>
      </c>
      <c r="G66">
        <f>IFERROR(VLOOKUP(CONCATENATE(Table43_1[[#This Row],[Kode BARANG Win2]],5),'Form Fix'!$A$6:$F$205,4,0),0)</f>
        <v>0</v>
      </c>
    </row>
    <row r="67" spans="1:7">
      <c r="A67" t="s">
        <v>838</v>
      </c>
      <c r="B67" t="s">
        <v>955</v>
      </c>
      <c r="C67" t="str">
        <f>IFERROR(VLOOKUP(CONCATENATE(Table43_1[[#This Row],[Kode BARANG Win2]],1),'Form Fix'!$A$6:$F$205,4,0),0)</f>
        <v>071701204</v>
      </c>
      <c r="D67">
        <f>IFERROR(VLOOKUP(CONCATENATE(Table43_1[[#This Row],[Kode BARANG Win2]],2),'Form Fix'!$A$6:$F$205,4,0),0)</f>
        <v>0</v>
      </c>
      <c r="E67">
        <f>IFERROR(VLOOKUP(CONCATENATE(Table43_1[[#This Row],[Kode BARANG Win2]],3),'Form Fix'!$A$6:$F$205,4,0),0)</f>
        <v>0</v>
      </c>
      <c r="F67">
        <f>IFERROR(VLOOKUP(CONCATENATE(Table43_1[[#This Row],[Kode BARANG Win2]],4),'Form Fix'!$A$6:$F$205,4,0),0)</f>
        <v>0</v>
      </c>
      <c r="G67">
        <f>IFERROR(VLOOKUP(CONCATENATE(Table43_1[[#This Row],[Kode BARANG Win2]],5),'Form Fix'!$A$6:$F$205,4,0),0)</f>
        <v>0</v>
      </c>
    </row>
    <row r="68" spans="1:7">
      <c r="A68" t="s">
        <v>839</v>
      </c>
      <c r="B68" t="s">
        <v>956</v>
      </c>
      <c r="C68" t="str">
        <f>IFERROR(VLOOKUP(CONCATENATE(Table43_1[[#This Row],[Kode BARANG Win2]],1),'Form Fix'!$A$6:$F$205,4,0),0)</f>
        <v>071701302</v>
      </c>
      <c r="D68">
        <f>IFERROR(VLOOKUP(CONCATENATE(Table43_1[[#This Row],[Kode BARANG Win2]],2),'Form Fix'!$A$6:$F$205,4,0),0)</f>
        <v>0</v>
      </c>
      <c r="E68">
        <f>IFERROR(VLOOKUP(CONCATENATE(Table43_1[[#This Row],[Kode BARANG Win2]],3),'Form Fix'!$A$6:$F$205,4,0),0)</f>
        <v>0</v>
      </c>
      <c r="F68">
        <f>IFERROR(VLOOKUP(CONCATENATE(Table43_1[[#This Row],[Kode BARANG Win2]],4),'Form Fix'!$A$6:$F$205,4,0),0)</f>
        <v>0</v>
      </c>
      <c r="G68">
        <f>IFERROR(VLOOKUP(CONCATENATE(Table43_1[[#This Row],[Kode BARANG Win2]],5),'Form Fix'!$A$6:$F$205,4,0),0)</f>
        <v>0</v>
      </c>
    </row>
    <row r="69" spans="1:7">
      <c r="A69" t="s">
        <v>840</v>
      </c>
      <c r="B69" t="s">
        <v>957</v>
      </c>
      <c r="C69" t="str">
        <f>IFERROR(VLOOKUP(CONCATENATE(Table43_1[[#This Row],[Kode BARANG Win2]],1),'Form Fix'!$A$6:$F$205,4,0),0)</f>
        <v>071705204</v>
      </c>
      <c r="D69">
        <f>IFERROR(VLOOKUP(CONCATENATE(Table43_1[[#This Row],[Kode BARANG Win2]],2),'Form Fix'!$A$6:$F$205,4,0),0)</f>
        <v>0</v>
      </c>
      <c r="E69">
        <f>IFERROR(VLOOKUP(CONCATENATE(Table43_1[[#This Row],[Kode BARANG Win2]],3),'Form Fix'!$A$6:$F$205,4,0),0)</f>
        <v>0</v>
      </c>
      <c r="F69">
        <f>IFERROR(VLOOKUP(CONCATENATE(Table43_1[[#This Row],[Kode BARANG Win2]],4),'Form Fix'!$A$6:$F$205,4,0),0)</f>
        <v>0</v>
      </c>
      <c r="G69">
        <f>IFERROR(VLOOKUP(CONCATENATE(Table43_1[[#This Row],[Kode BARANG Win2]],5),'Form Fix'!$A$6:$F$205,4,0),0)</f>
        <v>0</v>
      </c>
    </row>
    <row r="70" spans="1:7">
      <c r="A70" t="s">
        <v>841</v>
      </c>
      <c r="B70" t="s">
        <v>958</v>
      </c>
      <c r="C70" t="str">
        <f>IFERROR(VLOOKUP(CONCATENATE(Table43_1[[#This Row],[Kode BARANG Win2]],1),'Form Fix'!$A$6:$F$205,4,0),0)</f>
        <v>071705302</v>
      </c>
      <c r="D70">
        <f>IFERROR(VLOOKUP(CONCATENATE(Table43_1[[#This Row],[Kode BARANG Win2]],2),'Form Fix'!$A$6:$F$205,4,0),0)</f>
        <v>0</v>
      </c>
      <c r="E70">
        <f>IFERROR(VLOOKUP(CONCATENATE(Table43_1[[#This Row],[Kode BARANG Win2]],3),'Form Fix'!$A$6:$F$205,4,0),0)</f>
        <v>0</v>
      </c>
      <c r="F70">
        <f>IFERROR(VLOOKUP(CONCATENATE(Table43_1[[#This Row],[Kode BARANG Win2]],4),'Form Fix'!$A$6:$F$205,4,0),0)</f>
        <v>0</v>
      </c>
      <c r="G70">
        <f>IFERROR(VLOOKUP(CONCATENATE(Table43_1[[#This Row],[Kode BARANG Win2]],5),'Form Fix'!$A$6:$F$205,4,0),0)</f>
        <v>0</v>
      </c>
    </row>
    <row r="71" spans="1:7">
      <c r="A71" t="s">
        <v>1296</v>
      </c>
      <c r="B71" t="s">
        <v>1314</v>
      </c>
      <c r="C71" t="str">
        <f>IFERROR(VLOOKUP(CONCATENATE(Table43_1[[#This Row],[Kode BARANG Win2]],1),'Form Fix'!$A$6:$F$205,4,0),0)</f>
        <v>071704302</v>
      </c>
      <c r="D71">
        <f>IFERROR(VLOOKUP(CONCATENATE(Table43_1[[#This Row],[Kode BARANG Win2]],2),'Form Fix'!$A$6:$F$205,4,0),0)</f>
        <v>0</v>
      </c>
      <c r="E71">
        <f>IFERROR(VLOOKUP(CONCATENATE(Table43_1[[#This Row],[Kode BARANG Win2]],3),'Form Fix'!$A$6:$F$205,4,0),0)</f>
        <v>0</v>
      </c>
      <c r="F71">
        <f>IFERROR(VLOOKUP(CONCATENATE(Table43_1[[#This Row],[Kode BARANG Win2]],4),'Form Fix'!$A$6:$F$205,4,0),0)</f>
        <v>0</v>
      </c>
      <c r="G71">
        <f>IFERROR(VLOOKUP(CONCATENATE(Table43_1[[#This Row],[Kode BARANG Win2]],5),'Form Fix'!$A$6:$F$205,4,0),0)</f>
        <v>0</v>
      </c>
    </row>
    <row r="72" spans="1:7">
      <c r="A72" t="s">
        <v>1312</v>
      </c>
      <c r="B72" t="s">
        <v>1315</v>
      </c>
      <c r="C72">
        <f>IFERROR(VLOOKUP(CONCATENATE(Table43_1[[#This Row],[Kode BARANG Win2]],1),'Form Fix'!$A$6:$F$205,4,0),0)</f>
        <v>0</v>
      </c>
      <c r="D72">
        <f>IFERROR(VLOOKUP(CONCATENATE(Table43_1[[#This Row],[Kode BARANG Win2]],2),'Form Fix'!$A$6:$F$205,4,0),0)</f>
        <v>0</v>
      </c>
      <c r="E72">
        <f>IFERROR(VLOOKUP(CONCATENATE(Table43_1[[#This Row],[Kode BARANG Win2]],3),'Form Fix'!$A$6:$F$205,4,0),0)</f>
        <v>0</v>
      </c>
      <c r="F72">
        <f>IFERROR(VLOOKUP(CONCATENATE(Table43_1[[#This Row],[Kode BARANG Win2]],4),'Form Fix'!$A$6:$F$205,4,0),0)</f>
        <v>0</v>
      </c>
      <c r="G72">
        <f>IFERROR(VLOOKUP(CONCATENATE(Table43_1[[#This Row],[Kode BARANG Win2]],5),'Form Fix'!$A$6:$F$205,4,0),0)</f>
        <v>0</v>
      </c>
    </row>
    <row r="73" spans="1:7">
      <c r="A73" t="s">
        <v>842</v>
      </c>
      <c r="B73" t="s">
        <v>1316</v>
      </c>
      <c r="C73" t="str">
        <f>IFERROR(VLOOKUP(CONCATENATE(Table43_1[[#This Row],[Kode BARANG Win2]],1),'Form Fix'!$A$6:$F$205,4,0),0)</f>
        <v>061702300</v>
      </c>
      <c r="D73">
        <f>IFERROR(VLOOKUP(CONCATENATE(Table43_1[[#This Row],[Kode BARANG Win2]],2),'Form Fix'!$A$6:$F$205,4,0),0)</f>
        <v>0</v>
      </c>
      <c r="E73">
        <f>IFERROR(VLOOKUP(CONCATENATE(Table43_1[[#This Row],[Kode BARANG Win2]],3),'Form Fix'!$A$6:$F$205,4,0),0)</f>
        <v>0</v>
      </c>
      <c r="F73">
        <f>IFERROR(VLOOKUP(CONCATENATE(Table43_1[[#This Row],[Kode BARANG Win2]],4),'Form Fix'!$A$6:$F$205,4,0),0)</f>
        <v>0</v>
      </c>
      <c r="G73">
        <f>IFERROR(VLOOKUP(CONCATENATE(Table43_1[[#This Row],[Kode BARANG Win2]],5),'Form Fix'!$A$6:$F$205,4,0),0)</f>
        <v>0</v>
      </c>
    </row>
    <row r="74" spans="1:7">
      <c r="A74" t="s">
        <v>843</v>
      </c>
      <c r="B74" t="s">
        <v>959</v>
      </c>
      <c r="C74" t="str">
        <f>IFERROR(VLOOKUP(CONCATENATE(Table43_1[[#This Row],[Kode BARANG Win2]],1),'Form Fix'!$A$6:$F$205,4,0),0)</f>
        <v>061702502</v>
      </c>
      <c r="D74">
        <f>IFERROR(VLOOKUP(CONCATENATE(Table43_1[[#This Row],[Kode BARANG Win2]],2),'Form Fix'!$A$6:$F$205,4,0),0)</f>
        <v>0</v>
      </c>
      <c r="E74">
        <f>IFERROR(VLOOKUP(CONCATENATE(Table43_1[[#This Row],[Kode BARANG Win2]],3),'Form Fix'!$A$6:$F$205,4,0),0)</f>
        <v>0</v>
      </c>
      <c r="F74">
        <f>IFERROR(VLOOKUP(CONCATENATE(Table43_1[[#This Row],[Kode BARANG Win2]],4),'Form Fix'!$A$6:$F$205,4,0),0)</f>
        <v>0</v>
      </c>
      <c r="G74">
        <f>IFERROR(VLOOKUP(CONCATENATE(Table43_1[[#This Row],[Kode BARANG Win2]],5),'Form Fix'!$A$6:$F$205,4,0),0)</f>
        <v>0</v>
      </c>
    </row>
    <row r="75" spans="1:7">
      <c r="A75" t="s">
        <v>844</v>
      </c>
      <c r="B75" t="s">
        <v>960</v>
      </c>
      <c r="C75" t="str">
        <f>IFERROR(VLOOKUP(CONCATENATE(Table43_1[[#This Row],[Kode BARANG Win2]],1),'Form Fix'!$A$6:$F$205,4,0),0)</f>
        <v>061706300</v>
      </c>
      <c r="D75">
        <f>IFERROR(VLOOKUP(CONCATENATE(Table43_1[[#This Row],[Kode BARANG Win2]],2),'Form Fix'!$A$6:$F$205,4,0),0)</f>
        <v>0</v>
      </c>
      <c r="E75">
        <f>IFERROR(VLOOKUP(CONCATENATE(Table43_1[[#This Row],[Kode BARANG Win2]],3),'Form Fix'!$A$6:$F$205,4,0),0)</f>
        <v>0</v>
      </c>
      <c r="F75">
        <f>IFERROR(VLOOKUP(CONCATENATE(Table43_1[[#This Row],[Kode BARANG Win2]],4),'Form Fix'!$A$6:$F$205,4,0),0)</f>
        <v>0</v>
      </c>
      <c r="G75">
        <f>IFERROR(VLOOKUP(CONCATENATE(Table43_1[[#This Row],[Kode BARANG Win2]],5),'Form Fix'!$A$6:$F$205,4,0),0)</f>
        <v>0</v>
      </c>
    </row>
    <row r="76" spans="1:7">
      <c r="A76" t="s">
        <v>845</v>
      </c>
      <c r="B76" t="s">
        <v>961</v>
      </c>
      <c r="C76" t="str">
        <f>IFERROR(VLOOKUP(CONCATENATE(Table43_1[[#This Row],[Kode BARANG Win2]],1),'Form Fix'!$A$6:$F$205,4,0),0)</f>
        <v>061706502</v>
      </c>
      <c r="D76">
        <f>IFERROR(VLOOKUP(CONCATENATE(Table43_1[[#This Row],[Kode BARANG Win2]],2),'Form Fix'!$A$6:$F$205,4,0),0)</f>
        <v>0</v>
      </c>
      <c r="E76">
        <f>IFERROR(VLOOKUP(CONCATENATE(Table43_1[[#This Row],[Kode BARANG Win2]],3),'Form Fix'!$A$6:$F$205,4,0),0)</f>
        <v>0</v>
      </c>
      <c r="F76">
        <f>IFERROR(VLOOKUP(CONCATENATE(Table43_1[[#This Row],[Kode BARANG Win2]],4),'Form Fix'!$A$6:$F$205,4,0),0)</f>
        <v>0</v>
      </c>
      <c r="G76">
        <f>IFERROR(VLOOKUP(CONCATENATE(Table43_1[[#This Row],[Kode BARANG Win2]],5),'Form Fix'!$A$6:$F$205,4,0),0)</f>
        <v>0</v>
      </c>
    </row>
    <row r="77" spans="1:7">
      <c r="A77" t="s">
        <v>846</v>
      </c>
      <c r="B77" t="s">
        <v>962</v>
      </c>
      <c r="C77" t="str">
        <f>IFERROR(VLOOKUP(CONCATENATE(Table43_1[[#This Row],[Kode BARANG Win2]],1),'Form Fix'!$A$6:$F$205,4,0),0)</f>
        <v>061703300</v>
      </c>
      <c r="D77">
        <f>IFERROR(VLOOKUP(CONCATENATE(Table43_1[[#This Row],[Kode BARANG Win2]],2),'Form Fix'!$A$6:$F$205,4,0),0)</f>
        <v>0</v>
      </c>
      <c r="E77">
        <f>IFERROR(VLOOKUP(CONCATENATE(Table43_1[[#This Row],[Kode BARANG Win2]],3),'Form Fix'!$A$6:$F$205,4,0),0)</f>
        <v>0</v>
      </c>
      <c r="F77">
        <f>IFERROR(VLOOKUP(CONCATENATE(Table43_1[[#This Row],[Kode BARANG Win2]],4),'Form Fix'!$A$6:$F$205,4,0),0)</f>
        <v>0</v>
      </c>
      <c r="G77">
        <f>IFERROR(VLOOKUP(CONCATENATE(Table43_1[[#This Row],[Kode BARANG Win2]],5),'Form Fix'!$A$6:$F$205,4,0),0)</f>
        <v>0</v>
      </c>
    </row>
    <row r="78" spans="1:7">
      <c r="A78" t="s">
        <v>847</v>
      </c>
      <c r="B78" t="s">
        <v>963</v>
      </c>
      <c r="C78" t="str">
        <f>IFERROR(VLOOKUP(CONCATENATE(Table43_1[[#This Row],[Kode BARANG Win2]],1),'Form Fix'!$A$6:$F$205,4,0),0)</f>
        <v>061703502</v>
      </c>
      <c r="D78">
        <f>IFERROR(VLOOKUP(CONCATENATE(Table43_1[[#This Row],[Kode BARANG Win2]],2),'Form Fix'!$A$6:$F$205,4,0),0)</f>
        <v>0</v>
      </c>
      <c r="E78">
        <f>IFERROR(VLOOKUP(CONCATENATE(Table43_1[[#This Row],[Kode BARANG Win2]],3),'Form Fix'!$A$6:$F$205,4,0),0)</f>
        <v>0</v>
      </c>
      <c r="F78">
        <f>IFERROR(VLOOKUP(CONCATENATE(Table43_1[[#This Row],[Kode BARANG Win2]],4),'Form Fix'!$A$6:$F$205,4,0),0)</f>
        <v>0</v>
      </c>
      <c r="G78">
        <f>IFERROR(VLOOKUP(CONCATENATE(Table43_1[[#This Row],[Kode BARANG Win2]],5),'Form Fix'!$A$6:$F$205,4,0),0)</f>
        <v>0</v>
      </c>
    </row>
    <row r="79" spans="1:7">
      <c r="A79" t="s">
        <v>848</v>
      </c>
      <c r="B79" t="s">
        <v>964</v>
      </c>
      <c r="C79" t="str">
        <f>IFERROR(VLOOKUP(CONCATENATE(Table43_1[[#This Row],[Kode BARANG Win2]],1),'Form Fix'!$A$6:$F$205,4,0),0)</f>
        <v>061701300</v>
      </c>
      <c r="D79">
        <f>IFERROR(VLOOKUP(CONCATENATE(Table43_1[[#This Row],[Kode BARANG Win2]],2),'Form Fix'!$A$6:$F$205,4,0),0)</f>
        <v>0</v>
      </c>
      <c r="E79">
        <f>IFERROR(VLOOKUP(CONCATENATE(Table43_1[[#This Row],[Kode BARANG Win2]],3),'Form Fix'!$A$6:$F$205,4,0),0)</f>
        <v>0</v>
      </c>
      <c r="F79">
        <f>IFERROR(VLOOKUP(CONCATENATE(Table43_1[[#This Row],[Kode BARANG Win2]],4),'Form Fix'!$A$6:$F$205,4,0),0)</f>
        <v>0</v>
      </c>
      <c r="G79">
        <f>IFERROR(VLOOKUP(CONCATENATE(Table43_1[[#This Row],[Kode BARANG Win2]],5),'Form Fix'!$A$6:$F$205,4,0),0)</f>
        <v>0</v>
      </c>
    </row>
    <row r="80" spans="1:7">
      <c r="A80" t="s">
        <v>849</v>
      </c>
      <c r="B80" t="s">
        <v>965</v>
      </c>
      <c r="C80" t="str">
        <f>IFERROR(VLOOKUP(CONCATENATE(Table43_1[[#This Row],[Kode BARANG Win2]],1),'Form Fix'!$A$6:$F$205,4,0),0)</f>
        <v>061701502</v>
      </c>
      <c r="D80">
        <f>IFERROR(VLOOKUP(CONCATENATE(Table43_1[[#This Row],[Kode BARANG Win2]],2),'Form Fix'!$A$6:$F$205,4,0),0)</f>
        <v>0</v>
      </c>
      <c r="E80">
        <f>IFERROR(VLOOKUP(CONCATENATE(Table43_1[[#This Row],[Kode BARANG Win2]],3),'Form Fix'!$A$6:$F$205,4,0),0)</f>
        <v>0</v>
      </c>
      <c r="F80">
        <f>IFERROR(VLOOKUP(CONCATENATE(Table43_1[[#This Row],[Kode BARANG Win2]],4),'Form Fix'!$A$6:$F$205,4,0),0)</f>
        <v>0</v>
      </c>
      <c r="G80">
        <f>IFERROR(VLOOKUP(CONCATENATE(Table43_1[[#This Row],[Kode BARANG Win2]],5),'Form Fix'!$A$6:$F$205,4,0),0)</f>
        <v>0</v>
      </c>
    </row>
    <row r="81" spans="1:7">
      <c r="A81" t="s">
        <v>850</v>
      </c>
      <c r="B81" t="s">
        <v>966</v>
      </c>
      <c r="C81" t="str">
        <f>IFERROR(VLOOKUP(CONCATENATE(Table43_1[[#This Row],[Kode BARANG Win2]],1),'Form Fix'!$A$6:$F$205,4,0),0)</f>
        <v>061704300</v>
      </c>
      <c r="D81">
        <f>IFERROR(VLOOKUP(CONCATENATE(Table43_1[[#This Row],[Kode BARANG Win2]],2),'Form Fix'!$A$6:$F$205,4,0),0)</f>
        <v>0</v>
      </c>
      <c r="E81">
        <f>IFERROR(VLOOKUP(CONCATENATE(Table43_1[[#This Row],[Kode BARANG Win2]],3),'Form Fix'!$A$6:$F$205,4,0),0)</f>
        <v>0</v>
      </c>
      <c r="F81">
        <f>IFERROR(VLOOKUP(CONCATENATE(Table43_1[[#This Row],[Kode BARANG Win2]],4),'Form Fix'!$A$6:$F$205,4,0),0)</f>
        <v>0</v>
      </c>
      <c r="G81">
        <f>IFERROR(VLOOKUP(CONCATENATE(Table43_1[[#This Row],[Kode BARANG Win2]],5),'Form Fix'!$A$6:$F$205,4,0),0)</f>
        <v>0</v>
      </c>
    </row>
    <row r="82" spans="1:7">
      <c r="A82" t="s">
        <v>851</v>
      </c>
      <c r="B82" t="s">
        <v>967</v>
      </c>
      <c r="C82" t="str">
        <f>IFERROR(VLOOKUP(CONCATENATE(Table43_1[[#This Row],[Kode BARANG Win2]],1),'Form Fix'!$A$6:$F$205,4,0),0)</f>
        <v>061704502</v>
      </c>
      <c r="D82">
        <f>IFERROR(VLOOKUP(CONCATENATE(Table43_1[[#This Row],[Kode BARANG Win2]],2),'Form Fix'!$A$6:$F$205,4,0),0)</f>
        <v>0</v>
      </c>
      <c r="E82">
        <f>IFERROR(VLOOKUP(CONCATENATE(Table43_1[[#This Row],[Kode BARANG Win2]],3),'Form Fix'!$A$6:$F$205,4,0),0)</f>
        <v>0</v>
      </c>
      <c r="F82">
        <f>IFERROR(VLOOKUP(CONCATENATE(Table43_1[[#This Row],[Kode BARANG Win2]],4),'Form Fix'!$A$6:$F$205,4,0),0)</f>
        <v>0</v>
      </c>
      <c r="G82">
        <f>IFERROR(VLOOKUP(CONCATENATE(Table43_1[[#This Row],[Kode BARANG Win2]],5),'Form Fix'!$A$6:$F$205,4,0),0)</f>
        <v>0</v>
      </c>
    </row>
    <row r="83" spans="1:7">
      <c r="A83" t="s">
        <v>852</v>
      </c>
      <c r="B83" t="s">
        <v>968</v>
      </c>
      <c r="C83" t="str">
        <f>IFERROR(VLOOKUP(CONCATENATE(Table43_1[[#This Row],[Kode BARANG Win2]],1),'Form Fix'!$A$6:$F$205,4,0),0)</f>
        <v>061705300</v>
      </c>
      <c r="D83">
        <f>IFERROR(VLOOKUP(CONCATENATE(Table43_1[[#This Row],[Kode BARANG Win2]],2),'Form Fix'!$A$6:$F$205,4,0),0)</f>
        <v>0</v>
      </c>
      <c r="E83">
        <f>IFERROR(VLOOKUP(CONCATENATE(Table43_1[[#This Row],[Kode BARANG Win2]],3),'Form Fix'!$A$6:$F$205,4,0),0)</f>
        <v>0</v>
      </c>
      <c r="F83">
        <f>IFERROR(VLOOKUP(CONCATENATE(Table43_1[[#This Row],[Kode BARANG Win2]],4),'Form Fix'!$A$6:$F$205,4,0),0)</f>
        <v>0</v>
      </c>
      <c r="G83">
        <f>IFERROR(VLOOKUP(CONCATENATE(Table43_1[[#This Row],[Kode BARANG Win2]],5),'Form Fix'!$A$6:$F$205,4,0),0)</f>
        <v>0</v>
      </c>
    </row>
    <row r="84" spans="1:7">
      <c r="A84" t="s">
        <v>853</v>
      </c>
      <c r="B84" t="s">
        <v>969</v>
      </c>
      <c r="C84" t="str">
        <f>IFERROR(VLOOKUP(CONCATENATE(Table43_1[[#This Row],[Kode BARANG Win2]],1),'Form Fix'!$A$6:$F$205,4,0),0)</f>
        <v>061705502</v>
      </c>
      <c r="D84">
        <f>IFERROR(VLOOKUP(CONCATENATE(Table43_1[[#This Row],[Kode BARANG Win2]],2),'Form Fix'!$A$6:$F$205,4,0),0)</f>
        <v>0</v>
      </c>
      <c r="E84">
        <f>IFERROR(VLOOKUP(CONCATENATE(Table43_1[[#This Row],[Kode BARANG Win2]],3),'Form Fix'!$A$6:$F$205,4,0),0)</f>
        <v>0</v>
      </c>
      <c r="F84">
        <f>IFERROR(VLOOKUP(CONCATENATE(Table43_1[[#This Row],[Kode BARANG Win2]],4),'Form Fix'!$A$6:$F$205,4,0),0)</f>
        <v>0</v>
      </c>
      <c r="G84">
        <f>IFERROR(VLOOKUP(CONCATENATE(Table43_1[[#This Row],[Kode BARANG Win2]],5),'Form Fix'!$A$6:$F$205,4,0),0)</f>
        <v>0</v>
      </c>
    </row>
    <row r="85" spans="1:7">
      <c r="A85" t="s">
        <v>1159</v>
      </c>
      <c r="B85" t="s">
        <v>1183</v>
      </c>
      <c r="C85" t="str">
        <f>IFERROR(VLOOKUP(CONCATENATE(Table43_1[[#This Row],[Kode BARANG Win2]],1),'Form Fix'!$A$6:$F$205,4,0),0)</f>
        <v>061703004</v>
      </c>
      <c r="D85" t="str">
        <f>IFERROR(VLOOKUP(CONCATENATE(Table43_1[[#This Row],[Kode BARANG Win2]],2),'Form Fix'!$A$6:$F$205,4,0),0)</f>
        <v>061704004</v>
      </c>
      <c r="E85">
        <f>IFERROR(VLOOKUP(CONCATENATE(Table43_1[[#This Row],[Kode BARANG Win2]],3),'Form Fix'!$A$6:$F$205,4,0),0)</f>
        <v>0</v>
      </c>
      <c r="F85">
        <f>IFERROR(VLOOKUP(CONCATENATE(Table43_1[[#This Row],[Kode BARANG Win2]],4),'Form Fix'!$A$6:$F$205,4,0),0)</f>
        <v>0</v>
      </c>
      <c r="G85">
        <f>IFERROR(VLOOKUP(CONCATENATE(Table43_1[[#This Row],[Kode BARANG Win2]],5),'Form Fix'!$A$6:$F$205,4,0),0)</f>
        <v>0</v>
      </c>
    </row>
    <row r="86" spans="1:7">
      <c r="A86" t="s">
        <v>1160</v>
      </c>
      <c r="B86" t="s">
        <v>1184</v>
      </c>
      <c r="C86" t="str">
        <f>IFERROR(VLOOKUP(CONCATENATE(Table43_1[[#This Row],[Kode BARANG Win2]],1),'Form Fix'!$A$6:$F$205,4,0),0)</f>
        <v>061704003</v>
      </c>
      <c r="D86" t="str">
        <f>IFERROR(VLOOKUP(CONCATENATE(Table43_1[[#This Row],[Kode BARANG Win2]],2),'Form Fix'!$A$6:$F$205,4,0),0)</f>
        <v>061703006</v>
      </c>
      <c r="E86">
        <f>IFERROR(VLOOKUP(CONCATENATE(Table43_1[[#This Row],[Kode BARANG Win2]],3),'Form Fix'!$A$6:$F$205,4,0),0)</f>
        <v>0</v>
      </c>
      <c r="F86">
        <f>IFERROR(VLOOKUP(CONCATENATE(Table43_1[[#This Row],[Kode BARANG Win2]],4),'Form Fix'!$A$6:$F$205,4,0),0)</f>
        <v>0</v>
      </c>
      <c r="G86">
        <f>IFERROR(VLOOKUP(CONCATENATE(Table43_1[[#This Row],[Kode BARANG Win2]],5),'Form Fix'!$A$6:$F$205,4,0),0)</f>
        <v>0</v>
      </c>
    </row>
    <row r="87" spans="1:7">
      <c r="A87" t="s">
        <v>1161</v>
      </c>
      <c r="B87" t="s">
        <v>1185</v>
      </c>
      <c r="C87" t="str">
        <f>IFERROR(VLOOKUP(CONCATENATE(Table43_1[[#This Row],[Kode BARANG Win2]],1),'Form Fix'!$A$6:$F$205,4,0),0)</f>
        <v>061705004</v>
      </c>
      <c r="D87" t="str">
        <f>IFERROR(VLOOKUP(CONCATENATE(Table43_1[[#This Row],[Kode BARANG Win2]],2),'Form Fix'!$A$6:$F$205,4,0),0)</f>
        <v>061705006</v>
      </c>
      <c r="E87">
        <f>IFERROR(VLOOKUP(CONCATENATE(Table43_1[[#This Row],[Kode BARANG Win2]],3),'Form Fix'!$A$6:$F$205,4,0),0)</f>
        <v>0</v>
      </c>
      <c r="F87">
        <f>IFERROR(VLOOKUP(CONCATENATE(Table43_1[[#This Row],[Kode BARANG Win2]],4),'Form Fix'!$A$6:$F$205,4,0),0)</f>
        <v>0</v>
      </c>
      <c r="G87">
        <f>IFERROR(VLOOKUP(CONCATENATE(Table43_1[[#This Row],[Kode BARANG Win2]],5),'Form Fix'!$A$6:$F$205,4,0),0)</f>
        <v>0</v>
      </c>
    </row>
    <row r="88" spans="1:7">
      <c r="A88" t="s">
        <v>1162</v>
      </c>
      <c r="B88" t="s">
        <v>1209</v>
      </c>
      <c r="C88" t="str">
        <f>IFERROR(VLOOKUP(CONCATENATE(Table43_1[[#This Row],[Kode BARANG Win2]],1),'Form Fix'!$A$6:$F$205,4,0),0)</f>
        <v>061701003</v>
      </c>
      <c r="D88" t="str">
        <f>IFERROR(VLOOKUP(CONCATENATE(Table43_1[[#This Row],[Kode BARANG Win2]],2),'Form Fix'!$A$6:$F$205,4,0),0)</f>
        <v>061701004</v>
      </c>
      <c r="E88">
        <f>IFERROR(VLOOKUP(CONCATENATE(Table43_1[[#This Row],[Kode BARANG Win2]],3),'Form Fix'!$A$6:$F$205,4,0),0)</f>
        <v>0</v>
      </c>
      <c r="F88">
        <f>IFERROR(VLOOKUP(CONCATENATE(Table43_1[[#This Row],[Kode BARANG Win2]],4),'Form Fix'!$A$6:$F$205,4,0),0)</f>
        <v>0</v>
      </c>
      <c r="G88">
        <f>IFERROR(VLOOKUP(CONCATENATE(Table43_1[[#This Row],[Kode BARANG Win2]],5),'Form Fix'!$A$6:$F$205,4,0),0)</f>
        <v>0</v>
      </c>
    </row>
    <row r="89" spans="1:7">
      <c r="A89" t="s">
        <v>1163</v>
      </c>
      <c r="B89" t="s">
        <v>1186</v>
      </c>
      <c r="C89">
        <f>IFERROR(VLOOKUP(CONCATENATE(Table43_1[[#This Row],[Kode BARANG Win2]],1),'Form Fix'!$A$6:$F$205,4,0),0)</f>
        <v>161702000</v>
      </c>
      <c r="D89">
        <f>IFERROR(VLOOKUP(CONCATENATE(Table43_1[[#This Row],[Kode BARANG Win2]],2),'Form Fix'!$A$6:$F$205,4,0),0)</f>
        <v>0</v>
      </c>
      <c r="E89">
        <f>IFERROR(VLOOKUP(CONCATENATE(Table43_1[[#This Row],[Kode BARANG Win2]],3),'Form Fix'!$A$6:$F$205,4,0),0)</f>
        <v>0</v>
      </c>
      <c r="F89">
        <f>IFERROR(VLOOKUP(CONCATENATE(Table43_1[[#This Row],[Kode BARANG Win2]],4),'Form Fix'!$A$6:$F$205,4,0),0)</f>
        <v>0</v>
      </c>
      <c r="G89">
        <f>IFERROR(VLOOKUP(CONCATENATE(Table43_1[[#This Row],[Kode BARANG Win2]],5),'Form Fix'!$A$6:$F$205,4,0),0)</f>
        <v>0</v>
      </c>
    </row>
    <row r="90" spans="1:7">
      <c r="A90" t="s">
        <v>1242</v>
      </c>
      <c r="B90" t="s">
        <v>1251</v>
      </c>
      <c r="C90">
        <f>IFERROR(VLOOKUP(CONCATENATE(Table43_1[[#This Row],[Kode BARANG Win2]],1),'Form Fix'!$A$6:$F$205,4,0),0)</f>
        <v>101701006</v>
      </c>
      <c r="D90">
        <f>IFERROR(VLOOKUP(CONCATENATE(Table43_1[[#This Row],[Kode BARANG Win2]],2),'Form Fix'!$A$6:$F$205,4,0),0)</f>
        <v>0</v>
      </c>
      <c r="E90">
        <f>IFERROR(VLOOKUP(CONCATENATE(Table43_1[[#This Row],[Kode BARANG Win2]],3),'Form Fix'!$A$6:$F$205,4,0),0)</f>
        <v>0</v>
      </c>
      <c r="F90">
        <f>IFERROR(VLOOKUP(CONCATENATE(Table43_1[[#This Row],[Kode BARANG Win2]],4),'Form Fix'!$A$6:$F$205,4,0),0)</f>
        <v>0</v>
      </c>
      <c r="G90">
        <f>IFERROR(VLOOKUP(CONCATENATE(Table43_1[[#This Row],[Kode BARANG Win2]],5),'Form Fix'!$A$6:$F$205,4,0),0)</f>
        <v>0</v>
      </c>
    </row>
    <row r="91" spans="1:7">
      <c r="A91" t="s">
        <v>1297</v>
      </c>
      <c r="B91" t="s">
        <v>1319</v>
      </c>
      <c r="C91">
        <f>IFERROR(VLOOKUP(CONCATENATE(Table43_1[[#This Row],[Kode BARANG Win2]],1),'Form Fix'!$A$6:$F$205,4,0),0)</f>
        <v>171701001</v>
      </c>
      <c r="D91">
        <f>IFERROR(VLOOKUP(CONCATENATE(Table43_1[[#This Row],[Kode BARANG Win2]],2),'Form Fix'!$A$6:$F$205,4,0),0)</f>
        <v>0</v>
      </c>
      <c r="E91">
        <f>IFERROR(VLOOKUP(CONCATENATE(Table43_1[[#This Row],[Kode BARANG Win2]],3),'Form Fix'!$A$6:$F$205,4,0),0)</f>
        <v>0</v>
      </c>
      <c r="F91">
        <f>IFERROR(VLOOKUP(CONCATENATE(Table43_1[[#This Row],[Kode BARANG Win2]],4),'Form Fix'!$A$6:$F$205,4,0),0)</f>
        <v>0</v>
      </c>
      <c r="G91">
        <f>IFERROR(VLOOKUP(CONCATENATE(Table43_1[[#This Row],[Kode BARANG Win2]],5),'Form Fix'!$A$6:$F$205,4,0),0)</f>
        <v>0</v>
      </c>
    </row>
    <row r="92" spans="1:7">
      <c r="A92" t="s">
        <v>1298</v>
      </c>
      <c r="B92" t="s">
        <v>1320</v>
      </c>
      <c r="C92">
        <f>IFERROR(VLOOKUP(CONCATENATE(Table43_1[[#This Row],[Kode BARANG Win2]],1),'Form Fix'!$A$6:$F$205,4,0),0)</f>
        <v>171701000</v>
      </c>
      <c r="D92">
        <f>IFERROR(VLOOKUP(CONCATENATE(Table43_1[[#This Row],[Kode BARANG Win2]],2),'Form Fix'!$A$6:$F$205,4,0),0)</f>
        <v>0</v>
      </c>
      <c r="E92">
        <f>IFERROR(VLOOKUP(CONCATENATE(Table43_1[[#This Row],[Kode BARANG Win2]],3),'Form Fix'!$A$6:$F$205,4,0),0)</f>
        <v>0</v>
      </c>
      <c r="F92">
        <f>IFERROR(VLOOKUP(CONCATENATE(Table43_1[[#This Row],[Kode BARANG Win2]],4),'Form Fix'!$A$6:$F$205,4,0),0)</f>
        <v>0</v>
      </c>
      <c r="G92">
        <f>IFERROR(VLOOKUP(CONCATENATE(Table43_1[[#This Row],[Kode BARANG Win2]],5),'Form Fix'!$A$6:$F$205,4,0),0)</f>
        <v>0</v>
      </c>
    </row>
    <row r="93" spans="1:7">
      <c r="A93" t="s">
        <v>854</v>
      </c>
      <c r="B93" t="s">
        <v>970</v>
      </c>
      <c r="C93" t="str">
        <f>IFERROR(VLOOKUP(CONCATENATE(Table43_1[[#This Row],[Kode BARANG Win2]],1),'Form Fix'!$A$6:$F$205,4,0),0)</f>
        <v>081722100</v>
      </c>
      <c r="D93">
        <f>IFERROR(VLOOKUP(CONCATENATE(Table43_1[[#This Row],[Kode BARANG Win2]],2),'Form Fix'!$A$6:$F$205,4,0),0)</f>
        <v>0</v>
      </c>
      <c r="E93">
        <f>IFERROR(VLOOKUP(CONCATENATE(Table43_1[[#This Row],[Kode BARANG Win2]],3),'Form Fix'!$A$6:$F$205,4,0),0)</f>
        <v>0</v>
      </c>
      <c r="F93">
        <f>IFERROR(VLOOKUP(CONCATENATE(Table43_1[[#This Row],[Kode BARANG Win2]],4),'Form Fix'!$A$6:$F$205,4,0),0)</f>
        <v>0</v>
      </c>
      <c r="G93">
        <f>IFERROR(VLOOKUP(CONCATENATE(Table43_1[[#This Row],[Kode BARANG Win2]],5),'Form Fix'!$A$6:$F$205,4,0),0)</f>
        <v>0</v>
      </c>
    </row>
    <row r="94" spans="1:7">
      <c r="A94" t="s">
        <v>1299</v>
      </c>
      <c r="B94" t="s">
        <v>1321</v>
      </c>
      <c r="C94" t="str">
        <f>IFERROR(VLOOKUP(CONCATENATE(Table43_1[[#This Row],[Kode BARANG Win2]],1),'Form Fix'!$A$6:$F$205,4,0),0)</f>
        <v>081722200</v>
      </c>
      <c r="D94">
        <f>IFERROR(VLOOKUP(CONCATENATE(Table43_1[[#This Row],[Kode BARANG Win2]],2),'Form Fix'!$A$6:$F$205,4,0),0)</f>
        <v>0</v>
      </c>
      <c r="E94">
        <f>IFERROR(VLOOKUP(CONCATENATE(Table43_1[[#This Row],[Kode BARANG Win2]],3),'Form Fix'!$A$6:$F$205,4,0),0)</f>
        <v>0</v>
      </c>
      <c r="F94">
        <f>IFERROR(VLOOKUP(CONCATENATE(Table43_1[[#This Row],[Kode BARANG Win2]],4),'Form Fix'!$A$6:$F$205,4,0),0)</f>
        <v>0</v>
      </c>
      <c r="G94">
        <f>IFERROR(VLOOKUP(CONCATENATE(Table43_1[[#This Row],[Kode BARANG Win2]],5),'Form Fix'!$A$6:$F$205,4,0),0)</f>
        <v>0</v>
      </c>
    </row>
    <row r="95" spans="1:7">
      <c r="A95" t="s">
        <v>855</v>
      </c>
      <c r="B95" t="s">
        <v>971</v>
      </c>
      <c r="C95" t="str">
        <f>IFERROR(VLOOKUP(CONCATENATE(Table43_1[[#This Row],[Kode BARANG Win2]],1),'Form Fix'!$A$6:$F$205,4,0),0)</f>
        <v>081723100</v>
      </c>
      <c r="D95">
        <f>IFERROR(VLOOKUP(CONCATENATE(Table43_1[[#This Row],[Kode BARANG Win2]],2),'Form Fix'!$A$6:$F$205,4,0),0)</f>
        <v>0</v>
      </c>
      <c r="E95">
        <f>IFERROR(VLOOKUP(CONCATENATE(Table43_1[[#This Row],[Kode BARANG Win2]],3),'Form Fix'!$A$6:$F$205,4,0),0)</f>
        <v>0</v>
      </c>
      <c r="F95">
        <f>IFERROR(VLOOKUP(CONCATENATE(Table43_1[[#This Row],[Kode BARANG Win2]],4),'Form Fix'!$A$6:$F$205,4,0),0)</f>
        <v>0</v>
      </c>
      <c r="G95">
        <f>IFERROR(VLOOKUP(CONCATENATE(Table43_1[[#This Row],[Kode BARANG Win2]],5),'Form Fix'!$A$6:$F$205,4,0),0)</f>
        <v>0</v>
      </c>
    </row>
    <row r="96" spans="1:7">
      <c r="A96" t="s">
        <v>856</v>
      </c>
      <c r="B96" t="s">
        <v>972</v>
      </c>
      <c r="C96" t="str">
        <f>IFERROR(VLOOKUP(CONCATENATE(Table43_1[[#This Row],[Kode BARANG Win2]],1),'Form Fix'!$A$6:$F$205,4,0),0)</f>
        <v>081721100</v>
      </c>
      <c r="D96">
        <f>IFERROR(VLOOKUP(CONCATENATE(Table43_1[[#This Row],[Kode BARANG Win2]],2),'Form Fix'!$A$6:$F$205,4,0),0)</f>
        <v>0</v>
      </c>
      <c r="E96">
        <f>IFERROR(VLOOKUP(CONCATENATE(Table43_1[[#This Row],[Kode BARANG Win2]],3),'Form Fix'!$A$6:$F$205,4,0),0)</f>
        <v>0</v>
      </c>
      <c r="F96">
        <f>IFERROR(VLOOKUP(CONCATENATE(Table43_1[[#This Row],[Kode BARANG Win2]],4),'Form Fix'!$A$6:$F$205,4,0),0)</f>
        <v>0</v>
      </c>
      <c r="G96">
        <f>IFERROR(VLOOKUP(CONCATENATE(Table43_1[[#This Row],[Kode BARANG Win2]],5),'Form Fix'!$A$6:$F$205,4,0),0)</f>
        <v>0</v>
      </c>
    </row>
    <row r="97" spans="1:7">
      <c r="A97" t="s">
        <v>857</v>
      </c>
      <c r="B97" t="s">
        <v>973</v>
      </c>
      <c r="C97" t="str">
        <f>IFERROR(VLOOKUP(CONCATENATE(Table43_1[[#This Row],[Kode BARANG Win2]],1),'Form Fix'!$A$6:$F$205,4,0),0)</f>
        <v>191701306</v>
      </c>
      <c r="D97">
        <f>IFERROR(VLOOKUP(CONCATENATE(Table43_1[[#This Row],[Kode BARANG Win2]],2),'Form Fix'!$A$6:$F$205,4,0),0)</f>
        <v>0</v>
      </c>
      <c r="E97">
        <f>IFERROR(VLOOKUP(CONCATENATE(Table43_1[[#This Row],[Kode BARANG Win2]],3),'Form Fix'!$A$6:$F$205,4,0),0)</f>
        <v>0</v>
      </c>
      <c r="F97">
        <f>IFERROR(VLOOKUP(CONCATENATE(Table43_1[[#This Row],[Kode BARANG Win2]],4),'Form Fix'!$A$6:$F$205,4,0),0)</f>
        <v>0</v>
      </c>
      <c r="G97">
        <f>IFERROR(VLOOKUP(CONCATENATE(Table43_1[[#This Row],[Kode BARANG Win2]],5),'Form Fix'!$A$6:$F$205,4,0),0)</f>
        <v>0</v>
      </c>
    </row>
    <row r="98" spans="1:7">
      <c r="A98" t="s">
        <v>1164</v>
      </c>
      <c r="B98" t="s">
        <v>1210</v>
      </c>
      <c r="C98">
        <f>IFERROR(VLOOKUP(CONCATENATE(Table43_1[[#This Row],[Kode BARANG Win2]],1),'Form Fix'!$A$6:$F$205,4,0),0)</f>
        <v>191702002</v>
      </c>
      <c r="D98">
        <f>IFERROR(VLOOKUP(CONCATENATE(Table43_1[[#This Row],[Kode BARANG Win2]],2),'Form Fix'!$A$6:$F$205,4,0),0)</f>
        <v>0</v>
      </c>
      <c r="E98">
        <f>IFERROR(VLOOKUP(CONCATENATE(Table43_1[[#This Row],[Kode BARANG Win2]],3),'Form Fix'!$A$6:$F$205,4,0),0)</f>
        <v>0</v>
      </c>
      <c r="F98">
        <f>IFERROR(VLOOKUP(CONCATENATE(Table43_1[[#This Row],[Kode BARANG Win2]],4),'Form Fix'!$A$6:$F$205,4,0),0)</f>
        <v>0</v>
      </c>
      <c r="G98">
        <f>IFERROR(VLOOKUP(CONCATENATE(Table43_1[[#This Row],[Kode BARANG Win2]],5),'Form Fix'!$A$6:$F$205,4,0),0)</f>
        <v>0</v>
      </c>
    </row>
    <row r="99" spans="1:7">
      <c r="A99" t="s">
        <v>858</v>
      </c>
      <c r="B99" t="s">
        <v>974</v>
      </c>
      <c r="C99" t="str">
        <f>IFERROR(VLOOKUP(CONCATENATE(Table43_1[[#This Row],[Kode BARANG Win2]],1),'Form Fix'!$A$6:$F$205,4,0),0)</f>
        <v>191701307</v>
      </c>
      <c r="D99">
        <f>IFERROR(VLOOKUP(CONCATENATE(Table43_1[[#This Row],[Kode BARANG Win2]],2),'Form Fix'!$A$6:$F$205,4,0),0)</f>
        <v>0</v>
      </c>
      <c r="E99">
        <f>IFERROR(VLOOKUP(CONCATENATE(Table43_1[[#This Row],[Kode BARANG Win2]],3),'Form Fix'!$A$6:$F$205,4,0),0)</f>
        <v>0</v>
      </c>
      <c r="F99">
        <f>IFERROR(VLOOKUP(CONCATENATE(Table43_1[[#This Row],[Kode BARANG Win2]],4),'Form Fix'!$A$6:$F$205,4,0),0)</f>
        <v>0</v>
      </c>
      <c r="G99">
        <f>IFERROR(VLOOKUP(CONCATENATE(Table43_1[[#This Row],[Kode BARANG Win2]],5),'Form Fix'!$A$6:$F$205,4,0),0)</f>
        <v>0</v>
      </c>
    </row>
    <row r="100" spans="1:7">
      <c r="A100" t="s">
        <v>1300</v>
      </c>
      <c r="B100" t="s">
        <v>1322</v>
      </c>
      <c r="C100">
        <f>IFERROR(VLOOKUP(CONCATENATE(Table43_1[[#This Row],[Kode BARANG Win2]],1),'Form Fix'!$A$6:$F$205,4,0),0)</f>
        <v>0</v>
      </c>
      <c r="D100">
        <f>IFERROR(VLOOKUP(CONCATENATE(Table43_1[[#This Row],[Kode BARANG Win2]],2),'Form Fix'!$A$6:$F$205,4,0),0)</f>
        <v>0</v>
      </c>
      <c r="E100">
        <f>IFERROR(VLOOKUP(CONCATENATE(Table43_1[[#This Row],[Kode BARANG Win2]],3),'Form Fix'!$A$6:$F$205,4,0),0)</f>
        <v>0</v>
      </c>
      <c r="F100">
        <f>IFERROR(VLOOKUP(CONCATENATE(Table43_1[[#This Row],[Kode BARANG Win2]],4),'Form Fix'!$A$6:$F$205,4,0),0)</f>
        <v>0</v>
      </c>
      <c r="G100">
        <f>IFERROR(VLOOKUP(CONCATENATE(Table43_1[[#This Row],[Kode BARANG Win2]],5),'Form Fix'!$A$6:$F$205,4,0),0)</f>
        <v>0</v>
      </c>
    </row>
    <row r="101" spans="1:7">
      <c r="A101" t="s">
        <v>859</v>
      </c>
      <c r="B101" t="s">
        <v>1337</v>
      </c>
      <c r="C101">
        <f>IFERROR(VLOOKUP(CONCATENATE(Table43_1[[#This Row],[Kode BARANG Win2]],1),'Form Fix'!$A$6:$F$205,4,0),0)</f>
        <v>191702000</v>
      </c>
      <c r="D101">
        <f>IFERROR(VLOOKUP(CONCATENATE(Table43_1[[#This Row],[Kode BARANG Win2]],2),'Form Fix'!$A$6:$F$205,4,0),0)</f>
        <v>0</v>
      </c>
      <c r="E101">
        <f>IFERROR(VLOOKUP(CONCATENATE(Table43_1[[#This Row],[Kode BARANG Win2]],3),'Form Fix'!$A$6:$F$205,4,0),0)</f>
        <v>0</v>
      </c>
      <c r="F101">
        <f>IFERROR(VLOOKUP(CONCATENATE(Table43_1[[#This Row],[Kode BARANG Win2]],4),'Form Fix'!$A$6:$F$205,4,0),0)</f>
        <v>0</v>
      </c>
      <c r="G101">
        <f>IFERROR(VLOOKUP(CONCATENATE(Table43_1[[#This Row],[Kode BARANG Win2]],5),'Form Fix'!$A$6:$F$205,4,0),0)</f>
        <v>0</v>
      </c>
    </row>
    <row r="102" spans="1:7">
      <c r="A102" t="s">
        <v>1301</v>
      </c>
      <c r="B102" t="s">
        <v>1323</v>
      </c>
      <c r="C102" t="str">
        <f>IFERROR(VLOOKUP(CONCATENATE(Table43_1[[#This Row],[Kode BARANG Win2]],1),'Form Fix'!$A$6:$F$205,4,0),0)</f>
        <v>191704000</v>
      </c>
      <c r="D102">
        <f>IFERROR(VLOOKUP(CONCATENATE(Table43_1[[#This Row],[Kode BARANG Win2]],2),'Form Fix'!$A$6:$F$205,4,0),0)</f>
        <v>0</v>
      </c>
      <c r="E102">
        <f>IFERROR(VLOOKUP(CONCATENATE(Table43_1[[#This Row],[Kode BARANG Win2]],3),'Form Fix'!$A$6:$F$205,4,0),0)</f>
        <v>0</v>
      </c>
      <c r="F102">
        <f>IFERROR(VLOOKUP(CONCATENATE(Table43_1[[#This Row],[Kode BARANG Win2]],4),'Form Fix'!$A$6:$F$205,4,0),0)</f>
        <v>0</v>
      </c>
      <c r="G102">
        <f>IFERROR(VLOOKUP(CONCATENATE(Table43_1[[#This Row],[Kode BARANG Win2]],5),'Form Fix'!$A$6:$F$205,4,0),0)</f>
        <v>0</v>
      </c>
    </row>
    <row r="103" spans="1:7">
      <c r="A103" t="s">
        <v>1243</v>
      </c>
      <c r="B103" t="s">
        <v>1252</v>
      </c>
      <c r="C103">
        <f>IFERROR(VLOOKUP(CONCATENATE(Table43_1[[#This Row],[Kode BARANG Win2]],1),'Form Fix'!$A$6:$F$205,4,0),0)</f>
        <v>191702001</v>
      </c>
      <c r="D103">
        <f>IFERROR(VLOOKUP(CONCATENATE(Table43_1[[#This Row],[Kode BARANG Win2]],2),'Form Fix'!$A$6:$F$205,4,0),0)</f>
        <v>191702003</v>
      </c>
      <c r="E103">
        <f>IFERROR(VLOOKUP(CONCATENATE(Table43_1[[#This Row],[Kode BARANG Win2]],3),'Form Fix'!$A$6:$F$205,4,0),0)</f>
        <v>0</v>
      </c>
      <c r="F103">
        <f>IFERROR(VLOOKUP(CONCATENATE(Table43_1[[#This Row],[Kode BARANG Win2]],4),'Form Fix'!$A$6:$F$205,4,0),0)</f>
        <v>0</v>
      </c>
      <c r="G103">
        <f>IFERROR(VLOOKUP(CONCATENATE(Table43_1[[#This Row],[Kode BARANG Win2]],5),'Form Fix'!$A$6:$F$205,4,0),0)</f>
        <v>0</v>
      </c>
    </row>
    <row r="104" spans="1:7">
      <c r="A104" t="s">
        <v>1302</v>
      </c>
      <c r="B104" t="s">
        <v>1324</v>
      </c>
      <c r="C104">
        <f>IFERROR(VLOOKUP(CONCATENATE(Table43_1[[#This Row],[Kode BARANG Win2]],1),'Form Fix'!$A$6:$F$205,4,0),0)</f>
        <v>191701700</v>
      </c>
      <c r="D104">
        <f>IFERROR(VLOOKUP(CONCATENATE(Table43_1[[#This Row],[Kode BARANG Win2]],2),'Form Fix'!$A$6:$F$205,4,0),0)</f>
        <v>0</v>
      </c>
      <c r="E104">
        <f>IFERROR(VLOOKUP(CONCATENATE(Table43_1[[#This Row],[Kode BARANG Win2]],3),'Form Fix'!$A$6:$F$205,4,0),0)</f>
        <v>0</v>
      </c>
      <c r="F104">
        <f>IFERROR(VLOOKUP(CONCATENATE(Table43_1[[#This Row],[Kode BARANG Win2]],4),'Form Fix'!$A$6:$F$205,4,0),0)</f>
        <v>0</v>
      </c>
      <c r="G104">
        <f>IFERROR(VLOOKUP(CONCATENATE(Table43_1[[#This Row],[Kode BARANG Win2]],5),'Form Fix'!$A$6:$F$205,4,0),0)</f>
        <v>0</v>
      </c>
    </row>
    <row r="105" spans="1:7">
      <c r="A105" t="s">
        <v>860</v>
      </c>
      <c r="B105" t="s">
        <v>975</v>
      </c>
      <c r="C105" t="str">
        <f>IFERROR(VLOOKUP(CONCATENATE(Table43_1[[#This Row],[Kode BARANG Win2]],1),'Form Fix'!$A$6:$F$205,4,0),0)</f>
        <v>041716400</v>
      </c>
      <c r="D105">
        <f>IFERROR(VLOOKUP(CONCATENATE(Table43_1[[#This Row],[Kode BARANG Win2]],2),'Form Fix'!$A$6:$F$205,4,0),0)</f>
        <v>0</v>
      </c>
      <c r="E105">
        <f>IFERROR(VLOOKUP(CONCATENATE(Table43_1[[#This Row],[Kode BARANG Win2]],3),'Form Fix'!$A$6:$F$205,4,0),0)</f>
        <v>0</v>
      </c>
      <c r="F105">
        <f>IFERROR(VLOOKUP(CONCATENATE(Table43_1[[#This Row],[Kode BARANG Win2]],4),'Form Fix'!$A$6:$F$205,4,0),0)</f>
        <v>0</v>
      </c>
      <c r="G105">
        <f>IFERROR(VLOOKUP(CONCATENATE(Table43_1[[#This Row],[Kode BARANG Win2]],5),'Form Fix'!$A$6:$F$205,4,0),0)</f>
        <v>0</v>
      </c>
    </row>
    <row r="106" spans="1:7">
      <c r="A106" t="s">
        <v>861</v>
      </c>
      <c r="B106" t="s">
        <v>976</v>
      </c>
      <c r="C106" t="str">
        <f>IFERROR(VLOOKUP(CONCATENATE(Table43_1[[#This Row],[Kode BARANG Win2]],1),'Form Fix'!$A$6:$F$205,4,0),0)</f>
        <v>041720400</v>
      </c>
      <c r="D106">
        <f>IFERROR(VLOOKUP(CONCATENATE(Table43_1[[#This Row],[Kode BARANG Win2]],2),'Form Fix'!$A$6:$F$205,4,0),0)</f>
        <v>0</v>
      </c>
      <c r="E106">
        <f>IFERROR(VLOOKUP(CONCATENATE(Table43_1[[#This Row],[Kode BARANG Win2]],3),'Form Fix'!$A$6:$F$205,4,0),0)</f>
        <v>0</v>
      </c>
      <c r="F106">
        <f>IFERROR(VLOOKUP(CONCATENATE(Table43_1[[#This Row],[Kode BARANG Win2]],4),'Form Fix'!$A$6:$F$205,4,0),0)</f>
        <v>0</v>
      </c>
      <c r="G106">
        <f>IFERROR(VLOOKUP(CONCATENATE(Table43_1[[#This Row],[Kode BARANG Win2]],5),'Form Fix'!$A$6:$F$205,4,0),0)</f>
        <v>0</v>
      </c>
    </row>
    <row r="107" spans="1:7">
      <c r="A107" t="s">
        <v>862</v>
      </c>
      <c r="B107" t="s">
        <v>977</v>
      </c>
      <c r="C107" t="str">
        <f>IFERROR(VLOOKUP(CONCATENATE(Table43_1[[#This Row],[Kode BARANG Win2]],1),'Form Fix'!$A$6:$F$205,4,0),0)</f>
        <v>041717400</v>
      </c>
      <c r="D107">
        <f>IFERROR(VLOOKUP(CONCATENATE(Table43_1[[#This Row],[Kode BARANG Win2]],2),'Form Fix'!$A$6:$F$205,4,0),0)</f>
        <v>0</v>
      </c>
      <c r="E107">
        <f>IFERROR(VLOOKUP(CONCATENATE(Table43_1[[#This Row],[Kode BARANG Win2]],3),'Form Fix'!$A$6:$F$205,4,0),0)</f>
        <v>0</v>
      </c>
      <c r="F107">
        <f>IFERROR(VLOOKUP(CONCATENATE(Table43_1[[#This Row],[Kode BARANG Win2]],4),'Form Fix'!$A$6:$F$205,4,0),0)</f>
        <v>0</v>
      </c>
      <c r="G107">
        <f>IFERROR(VLOOKUP(CONCATENATE(Table43_1[[#This Row],[Kode BARANG Win2]],5),'Form Fix'!$A$6:$F$205,4,0),0)</f>
        <v>0</v>
      </c>
    </row>
    <row r="108" spans="1:7">
      <c r="A108" t="s">
        <v>863</v>
      </c>
      <c r="B108" t="s">
        <v>978</v>
      </c>
      <c r="C108" t="str">
        <f>IFERROR(VLOOKUP(CONCATENATE(Table43_1[[#This Row],[Kode BARANG Win2]],1),'Form Fix'!$A$6:$F$205,4,0),0)</f>
        <v>041715400</v>
      </c>
      <c r="D108">
        <f>IFERROR(VLOOKUP(CONCATENATE(Table43_1[[#This Row],[Kode BARANG Win2]],2),'Form Fix'!$A$6:$F$205,4,0),0)</f>
        <v>0</v>
      </c>
      <c r="E108">
        <f>IFERROR(VLOOKUP(CONCATENATE(Table43_1[[#This Row],[Kode BARANG Win2]],3),'Form Fix'!$A$6:$F$205,4,0),0)</f>
        <v>0</v>
      </c>
      <c r="F108">
        <f>IFERROR(VLOOKUP(CONCATENATE(Table43_1[[#This Row],[Kode BARANG Win2]],4),'Form Fix'!$A$6:$F$205,4,0),0)</f>
        <v>0</v>
      </c>
      <c r="G108">
        <f>IFERROR(VLOOKUP(CONCATENATE(Table43_1[[#This Row],[Kode BARANG Win2]],5),'Form Fix'!$A$6:$F$205,4,0),0)</f>
        <v>0</v>
      </c>
    </row>
    <row r="109" spans="1:7">
      <c r="A109" t="s">
        <v>864</v>
      </c>
      <c r="B109" t="s">
        <v>979</v>
      </c>
      <c r="C109" t="str">
        <f>IFERROR(VLOOKUP(CONCATENATE(Table43_1[[#This Row],[Kode BARANG Win2]],1),'Form Fix'!$A$6:$F$205,4,0),0)</f>
        <v>041718400</v>
      </c>
      <c r="D109">
        <f>IFERROR(VLOOKUP(CONCATENATE(Table43_1[[#This Row],[Kode BARANG Win2]],2),'Form Fix'!$A$6:$F$205,4,0),0)</f>
        <v>0</v>
      </c>
      <c r="E109">
        <f>IFERROR(VLOOKUP(CONCATENATE(Table43_1[[#This Row],[Kode BARANG Win2]],3),'Form Fix'!$A$6:$F$205,4,0),0)</f>
        <v>0</v>
      </c>
      <c r="F109">
        <f>IFERROR(VLOOKUP(CONCATENATE(Table43_1[[#This Row],[Kode BARANG Win2]],4),'Form Fix'!$A$6:$F$205,4,0),0)</f>
        <v>0</v>
      </c>
      <c r="G109">
        <f>IFERROR(VLOOKUP(CONCATENATE(Table43_1[[#This Row],[Kode BARANG Win2]],5),'Form Fix'!$A$6:$F$205,4,0),0)</f>
        <v>0</v>
      </c>
    </row>
    <row r="110" spans="1:7">
      <c r="A110" t="s">
        <v>865</v>
      </c>
      <c r="B110" t="s">
        <v>980</v>
      </c>
      <c r="C110" t="str">
        <f>IFERROR(VLOOKUP(CONCATENATE(Table43_1[[#This Row],[Kode BARANG Win2]],1),'Form Fix'!$A$6:$F$205,4,0),0)</f>
        <v>041719400</v>
      </c>
      <c r="D110">
        <f>IFERROR(VLOOKUP(CONCATENATE(Table43_1[[#This Row],[Kode BARANG Win2]],2),'Form Fix'!$A$6:$F$205,4,0),0)</f>
        <v>0</v>
      </c>
      <c r="E110">
        <f>IFERROR(VLOOKUP(CONCATENATE(Table43_1[[#This Row],[Kode BARANG Win2]],3),'Form Fix'!$A$6:$F$205,4,0),0)</f>
        <v>0</v>
      </c>
      <c r="F110">
        <f>IFERROR(VLOOKUP(CONCATENATE(Table43_1[[#This Row],[Kode BARANG Win2]],4),'Form Fix'!$A$6:$F$205,4,0),0)</f>
        <v>0</v>
      </c>
      <c r="G110">
        <f>IFERROR(VLOOKUP(CONCATENATE(Table43_1[[#This Row],[Kode BARANG Win2]],5),'Form Fix'!$A$6:$F$205,4,0),0)</f>
        <v>0</v>
      </c>
    </row>
    <row r="111" spans="1:7">
      <c r="A111" t="s">
        <v>1244</v>
      </c>
      <c r="B111" t="s">
        <v>1253</v>
      </c>
      <c r="C111" t="str">
        <f>IFERROR(VLOOKUP(CONCATENATE(Table43_1[[#This Row],[Kode BARANG Win2]],1),'Form Fix'!$A$6:$F$205,4,0),0)</f>
        <v>041701000</v>
      </c>
      <c r="D111">
        <f>IFERROR(VLOOKUP(CONCATENATE(Table43_1[[#This Row],[Kode BARANG Win2]],2),'Form Fix'!$A$6:$F$205,4,0),0)</f>
        <v>0</v>
      </c>
      <c r="E111">
        <f>IFERROR(VLOOKUP(CONCATENATE(Table43_1[[#This Row],[Kode BARANG Win2]],3),'Form Fix'!$A$6:$F$205,4,0),0)</f>
        <v>0</v>
      </c>
      <c r="F111">
        <f>IFERROR(VLOOKUP(CONCATENATE(Table43_1[[#This Row],[Kode BARANG Win2]],4),'Form Fix'!$A$6:$F$205,4,0),0)</f>
        <v>0</v>
      </c>
      <c r="G111">
        <f>IFERROR(VLOOKUP(CONCATENATE(Table43_1[[#This Row],[Kode BARANG Win2]],5),'Form Fix'!$A$6:$F$205,4,0),0)</f>
        <v>0</v>
      </c>
    </row>
    <row r="112" spans="1:7">
      <c r="A112" t="s">
        <v>1245</v>
      </c>
      <c r="B112" t="s">
        <v>1254</v>
      </c>
      <c r="C112" t="str">
        <f>IFERROR(VLOOKUP(CONCATENATE(Table43_1[[#This Row],[Kode BARANG Win2]],1),'Form Fix'!$A$6:$F$205,4,0),0)</f>
        <v>041703000</v>
      </c>
      <c r="D112">
        <f>IFERROR(VLOOKUP(CONCATENATE(Table43_1[[#This Row],[Kode BARANG Win2]],2),'Form Fix'!$A$6:$F$205,4,0),0)</f>
        <v>0</v>
      </c>
      <c r="E112">
        <f>IFERROR(VLOOKUP(CONCATENATE(Table43_1[[#This Row],[Kode BARANG Win2]],3),'Form Fix'!$A$6:$F$205,4,0),0)</f>
        <v>0</v>
      </c>
      <c r="F112">
        <f>IFERROR(VLOOKUP(CONCATENATE(Table43_1[[#This Row],[Kode BARANG Win2]],4),'Form Fix'!$A$6:$F$205,4,0),0)</f>
        <v>0</v>
      </c>
      <c r="G112">
        <f>IFERROR(VLOOKUP(CONCATENATE(Table43_1[[#This Row],[Kode BARANG Win2]],5),'Form Fix'!$A$6:$F$205,4,0),0)</f>
        <v>0</v>
      </c>
    </row>
    <row r="113" spans="1:7">
      <c r="A113" t="s">
        <v>1303</v>
      </c>
      <c r="B113" t="s">
        <v>1325</v>
      </c>
      <c r="C113" t="str">
        <f>IFERROR(VLOOKUP(CONCATENATE(Table43_1[[#This Row],[Kode BARANG Win2]],1),'Form Fix'!$A$6:$F$205,4,0),0)</f>
        <v>041703100</v>
      </c>
      <c r="D113">
        <f>IFERROR(VLOOKUP(CONCATENATE(Table43_1[[#This Row],[Kode BARANG Win2]],2),'Form Fix'!$A$6:$F$205,4,0),0)</f>
        <v>0</v>
      </c>
      <c r="E113">
        <f>IFERROR(VLOOKUP(CONCATENATE(Table43_1[[#This Row],[Kode BARANG Win2]],3),'Form Fix'!$A$6:$F$205,4,0),0)</f>
        <v>0</v>
      </c>
      <c r="F113">
        <f>IFERROR(VLOOKUP(CONCATENATE(Table43_1[[#This Row],[Kode BARANG Win2]],4),'Form Fix'!$A$6:$F$205,4,0),0)</f>
        <v>0</v>
      </c>
      <c r="G113">
        <f>IFERROR(VLOOKUP(CONCATENATE(Table43_1[[#This Row],[Kode BARANG Win2]],5),'Form Fix'!$A$6:$F$205,4,0),0)</f>
        <v>0</v>
      </c>
    </row>
    <row r="114" spans="1:7">
      <c r="A114" t="s">
        <v>1304</v>
      </c>
      <c r="B114" t="s">
        <v>1326</v>
      </c>
      <c r="C114" t="str">
        <f>IFERROR(VLOOKUP(CONCATENATE(Table43_1[[#This Row],[Kode BARANG Win2]],1),'Form Fix'!$A$6:$F$205,4,0),0)</f>
        <v>041702001</v>
      </c>
      <c r="D114">
        <f>IFERROR(VLOOKUP(CONCATENATE(Table43_1[[#This Row],[Kode BARANG Win2]],2),'Form Fix'!$A$6:$F$205,4,0),0)</f>
        <v>0</v>
      </c>
      <c r="E114">
        <f>IFERROR(VLOOKUP(CONCATENATE(Table43_1[[#This Row],[Kode BARANG Win2]],3),'Form Fix'!$A$6:$F$205,4,0),0)</f>
        <v>0</v>
      </c>
      <c r="F114">
        <f>IFERROR(VLOOKUP(CONCATENATE(Table43_1[[#This Row],[Kode BARANG Win2]],4),'Form Fix'!$A$6:$F$205,4,0),0)</f>
        <v>0</v>
      </c>
      <c r="G114">
        <f>IFERROR(VLOOKUP(CONCATENATE(Table43_1[[#This Row],[Kode BARANG Win2]],5),'Form Fix'!$A$6:$F$205,4,0),0)</f>
        <v>0</v>
      </c>
    </row>
    <row r="115" spans="1:7">
      <c r="A115" t="s">
        <v>1165</v>
      </c>
      <c r="B115" t="s">
        <v>1211</v>
      </c>
      <c r="C115">
        <f>IFERROR(VLOOKUP(CONCATENATE(Table43_1[[#This Row],[Kode BARANG Win2]],1),'Form Fix'!$A$6:$F$205,4,0),0)</f>
        <v>0</v>
      </c>
      <c r="D115">
        <f>IFERROR(VLOOKUP(CONCATENATE(Table43_1[[#This Row],[Kode BARANG Win2]],2),'Form Fix'!$A$6:$F$205,4,0),0)</f>
        <v>0</v>
      </c>
      <c r="E115">
        <f>IFERROR(VLOOKUP(CONCATENATE(Table43_1[[#This Row],[Kode BARANG Win2]],3),'Form Fix'!$A$6:$F$205,4,0),0)</f>
        <v>0</v>
      </c>
      <c r="F115">
        <f>IFERROR(VLOOKUP(CONCATENATE(Table43_1[[#This Row],[Kode BARANG Win2]],4),'Form Fix'!$A$6:$F$205,4,0),0)</f>
        <v>0</v>
      </c>
      <c r="G115">
        <f>IFERROR(VLOOKUP(CONCATENATE(Table43_1[[#This Row],[Kode BARANG Win2]],5),'Form Fix'!$A$6:$F$205,4,0),0)</f>
        <v>0</v>
      </c>
    </row>
    <row r="116" spans="1:7">
      <c r="A116" t="s">
        <v>1166</v>
      </c>
      <c r="B116" t="s">
        <v>1212</v>
      </c>
      <c r="C116">
        <f>IFERROR(VLOOKUP(CONCATENATE(Table43_1[[#This Row],[Kode BARANG Win2]],1),'Form Fix'!$A$6:$F$205,4,0),0)</f>
        <v>0</v>
      </c>
      <c r="D116">
        <f>IFERROR(VLOOKUP(CONCATENATE(Table43_1[[#This Row],[Kode BARANG Win2]],2),'Form Fix'!$A$6:$F$205,4,0),0)</f>
        <v>0</v>
      </c>
      <c r="E116">
        <f>IFERROR(VLOOKUP(CONCATENATE(Table43_1[[#This Row],[Kode BARANG Win2]],3),'Form Fix'!$A$6:$F$205,4,0),0)</f>
        <v>0</v>
      </c>
      <c r="F116">
        <f>IFERROR(VLOOKUP(CONCATENATE(Table43_1[[#This Row],[Kode BARANG Win2]],4),'Form Fix'!$A$6:$F$205,4,0),0)</f>
        <v>0</v>
      </c>
      <c r="G116">
        <f>IFERROR(VLOOKUP(CONCATENATE(Table43_1[[#This Row],[Kode BARANG Win2]],5),'Form Fix'!$A$6:$F$205,4,0),0)</f>
        <v>0</v>
      </c>
    </row>
    <row r="117" spans="1:7">
      <c r="A117" t="s">
        <v>866</v>
      </c>
      <c r="B117" t="s">
        <v>981</v>
      </c>
      <c r="C117" t="str">
        <f>IFERROR(VLOOKUP(CONCATENATE(Table43_1[[#This Row],[Kode BARANG Win2]],1),'Form Fix'!$A$6:$F$205,4,0),0)</f>
        <v>051706300</v>
      </c>
      <c r="D117">
        <f>IFERROR(VLOOKUP(CONCATENATE(Table43_1[[#This Row],[Kode BARANG Win2]],2),'Form Fix'!$A$6:$F$205,4,0),0)</f>
        <v>0</v>
      </c>
      <c r="E117">
        <f>IFERROR(VLOOKUP(CONCATENATE(Table43_1[[#This Row],[Kode BARANG Win2]],3),'Form Fix'!$A$6:$F$205,4,0),0)</f>
        <v>0</v>
      </c>
      <c r="F117">
        <f>IFERROR(VLOOKUP(CONCATENATE(Table43_1[[#This Row],[Kode BARANG Win2]],4),'Form Fix'!$A$6:$F$205,4,0),0)</f>
        <v>0</v>
      </c>
      <c r="G117">
        <f>IFERROR(VLOOKUP(CONCATENATE(Table43_1[[#This Row],[Kode BARANG Win2]],5),'Form Fix'!$A$6:$F$205,4,0),0)</f>
        <v>0</v>
      </c>
    </row>
    <row r="118" spans="1:7">
      <c r="A118" t="s">
        <v>867</v>
      </c>
      <c r="B118" t="s">
        <v>982</v>
      </c>
      <c r="C118" t="str">
        <f>IFERROR(VLOOKUP(CONCATENATE(Table43_1[[#This Row],[Kode BARANG Win2]],1),'Form Fix'!$A$6:$F$205,4,0),0)</f>
        <v>051703300</v>
      </c>
      <c r="D118">
        <f>IFERROR(VLOOKUP(CONCATENATE(Table43_1[[#This Row],[Kode BARANG Win2]],2),'Form Fix'!$A$6:$F$205,4,0),0)</f>
        <v>0</v>
      </c>
      <c r="E118">
        <f>IFERROR(VLOOKUP(CONCATENATE(Table43_1[[#This Row],[Kode BARANG Win2]],3),'Form Fix'!$A$6:$F$205,4,0),0)</f>
        <v>0</v>
      </c>
      <c r="F118">
        <f>IFERROR(VLOOKUP(CONCATENATE(Table43_1[[#This Row],[Kode BARANG Win2]],4),'Form Fix'!$A$6:$F$205,4,0),0)</f>
        <v>0</v>
      </c>
      <c r="G118">
        <f>IFERROR(VLOOKUP(CONCATENATE(Table43_1[[#This Row],[Kode BARANG Win2]],5),'Form Fix'!$A$6:$F$205,4,0),0)</f>
        <v>0</v>
      </c>
    </row>
    <row r="119" spans="1:7">
      <c r="A119" t="s">
        <v>868</v>
      </c>
      <c r="B119" t="s">
        <v>983</v>
      </c>
      <c r="C119" t="str">
        <f>IFERROR(VLOOKUP(CONCATENATE(Table43_1[[#This Row],[Kode BARANG Win2]],1),'Form Fix'!$A$6:$F$205,4,0),0)</f>
        <v>051704300</v>
      </c>
      <c r="D119">
        <f>IFERROR(VLOOKUP(CONCATENATE(Table43_1[[#This Row],[Kode BARANG Win2]],2),'Form Fix'!$A$6:$F$205,4,0),0)</f>
        <v>0</v>
      </c>
      <c r="E119">
        <f>IFERROR(VLOOKUP(CONCATENATE(Table43_1[[#This Row],[Kode BARANG Win2]],3),'Form Fix'!$A$6:$F$205,4,0),0)</f>
        <v>0</v>
      </c>
      <c r="F119">
        <f>IFERROR(VLOOKUP(CONCATENATE(Table43_1[[#This Row],[Kode BARANG Win2]],4),'Form Fix'!$A$6:$F$205,4,0),0)</f>
        <v>0</v>
      </c>
      <c r="G119">
        <f>IFERROR(VLOOKUP(CONCATENATE(Table43_1[[#This Row],[Kode BARANG Win2]],5),'Form Fix'!$A$6:$F$205,4,0),0)</f>
        <v>0</v>
      </c>
    </row>
    <row r="120" spans="1:7">
      <c r="A120" t="s">
        <v>869</v>
      </c>
      <c r="B120" t="s">
        <v>984</v>
      </c>
      <c r="C120" t="str">
        <f>IFERROR(VLOOKUP(CONCATENATE(Table43_1[[#This Row],[Kode BARANG Win2]],1),'Form Fix'!$A$6:$F$205,4,0),0)</f>
        <v>051705300</v>
      </c>
      <c r="D120">
        <f>IFERROR(VLOOKUP(CONCATENATE(Table43_1[[#This Row],[Kode BARANG Win2]],2),'Form Fix'!$A$6:$F$205,4,0),0)</f>
        <v>0</v>
      </c>
      <c r="E120">
        <f>IFERROR(VLOOKUP(CONCATENATE(Table43_1[[#This Row],[Kode BARANG Win2]],3),'Form Fix'!$A$6:$F$205,4,0),0)</f>
        <v>0</v>
      </c>
      <c r="F120">
        <f>IFERROR(VLOOKUP(CONCATENATE(Table43_1[[#This Row],[Kode BARANG Win2]],4),'Form Fix'!$A$6:$F$205,4,0),0)</f>
        <v>0</v>
      </c>
      <c r="G120">
        <f>IFERROR(VLOOKUP(CONCATENATE(Table43_1[[#This Row],[Kode BARANG Win2]],5),'Form Fix'!$A$6:$F$205,4,0),0)</f>
        <v>0</v>
      </c>
    </row>
    <row r="121" spans="1:7">
      <c r="A121" t="s">
        <v>870</v>
      </c>
      <c r="B121" t="s">
        <v>985</v>
      </c>
      <c r="C121" t="str">
        <f>IFERROR(VLOOKUP(CONCATENATE(Table43_1[[#This Row],[Kode BARANG Win2]],1),'Form Fix'!$A$6:$F$205,4,0),0)</f>
        <v>051702300</v>
      </c>
      <c r="D121">
        <f>IFERROR(VLOOKUP(CONCATENATE(Table43_1[[#This Row],[Kode BARANG Win2]],2),'Form Fix'!$A$6:$F$205,4,0),0)</f>
        <v>0</v>
      </c>
      <c r="E121">
        <f>IFERROR(VLOOKUP(CONCATENATE(Table43_1[[#This Row],[Kode BARANG Win2]],3),'Form Fix'!$A$6:$F$205,4,0),0)</f>
        <v>0</v>
      </c>
      <c r="F121">
        <f>IFERROR(VLOOKUP(CONCATENATE(Table43_1[[#This Row],[Kode BARANG Win2]],4),'Form Fix'!$A$6:$F$205,4,0),0)</f>
        <v>0</v>
      </c>
      <c r="G121">
        <f>IFERROR(VLOOKUP(CONCATENATE(Table43_1[[#This Row],[Kode BARANG Win2]],5),'Form Fix'!$A$6:$F$205,4,0),0)</f>
        <v>0</v>
      </c>
    </row>
    <row r="122" spans="1:7">
      <c r="A122" t="s">
        <v>1167</v>
      </c>
      <c r="B122" t="s">
        <v>1187</v>
      </c>
      <c r="C122" t="str">
        <f>IFERROR(VLOOKUP(CONCATENATE(Table43_1[[#This Row],[Kode BARANG Win2]],1),'Form Fix'!$A$6:$F$205,4,0),0)</f>
        <v>051702700</v>
      </c>
      <c r="D122">
        <f>IFERROR(VLOOKUP(CONCATENATE(Table43_1[[#This Row],[Kode BARANG Win2]],2),'Form Fix'!$A$6:$F$205,4,0),0)</f>
        <v>0</v>
      </c>
      <c r="E122">
        <f>IFERROR(VLOOKUP(CONCATENATE(Table43_1[[#This Row],[Kode BARANG Win2]],3),'Form Fix'!$A$6:$F$205,4,0),0)</f>
        <v>0</v>
      </c>
      <c r="F122">
        <f>IFERROR(VLOOKUP(CONCATENATE(Table43_1[[#This Row],[Kode BARANG Win2]],4),'Form Fix'!$A$6:$F$205,4,0),0)</f>
        <v>0</v>
      </c>
      <c r="G122">
        <f>IFERROR(VLOOKUP(CONCATENATE(Table43_1[[#This Row],[Kode BARANG Win2]],5),'Form Fix'!$A$6:$F$205,4,0),0)</f>
        <v>0</v>
      </c>
    </row>
    <row r="123" spans="1:7">
      <c r="A123" t="s">
        <v>871</v>
      </c>
      <c r="B123" t="s">
        <v>986</v>
      </c>
      <c r="C123" t="str">
        <f>IFERROR(VLOOKUP(CONCATENATE(Table43_1[[#This Row],[Kode BARANG Win2]],1),'Form Fix'!$A$6:$F$205,4,0),0)</f>
        <v>051702800</v>
      </c>
      <c r="D123">
        <f>IFERROR(VLOOKUP(CONCATENATE(Table43_1[[#This Row],[Kode BARANG Win2]],2),'Form Fix'!$A$6:$F$205,4,0),0)</f>
        <v>0</v>
      </c>
      <c r="E123">
        <f>IFERROR(VLOOKUP(CONCATENATE(Table43_1[[#This Row],[Kode BARANG Win2]],3),'Form Fix'!$A$6:$F$205,4,0),0)</f>
        <v>0</v>
      </c>
      <c r="F123">
        <f>IFERROR(VLOOKUP(CONCATENATE(Table43_1[[#This Row],[Kode BARANG Win2]],4),'Form Fix'!$A$6:$F$205,4,0),0)</f>
        <v>0</v>
      </c>
      <c r="G123">
        <f>IFERROR(VLOOKUP(CONCATENATE(Table43_1[[#This Row],[Kode BARANG Win2]],5),'Form Fix'!$A$6:$F$205,4,0),0)</f>
        <v>0</v>
      </c>
    </row>
    <row r="124" spans="1:7">
      <c r="A124" t="s">
        <v>1168</v>
      </c>
      <c r="B124" t="s">
        <v>1188</v>
      </c>
      <c r="C124" t="str">
        <f>IFERROR(VLOOKUP(CONCATENATE(Table43_1[[#This Row],[Kode BARANG Win2]],1),'Form Fix'!$A$6:$F$205,4,0),0)</f>
        <v>051706700</v>
      </c>
      <c r="D124">
        <f>IFERROR(VLOOKUP(CONCATENATE(Table43_1[[#This Row],[Kode BARANG Win2]],2),'Form Fix'!$A$6:$F$205,4,0),0)</f>
        <v>0</v>
      </c>
      <c r="E124">
        <f>IFERROR(VLOOKUP(CONCATENATE(Table43_1[[#This Row],[Kode BARANG Win2]],3),'Form Fix'!$A$6:$F$205,4,0),0)</f>
        <v>0</v>
      </c>
      <c r="F124">
        <f>IFERROR(VLOOKUP(CONCATENATE(Table43_1[[#This Row],[Kode BARANG Win2]],4),'Form Fix'!$A$6:$F$205,4,0),0)</f>
        <v>0</v>
      </c>
      <c r="G124">
        <f>IFERROR(VLOOKUP(CONCATENATE(Table43_1[[#This Row],[Kode BARANG Win2]],5),'Form Fix'!$A$6:$F$205,4,0),0)</f>
        <v>0</v>
      </c>
    </row>
    <row r="125" spans="1:7">
      <c r="A125" t="s">
        <v>872</v>
      </c>
      <c r="B125" t="s">
        <v>987</v>
      </c>
      <c r="C125" t="str">
        <f>IFERROR(VLOOKUP(CONCATENATE(Table43_1[[#This Row],[Kode BARANG Win2]],1),'Form Fix'!$A$6:$F$205,4,0),0)</f>
        <v>051706800</v>
      </c>
      <c r="D125">
        <f>IFERROR(VLOOKUP(CONCATENATE(Table43_1[[#This Row],[Kode BARANG Win2]],2),'Form Fix'!$A$6:$F$205,4,0),0)</f>
        <v>0</v>
      </c>
      <c r="E125">
        <f>IFERROR(VLOOKUP(CONCATENATE(Table43_1[[#This Row],[Kode BARANG Win2]],3),'Form Fix'!$A$6:$F$205,4,0),0)</f>
        <v>0</v>
      </c>
      <c r="F125">
        <f>IFERROR(VLOOKUP(CONCATENATE(Table43_1[[#This Row],[Kode BARANG Win2]],4),'Form Fix'!$A$6:$F$205,4,0),0)</f>
        <v>0</v>
      </c>
      <c r="G125">
        <f>IFERROR(VLOOKUP(CONCATENATE(Table43_1[[#This Row],[Kode BARANG Win2]],5),'Form Fix'!$A$6:$F$205,4,0),0)</f>
        <v>0</v>
      </c>
    </row>
    <row r="126" spans="1:7">
      <c r="A126" t="s">
        <v>873</v>
      </c>
      <c r="B126" t="s">
        <v>988</v>
      </c>
      <c r="C126" t="str">
        <f>IFERROR(VLOOKUP(CONCATENATE(Table43_1[[#This Row],[Kode BARANG Win2]],1),'Form Fix'!$A$6:$F$205,4,0),0)</f>
        <v>051703700</v>
      </c>
      <c r="D126">
        <f>IFERROR(VLOOKUP(CONCATENATE(Table43_1[[#This Row],[Kode BARANG Win2]],2),'Form Fix'!$A$6:$F$205,4,0),0)</f>
        <v>0</v>
      </c>
      <c r="E126">
        <f>IFERROR(VLOOKUP(CONCATENATE(Table43_1[[#This Row],[Kode BARANG Win2]],3),'Form Fix'!$A$6:$F$205,4,0),0)</f>
        <v>0</v>
      </c>
      <c r="F126">
        <f>IFERROR(VLOOKUP(CONCATENATE(Table43_1[[#This Row],[Kode BARANG Win2]],4),'Form Fix'!$A$6:$F$205,4,0),0)</f>
        <v>0</v>
      </c>
      <c r="G126">
        <f>IFERROR(VLOOKUP(CONCATENATE(Table43_1[[#This Row],[Kode BARANG Win2]],5),'Form Fix'!$A$6:$F$205,4,0),0)</f>
        <v>0</v>
      </c>
    </row>
    <row r="127" spans="1:7">
      <c r="A127" t="s">
        <v>874</v>
      </c>
      <c r="B127" t="s">
        <v>989</v>
      </c>
      <c r="C127" t="str">
        <f>IFERROR(VLOOKUP(CONCATENATE(Table43_1[[#This Row],[Kode BARANG Win2]],1),'Form Fix'!$A$6:$F$205,4,0),0)</f>
        <v>051703800</v>
      </c>
      <c r="D127">
        <f>IFERROR(VLOOKUP(CONCATENATE(Table43_1[[#This Row],[Kode BARANG Win2]],2),'Form Fix'!$A$6:$F$205,4,0),0)</f>
        <v>0</v>
      </c>
      <c r="E127">
        <f>IFERROR(VLOOKUP(CONCATENATE(Table43_1[[#This Row],[Kode BARANG Win2]],3),'Form Fix'!$A$6:$F$205,4,0),0)</f>
        <v>0</v>
      </c>
      <c r="F127">
        <f>IFERROR(VLOOKUP(CONCATENATE(Table43_1[[#This Row],[Kode BARANG Win2]],4),'Form Fix'!$A$6:$F$205,4,0),0)</f>
        <v>0</v>
      </c>
      <c r="G127">
        <f>IFERROR(VLOOKUP(CONCATENATE(Table43_1[[#This Row],[Kode BARANG Win2]],5),'Form Fix'!$A$6:$F$205,4,0),0)</f>
        <v>0</v>
      </c>
    </row>
    <row r="128" spans="1:7">
      <c r="A128" t="s">
        <v>875</v>
      </c>
      <c r="B128" t="s">
        <v>990</v>
      </c>
      <c r="C128" t="str">
        <f>IFERROR(VLOOKUP(CONCATENATE(Table43_1[[#This Row],[Kode BARANG Win2]],1),'Form Fix'!$A$6:$F$205,4,0),0)</f>
        <v>051701700</v>
      </c>
      <c r="D128">
        <f>IFERROR(VLOOKUP(CONCATENATE(Table43_1[[#This Row],[Kode BARANG Win2]],2),'Form Fix'!$A$6:$F$205,4,0),0)</f>
        <v>0</v>
      </c>
      <c r="E128">
        <f>IFERROR(VLOOKUP(CONCATENATE(Table43_1[[#This Row],[Kode BARANG Win2]],3),'Form Fix'!$A$6:$F$205,4,0),0)</f>
        <v>0</v>
      </c>
      <c r="F128">
        <f>IFERROR(VLOOKUP(CONCATENATE(Table43_1[[#This Row],[Kode BARANG Win2]],4),'Form Fix'!$A$6:$F$205,4,0),0)</f>
        <v>0</v>
      </c>
      <c r="G128">
        <f>IFERROR(VLOOKUP(CONCATENATE(Table43_1[[#This Row],[Kode BARANG Win2]],5),'Form Fix'!$A$6:$F$205,4,0),0)</f>
        <v>0</v>
      </c>
    </row>
    <row r="129" spans="1:7">
      <c r="A129" t="s">
        <v>876</v>
      </c>
      <c r="B129" t="s">
        <v>991</v>
      </c>
      <c r="C129" t="str">
        <f>IFERROR(VLOOKUP(CONCATENATE(Table43_1[[#This Row],[Kode BARANG Win2]],1),'Form Fix'!$A$6:$F$205,4,0),0)</f>
        <v>051701800</v>
      </c>
      <c r="D129">
        <f>IFERROR(VLOOKUP(CONCATENATE(Table43_1[[#This Row],[Kode BARANG Win2]],2),'Form Fix'!$A$6:$F$205,4,0),0)</f>
        <v>0</v>
      </c>
      <c r="E129">
        <f>IFERROR(VLOOKUP(CONCATENATE(Table43_1[[#This Row],[Kode BARANG Win2]],3),'Form Fix'!$A$6:$F$205,4,0),0)</f>
        <v>0</v>
      </c>
      <c r="F129">
        <f>IFERROR(VLOOKUP(CONCATENATE(Table43_1[[#This Row],[Kode BARANG Win2]],4),'Form Fix'!$A$6:$F$205,4,0),0)</f>
        <v>0</v>
      </c>
      <c r="G129">
        <f>IFERROR(VLOOKUP(CONCATENATE(Table43_1[[#This Row],[Kode BARANG Win2]],5),'Form Fix'!$A$6:$F$205,4,0),0)</f>
        <v>0</v>
      </c>
    </row>
    <row r="130" spans="1:7">
      <c r="A130" t="s">
        <v>1169</v>
      </c>
      <c r="B130" t="s">
        <v>1189</v>
      </c>
      <c r="C130" t="str">
        <f>IFERROR(VLOOKUP(CONCATENATE(Table43_1[[#This Row],[Kode BARANG Win2]],1),'Form Fix'!$A$6:$F$205,4,0),0)</f>
        <v>051704700</v>
      </c>
      <c r="D130">
        <f>IFERROR(VLOOKUP(CONCATENATE(Table43_1[[#This Row],[Kode BARANG Win2]],2),'Form Fix'!$A$6:$F$205,4,0),0)</f>
        <v>0</v>
      </c>
      <c r="E130">
        <f>IFERROR(VLOOKUP(CONCATENATE(Table43_1[[#This Row],[Kode BARANG Win2]],3),'Form Fix'!$A$6:$F$205,4,0),0)</f>
        <v>0</v>
      </c>
      <c r="F130">
        <f>IFERROR(VLOOKUP(CONCATENATE(Table43_1[[#This Row],[Kode BARANG Win2]],4),'Form Fix'!$A$6:$F$205,4,0),0)</f>
        <v>0</v>
      </c>
      <c r="G130">
        <f>IFERROR(VLOOKUP(CONCATENATE(Table43_1[[#This Row],[Kode BARANG Win2]],5),'Form Fix'!$A$6:$F$205,4,0),0)</f>
        <v>0</v>
      </c>
    </row>
    <row r="131" spans="1:7">
      <c r="A131" t="s">
        <v>877</v>
      </c>
      <c r="B131" t="s">
        <v>992</v>
      </c>
      <c r="C131" t="str">
        <f>IFERROR(VLOOKUP(CONCATENATE(Table43_1[[#This Row],[Kode BARANG Win2]],1),'Form Fix'!$A$6:$F$205,4,0),0)</f>
        <v>051704800</v>
      </c>
      <c r="D131">
        <f>IFERROR(VLOOKUP(CONCATENATE(Table43_1[[#This Row],[Kode BARANG Win2]],2),'Form Fix'!$A$6:$F$205,4,0),0)</f>
        <v>0</v>
      </c>
      <c r="E131">
        <f>IFERROR(VLOOKUP(CONCATENATE(Table43_1[[#This Row],[Kode BARANG Win2]],3),'Form Fix'!$A$6:$F$205,4,0),0)</f>
        <v>0</v>
      </c>
      <c r="F131">
        <f>IFERROR(VLOOKUP(CONCATENATE(Table43_1[[#This Row],[Kode BARANG Win2]],4),'Form Fix'!$A$6:$F$205,4,0),0)</f>
        <v>0</v>
      </c>
      <c r="G131">
        <f>IFERROR(VLOOKUP(CONCATENATE(Table43_1[[#This Row],[Kode BARANG Win2]],5),'Form Fix'!$A$6:$F$205,4,0),0)</f>
        <v>0</v>
      </c>
    </row>
    <row r="132" spans="1:7">
      <c r="A132" t="s">
        <v>878</v>
      </c>
      <c r="B132" t="s">
        <v>1063</v>
      </c>
      <c r="C132" t="str">
        <f>IFERROR(VLOOKUP(CONCATENATE(Table43_1[[#This Row],[Kode BARANG Win2]],1),'Form Fix'!$A$6:$F$205,4,0),0)</f>
        <v>051701300</v>
      </c>
      <c r="D132">
        <f>IFERROR(VLOOKUP(CONCATENATE(Table43_1[[#This Row],[Kode BARANG Win2]],2),'Form Fix'!$A$6:$F$205,4,0),0)</f>
        <v>0</v>
      </c>
      <c r="E132">
        <f>IFERROR(VLOOKUP(CONCATENATE(Table43_1[[#This Row],[Kode BARANG Win2]],3),'Form Fix'!$A$6:$F$205,4,0),0)</f>
        <v>0</v>
      </c>
      <c r="F132">
        <f>IFERROR(VLOOKUP(CONCATENATE(Table43_1[[#This Row],[Kode BARANG Win2]],4),'Form Fix'!$A$6:$F$205,4,0),0)</f>
        <v>0</v>
      </c>
      <c r="G132">
        <f>IFERROR(VLOOKUP(CONCATENATE(Table43_1[[#This Row],[Kode BARANG Win2]],5),'Form Fix'!$A$6:$F$205,4,0),0)</f>
        <v>0</v>
      </c>
    </row>
    <row r="133" spans="1:7">
      <c r="A133" t="s">
        <v>1170</v>
      </c>
      <c r="B133" t="s">
        <v>1190</v>
      </c>
      <c r="C133" t="str">
        <f>IFERROR(VLOOKUP(CONCATENATE(Table43_1[[#This Row],[Kode BARANG Win2]],1),'Form Fix'!$A$6:$F$205,4,0),0)</f>
        <v>051705700</v>
      </c>
      <c r="D133">
        <f>IFERROR(VLOOKUP(CONCATENATE(Table43_1[[#This Row],[Kode BARANG Win2]],2),'Form Fix'!$A$6:$F$205,4,0),0)</f>
        <v>0</v>
      </c>
      <c r="E133">
        <f>IFERROR(VLOOKUP(CONCATENATE(Table43_1[[#This Row],[Kode BARANG Win2]],3),'Form Fix'!$A$6:$F$205,4,0),0)</f>
        <v>0</v>
      </c>
      <c r="F133">
        <f>IFERROR(VLOOKUP(CONCATENATE(Table43_1[[#This Row],[Kode BARANG Win2]],4),'Form Fix'!$A$6:$F$205,4,0),0)</f>
        <v>0</v>
      </c>
      <c r="G133">
        <f>IFERROR(VLOOKUP(CONCATENATE(Table43_1[[#This Row],[Kode BARANG Win2]],5),'Form Fix'!$A$6:$F$205,4,0),0)</f>
        <v>0</v>
      </c>
    </row>
    <row r="134" spans="1:7">
      <c r="A134" t="s">
        <v>1062</v>
      </c>
      <c r="B134" t="s">
        <v>1064</v>
      </c>
      <c r="C134" t="str">
        <f>IFERROR(VLOOKUP(CONCATENATE(Table43_1[[#This Row],[Kode BARANG Win2]],1),'Form Fix'!$A$6:$F$205,4,0),0)</f>
        <v>051705800</v>
      </c>
      <c r="D134">
        <f>IFERROR(VLOOKUP(CONCATENATE(Table43_1[[#This Row],[Kode BARANG Win2]],2),'Form Fix'!$A$6:$F$205,4,0),0)</f>
        <v>0</v>
      </c>
      <c r="E134">
        <f>IFERROR(VLOOKUP(CONCATENATE(Table43_1[[#This Row],[Kode BARANG Win2]],3),'Form Fix'!$A$6:$F$205,4,0),0)</f>
        <v>0</v>
      </c>
      <c r="F134">
        <f>IFERROR(VLOOKUP(CONCATENATE(Table43_1[[#This Row],[Kode BARANG Win2]],4),'Form Fix'!$A$6:$F$205,4,0),0)</f>
        <v>0</v>
      </c>
      <c r="G134">
        <f>IFERROR(VLOOKUP(CONCATENATE(Table43_1[[#This Row],[Kode BARANG Win2]],5),'Form Fix'!$A$6:$F$205,4,0),0)</f>
        <v>0</v>
      </c>
    </row>
    <row r="135" spans="1:7">
      <c r="A135" t="s">
        <v>879</v>
      </c>
      <c r="B135" t="s">
        <v>993</v>
      </c>
      <c r="C135" t="str">
        <f>IFERROR(VLOOKUP(CONCATENATE(Table43_1[[#This Row],[Kode BARANG Win2]],1),'Form Fix'!$A$6:$F$205,4,0),0)</f>
        <v>101701007</v>
      </c>
      <c r="D135">
        <f>IFERROR(VLOOKUP(CONCATENATE(Table43_1[[#This Row],[Kode BARANG Win2]],2),'Form Fix'!$A$6:$F$205,4,0),0)</f>
        <v>0</v>
      </c>
      <c r="E135">
        <f>IFERROR(VLOOKUP(CONCATENATE(Table43_1[[#This Row],[Kode BARANG Win2]],3),'Form Fix'!$A$6:$F$205,4,0),0)</f>
        <v>0</v>
      </c>
      <c r="F135">
        <f>IFERROR(VLOOKUP(CONCATENATE(Table43_1[[#This Row],[Kode BARANG Win2]],4),'Form Fix'!$A$6:$F$205,4,0),0)</f>
        <v>0</v>
      </c>
      <c r="G135">
        <f>IFERROR(VLOOKUP(CONCATENATE(Table43_1[[#This Row],[Kode BARANG Win2]],5),'Form Fix'!$A$6:$F$205,4,0),0)</f>
        <v>0</v>
      </c>
    </row>
    <row r="136" spans="1:7">
      <c r="A136" t="s">
        <v>880</v>
      </c>
      <c r="B136" t="s">
        <v>994</v>
      </c>
      <c r="C136" t="str">
        <f>IFERROR(VLOOKUP(CONCATENATE(Table43_1[[#This Row],[Kode BARANG Win2]],1),'Form Fix'!$A$6:$F$205,4,0),0)</f>
        <v>101701009</v>
      </c>
      <c r="D136">
        <f>IFERROR(VLOOKUP(CONCATENATE(Table43_1[[#This Row],[Kode BARANG Win2]],2),'Form Fix'!$A$6:$F$205,4,0),0)</f>
        <v>0</v>
      </c>
      <c r="E136">
        <f>IFERROR(VLOOKUP(CONCATENATE(Table43_1[[#This Row],[Kode BARANG Win2]],3),'Form Fix'!$A$6:$F$205,4,0),0)</f>
        <v>0</v>
      </c>
      <c r="F136">
        <f>IFERROR(VLOOKUP(CONCATENATE(Table43_1[[#This Row],[Kode BARANG Win2]],4),'Form Fix'!$A$6:$F$205,4,0),0)</f>
        <v>0</v>
      </c>
      <c r="G136">
        <f>IFERROR(VLOOKUP(CONCATENATE(Table43_1[[#This Row],[Kode BARANG Win2]],5),'Form Fix'!$A$6:$F$205,4,0),0)</f>
        <v>0</v>
      </c>
    </row>
    <row r="137" spans="1:7">
      <c r="A137" t="s">
        <v>1336</v>
      </c>
      <c r="B137" t="s">
        <v>1338</v>
      </c>
      <c r="C137">
        <f>IFERROR(VLOOKUP(CONCATENATE(Table43_1[[#This Row],[Kode BARANG Win2]],1),'Form Fix'!$A$6:$F$205,4,0),0)</f>
        <v>101701008</v>
      </c>
      <c r="D137">
        <f>IFERROR(VLOOKUP(CONCATENATE(Table43_1[[#This Row],[Kode BARANG Win2]],2),'Form Fix'!$A$6:$F$205,4,0),0)</f>
        <v>0</v>
      </c>
      <c r="E137">
        <f>IFERROR(VLOOKUP(CONCATENATE(Table43_1[[#This Row],[Kode BARANG Win2]],3),'Form Fix'!$A$6:$F$205,4,0),0)</f>
        <v>0</v>
      </c>
      <c r="F137">
        <f>IFERROR(VLOOKUP(CONCATENATE(Table43_1[[#This Row],[Kode BARANG Win2]],4),'Form Fix'!$A$6:$F$205,4,0),0)</f>
        <v>0</v>
      </c>
      <c r="G137">
        <f>IFERROR(VLOOKUP(CONCATENATE(Table43_1[[#This Row],[Kode BARANG Win2]],5),'Form Fix'!$A$6:$F$205,4,0),0)</f>
        <v>0</v>
      </c>
    </row>
    <row r="138" spans="1:7">
      <c r="A138" t="s">
        <v>881</v>
      </c>
      <c r="B138" t="s">
        <v>995</v>
      </c>
      <c r="C138" t="str">
        <f>IFERROR(VLOOKUP(CONCATENATE(Table43_1[[#This Row],[Kode BARANG Win2]],1),'Form Fix'!$A$6:$F$205,4,0),0)</f>
        <v>101702001</v>
      </c>
      <c r="D138">
        <f>IFERROR(VLOOKUP(CONCATENATE(Table43_1[[#This Row],[Kode BARANG Win2]],2),'Form Fix'!$A$6:$F$205,4,0),0)</f>
        <v>0</v>
      </c>
      <c r="E138">
        <f>IFERROR(VLOOKUP(CONCATENATE(Table43_1[[#This Row],[Kode BARANG Win2]],3),'Form Fix'!$A$6:$F$205,4,0),0)</f>
        <v>0</v>
      </c>
      <c r="F138">
        <f>IFERROR(VLOOKUP(CONCATENATE(Table43_1[[#This Row],[Kode BARANG Win2]],4),'Form Fix'!$A$6:$F$205,4,0),0)</f>
        <v>0</v>
      </c>
      <c r="G138">
        <f>IFERROR(VLOOKUP(CONCATENATE(Table43_1[[#This Row],[Kode BARANG Win2]],5),'Form Fix'!$A$6:$F$205,4,0),0)</f>
        <v>0</v>
      </c>
    </row>
    <row r="139" spans="1:7">
      <c r="A139" t="s">
        <v>1305</v>
      </c>
      <c r="B139" t="s">
        <v>1328</v>
      </c>
      <c r="C139">
        <f>IFERROR(VLOOKUP(CONCATENATE(Table43_1[[#This Row],[Kode BARANG Win2]],1),'Form Fix'!$A$6:$F$205,4,0),0)</f>
        <v>131702001</v>
      </c>
      <c r="D139">
        <f>IFERROR(VLOOKUP(CONCATENATE(Table43_1[[#This Row],[Kode BARANG Win2]],2),'Form Fix'!$A$6:$F$205,4,0),0)</f>
        <v>0</v>
      </c>
      <c r="E139">
        <f>IFERROR(VLOOKUP(CONCATENATE(Table43_1[[#This Row],[Kode BARANG Win2]],3),'Form Fix'!$A$6:$F$205,4,0),0)</f>
        <v>0</v>
      </c>
      <c r="F139">
        <f>IFERROR(VLOOKUP(CONCATENATE(Table43_1[[#This Row],[Kode BARANG Win2]],4),'Form Fix'!$A$6:$F$205,4,0),0)</f>
        <v>0</v>
      </c>
      <c r="G139">
        <f>IFERROR(VLOOKUP(CONCATENATE(Table43_1[[#This Row],[Kode BARANG Win2]],5),'Form Fix'!$A$6:$F$205,4,0),0)</f>
        <v>0</v>
      </c>
    </row>
    <row r="140" spans="1:7">
      <c r="A140" t="s">
        <v>1306</v>
      </c>
      <c r="B140" t="s">
        <v>1329</v>
      </c>
      <c r="C140">
        <f>IFERROR(VLOOKUP(CONCATENATE(Table43_1[[#This Row],[Kode BARANG Win2]],1),'Form Fix'!$A$6:$F$205,4,0),0)</f>
        <v>131703001</v>
      </c>
      <c r="D140">
        <f>IFERROR(VLOOKUP(CONCATENATE(Table43_1[[#This Row],[Kode BARANG Win2]],2),'Form Fix'!$A$6:$F$205,4,0),0)</f>
        <v>0</v>
      </c>
      <c r="E140">
        <f>IFERROR(VLOOKUP(CONCATENATE(Table43_1[[#This Row],[Kode BARANG Win2]],3),'Form Fix'!$A$6:$F$205,4,0),0)</f>
        <v>0</v>
      </c>
      <c r="F140">
        <f>IFERROR(VLOOKUP(CONCATENATE(Table43_1[[#This Row],[Kode BARANG Win2]],4),'Form Fix'!$A$6:$F$205,4,0),0)</f>
        <v>0</v>
      </c>
      <c r="G140">
        <f>IFERROR(VLOOKUP(CONCATENATE(Table43_1[[#This Row],[Kode BARANG Win2]],5),'Form Fix'!$A$6:$F$205,4,0),0)</f>
        <v>0</v>
      </c>
    </row>
    <row r="141" spans="1:7">
      <c r="A141" t="s">
        <v>882</v>
      </c>
      <c r="B141" t="s">
        <v>996</v>
      </c>
      <c r="C141" t="str">
        <f>IFERROR(VLOOKUP(CONCATENATE(Table43_1[[#This Row],[Kode BARANG Win2]],1),'Form Fix'!$A$6:$F$205,4,0),0)</f>
        <v>052504400</v>
      </c>
      <c r="D141">
        <f>IFERROR(VLOOKUP(CONCATENATE(Table43_1[[#This Row],[Kode BARANG Win2]],2),'Form Fix'!$A$6:$F$205,4,0),0)</f>
        <v>0</v>
      </c>
      <c r="E141">
        <f>IFERROR(VLOOKUP(CONCATENATE(Table43_1[[#This Row],[Kode BARANG Win2]],3),'Form Fix'!$A$6:$F$205,4,0),0)</f>
        <v>0</v>
      </c>
      <c r="F141">
        <f>IFERROR(VLOOKUP(CONCATENATE(Table43_1[[#This Row],[Kode BARANG Win2]],4),'Form Fix'!$A$6:$F$205,4,0),0)</f>
        <v>0</v>
      </c>
      <c r="G141">
        <f>IFERROR(VLOOKUP(CONCATENATE(Table43_1[[#This Row],[Kode BARANG Win2]],5),'Form Fix'!$A$6:$F$205,4,0),0)</f>
        <v>0</v>
      </c>
    </row>
    <row r="142" spans="1:7">
      <c r="A142" t="s">
        <v>883</v>
      </c>
      <c r="B142" t="s">
        <v>997</v>
      </c>
      <c r="C142" t="str">
        <f>IFERROR(VLOOKUP(CONCATENATE(Table43_1[[#This Row],[Kode BARANG Win2]],1),'Form Fix'!$A$6:$F$205,4,0),0)</f>
        <v>052506401</v>
      </c>
      <c r="D142" t="str">
        <f>IFERROR(VLOOKUP(CONCATENATE(Table43_1[[#This Row],[Kode BARANG Win2]],2),'Form Fix'!$A$6:$F$205,4,0),0)</f>
        <v>052506002</v>
      </c>
      <c r="E142">
        <f>IFERROR(VLOOKUP(CONCATENATE(Table43_1[[#This Row],[Kode BARANG Win2]],3),'Form Fix'!$A$6:$F$205,4,0),0)</f>
        <v>0</v>
      </c>
      <c r="F142">
        <f>IFERROR(VLOOKUP(CONCATENATE(Table43_1[[#This Row],[Kode BARANG Win2]],4),'Form Fix'!$A$6:$F$205,4,0),0)</f>
        <v>0</v>
      </c>
      <c r="G142">
        <f>IFERROR(VLOOKUP(CONCATENATE(Table43_1[[#This Row],[Kode BARANG Win2]],5),'Form Fix'!$A$6:$F$205,4,0),0)</f>
        <v>0</v>
      </c>
    </row>
    <row r="143" spans="1:7">
      <c r="A143" t="s">
        <v>1246</v>
      </c>
      <c r="B143" t="s">
        <v>1255</v>
      </c>
      <c r="C143" t="str">
        <f>IFERROR(VLOOKUP(CONCATENATE(Table43_1[[#This Row],[Kode BARANG Win2]],1),'Form Fix'!$A$6:$F$205,4,0),0)</f>
        <v>052501800</v>
      </c>
      <c r="D143">
        <f>IFERROR(VLOOKUP(CONCATENATE(Table43_1[[#This Row],[Kode BARANG Win2]],2),'Form Fix'!$A$6:$F$205,4,0),0)</f>
        <v>0</v>
      </c>
      <c r="E143">
        <f>IFERROR(VLOOKUP(CONCATENATE(Table43_1[[#This Row],[Kode BARANG Win2]],3),'Form Fix'!$A$6:$F$205,4,0),0)</f>
        <v>0</v>
      </c>
      <c r="F143">
        <f>IFERROR(VLOOKUP(CONCATENATE(Table43_1[[#This Row],[Kode BARANG Win2]],4),'Form Fix'!$A$6:$F$205,4,0),0)</f>
        <v>0</v>
      </c>
      <c r="G143">
        <f>IFERROR(VLOOKUP(CONCATENATE(Table43_1[[#This Row],[Kode BARANG Win2]],5),'Form Fix'!$A$6:$F$205,4,0),0)</f>
        <v>0</v>
      </c>
    </row>
    <row r="144" spans="1:7">
      <c r="A144" t="s">
        <v>884</v>
      </c>
      <c r="B144" t="s">
        <v>998</v>
      </c>
      <c r="C144" t="str">
        <f>IFERROR(VLOOKUP(CONCATENATE(Table43_1[[#This Row],[Kode BARANG Win2]],1),'Form Fix'!$A$6:$F$205,4,0),0)</f>
        <v>052501902</v>
      </c>
      <c r="D144">
        <f>IFERROR(VLOOKUP(CONCATENATE(Table43_1[[#This Row],[Kode BARANG Win2]],2),'Form Fix'!$A$6:$F$205,4,0),0)</f>
        <v>0</v>
      </c>
      <c r="E144">
        <f>IFERROR(VLOOKUP(CONCATENATE(Table43_1[[#This Row],[Kode BARANG Win2]],3),'Form Fix'!$A$6:$F$205,4,0),0)</f>
        <v>0</v>
      </c>
      <c r="F144">
        <f>IFERROR(VLOOKUP(CONCATENATE(Table43_1[[#This Row],[Kode BARANG Win2]],4),'Form Fix'!$A$6:$F$205,4,0),0)</f>
        <v>0</v>
      </c>
      <c r="G144">
        <f>IFERROR(VLOOKUP(CONCATENATE(Table43_1[[#This Row],[Kode BARANG Win2]],5),'Form Fix'!$A$6:$F$205,4,0),0)</f>
        <v>0</v>
      </c>
    </row>
    <row r="145" spans="1:7">
      <c r="A145" t="s">
        <v>1171</v>
      </c>
      <c r="B145" t="s">
        <v>1191</v>
      </c>
      <c r="C145" t="str">
        <f>IFERROR(VLOOKUP(CONCATENATE(Table43_1[[#This Row],[Kode BARANG Win2]],1),'Form Fix'!$A$6:$F$205,4,0),0)</f>
        <v>052506402</v>
      </c>
      <c r="D145">
        <f>IFERROR(VLOOKUP(CONCATENATE(Table43_1[[#This Row],[Kode BARANG Win2]],2),'Form Fix'!$A$6:$F$205,4,0),0)</f>
        <v>0</v>
      </c>
      <c r="E145">
        <f>IFERROR(VLOOKUP(CONCATENATE(Table43_1[[#This Row],[Kode BARANG Win2]],3),'Form Fix'!$A$6:$F$205,4,0),0)</f>
        <v>0</v>
      </c>
      <c r="F145">
        <f>IFERROR(VLOOKUP(CONCATENATE(Table43_1[[#This Row],[Kode BARANG Win2]],4),'Form Fix'!$A$6:$F$205,4,0),0)</f>
        <v>0</v>
      </c>
      <c r="G145">
        <f>IFERROR(VLOOKUP(CONCATENATE(Table43_1[[#This Row],[Kode BARANG Win2]],5),'Form Fix'!$A$6:$F$205,4,0),0)</f>
        <v>0</v>
      </c>
    </row>
    <row r="146" spans="1:7">
      <c r="A146" t="s">
        <v>885</v>
      </c>
      <c r="B146" t="s">
        <v>999</v>
      </c>
      <c r="C146" t="str">
        <f>IFERROR(VLOOKUP(CONCATENATE(Table43_1[[#This Row],[Kode BARANG Win2]],1),'Form Fix'!$A$6:$F$205,4,0),0)</f>
        <v>052503901</v>
      </c>
      <c r="D146">
        <f>IFERROR(VLOOKUP(CONCATENATE(Table43_1[[#This Row],[Kode BARANG Win2]],2),'Form Fix'!$A$6:$F$205,4,0),0)</f>
        <v>0</v>
      </c>
      <c r="E146">
        <f>IFERROR(VLOOKUP(CONCATENATE(Table43_1[[#This Row],[Kode BARANG Win2]],3),'Form Fix'!$A$6:$F$205,4,0),0)</f>
        <v>0</v>
      </c>
      <c r="F146">
        <f>IFERROR(VLOOKUP(CONCATENATE(Table43_1[[#This Row],[Kode BARANG Win2]],4),'Form Fix'!$A$6:$F$205,4,0),0)</f>
        <v>0</v>
      </c>
      <c r="G146">
        <f>IFERROR(VLOOKUP(CONCATENATE(Table43_1[[#This Row],[Kode BARANG Win2]],5),'Form Fix'!$A$6:$F$205,4,0),0)</f>
        <v>0</v>
      </c>
    </row>
    <row r="147" spans="1:7">
      <c r="A147" t="s">
        <v>1172</v>
      </c>
      <c r="B147" t="s">
        <v>1192</v>
      </c>
      <c r="C147" t="str">
        <f>IFERROR(VLOOKUP(CONCATENATE(Table43_1[[#This Row],[Kode BARANG Win2]],1),'Form Fix'!$A$6:$F$205,4,0),0)</f>
        <v>052506602</v>
      </c>
      <c r="D147">
        <f>IFERROR(VLOOKUP(CONCATENATE(Table43_1[[#This Row],[Kode BARANG Win2]],2),'Form Fix'!$A$6:$F$205,4,0),0)</f>
        <v>0</v>
      </c>
      <c r="E147">
        <f>IFERROR(VLOOKUP(CONCATENATE(Table43_1[[#This Row],[Kode BARANG Win2]],3),'Form Fix'!$A$6:$F$205,4,0),0)</f>
        <v>0</v>
      </c>
      <c r="F147">
        <f>IFERROR(VLOOKUP(CONCATENATE(Table43_1[[#This Row],[Kode BARANG Win2]],4),'Form Fix'!$A$6:$F$205,4,0),0)</f>
        <v>0</v>
      </c>
      <c r="G147">
        <f>IFERROR(VLOOKUP(CONCATENATE(Table43_1[[#This Row],[Kode BARANG Win2]],5),'Form Fix'!$A$6:$F$205,4,0),0)</f>
        <v>0</v>
      </c>
    </row>
    <row r="148" spans="1:7">
      <c r="A148" t="s">
        <v>886</v>
      </c>
      <c r="B148" t="s">
        <v>1000</v>
      </c>
      <c r="C148" t="str">
        <f>IFERROR(VLOOKUP(CONCATENATE(Table43_1[[#This Row],[Kode BARANG Win2]],1),'Form Fix'!$A$6:$F$205,4,0),0)</f>
        <v>052502400</v>
      </c>
      <c r="D148">
        <f>IFERROR(VLOOKUP(CONCATENATE(Table43_1[[#This Row],[Kode BARANG Win2]],2),'Form Fix'!$A$6:$F$205,4,0),0)</f>
        <v>0</v>
      </c>
      <c r="E148">
        <f>IFERROR(VLOOKUP(CONCATENATE(Table43_1[[#This Row],[Kode BARANG Win2]],3),'Form Fix'!$A$6:$F$205,4,0),0)</f>
        <v>0</v>
      </c>
      <c r="F148">
        <f>IFERROR(VLOOKUP(CONCATENATE(Table43_1[[#This Row],[Kode BARANG Win2]],4),'Form Fix'!$A$6:$F$205,4,0),0)</f>
        <v>0</v>
      </c>
      <c r="G148">
        <f>IFERROR(VLOOKUP(CONCATENATE(Table43_1[[#This Row],[Kode BARANG Win2]],5),'Form Fix'!$A$6:$F$205,4,0),0)</f>
        <v>0</v>
      </c>
    </row>
    <row r="149" spans="1:7">
      <c r="A149" t="s">
        <v>887</v>
      </c>
      <c r="B149" t="s">
        <v>1001</v>
      </c>
      <c r="C149" t="str">
        <f>IFERROR(VLOOKUP(CONCATENATE(Table43_1[[#This Row],[Kode BARANG Win2]],1),'Form Fix'!$A$6:$F$205,4,0),0)</f>
        <v>052502901</v>
      </c>
      <c r="D149">
        <f>IFERROR(VLOOKUP(CONCATENATE(Table43_1[[#This Row],[Kode BARANG Win2]],2),'Form Fix'!$A$6:$F$205,4,0),0)</f>
        <v>0</v>
      </c>
      <c r="E149">
        <f>IFERROR(VLOOKUP(CONCATENATE(Table43_1[[#This Row],[Kode BARANG Win2]],3),'Form Fix'!$A$6:$F$205,4,0),0)</f>
        <v>0</v>
      </c>
      <c r="F149">
        <f>IFERROR(VLOOKUP(CONCATENATE(Table43_1[[#This Row],[Kode BARANG Win2]],4),'Form Fix'!$A$6:$F$205,4,0),0)</f>
        <v>0</v>
      </c>
      <c r="G149">
        <f>IFERROR(VLOOKUP(CONCATENATE(Table43_1[[#This Row],[Kode BARANG Win2]],5),'Form Fix'!$A$6:$F$205,4,0),0)</f>
        <v>0</v>
      </c>
    </row>
    <row r="150" spans="1:7">
      <c r="A150" t="s">
        <v>888</v>
      </c>
      <c r="B150" t="s">
        <v>1002</v>
      </c>
      <c r="C150" t="str">
        <f>IFERROR(VLOOKUP(CONCATENATE(Table43_1[[#This Row],[Kode BARANG Win2]],1),'Form Fix'!$A$6:$F$205,4,0),0)</f>
        <v>052504500</v>
      </c>
      <c r="D150">
        <f>IFERROR(VLOOKUP(CONCATENATE(Table43_1[[#This Row],[Kode BARANG Win2]],2),'Form Fix'!$A$6:$F$205,4,0),0)</f>
        <v>0</v>
      </c>
      <c r="E150">
        <f>IFERROR(VLOOKUP(CONCATENATE(Table43_1[[#This Row],[Kode BARANG Win2]],3),'Form Fix'!$A$6:$F$205,4,0),0)</f>
        <v>0</v>
      </c>
      <c r="F150">
        <f>IFERROR(VLOOKUP(CONCATENATE(Table43_1[[#This Row],[Kode BARANG Win2]],4),'Form Fix'!$A$6:$F$205,4,0),0)</f>
        <v>0</v>
      </c>
      <c r="G150">
        <f>IFERROR(VLOOKUP(CONCATENATE(Table43_1[[#This Row],[Kode BARANG Win2]],5),'Form Fix'!$A$6:$F$205,4,0),0)</f>
        <v>0</v>
      </c>
    </row>
    <row r="151" spans="1:7">
      <c r="A151" t="s">
        <v>889</v>
      </c>
      <c r="B151" t="s">
        <v>1003</v>
      </c>
      <c r="C151" t="str">
        <f>IFERROR(VLOOKUP(CONCATENATE(Table43_1[[#This Row],[Kode BARANG Win2]],1),'Form Fix'!$A$6:$F$205,4,0),0)</f>
        <v>052506501</v>
      </c>
      <c r="D151">
        <f>IFERROR(VLOOKUP(CONCATENATE(Table43_1[[#This Row],[Kode BARANG Win2]],2),'Form Fix'!$A$6:$F$205,4,0),0)</f>
        <v>0</v>
      </c>
      <c r="E151">
        <f>IFERROR(VLOOKUP(CONCATENATE(Table43_1[[#This Row],[Kode BARANG Win2]],3),'Form Fix'!$A$6:$F$205,4,0),0)</f>
        <v>0</v>
      </c>
      <c r="F151">
        <f>IFERROR(VLOOKUP(CONCATENATE(Table43_1[[#This Row],[Kode BARANG Win2]],4),'Form Fix'!$A$6:$F$205,4,0),0)</f>
        <v>0</v>
      </c>
      <c r="G151">
        <f>IFERROR(VLOOKUP(CONCATENATE(Table43_1[[#This Row],[Kode BARANG Win2]],5),'Form Fix'!$A$6:$F$205,4,0),0)</f>
        <v>0</v>
      </c>
    </row>
    <row r="152" spans="1:7">
      <c r="A152" t="s">
        <v>890</v>
      </c>
      <c r="B152" t="s">
        <v>1004</v>
      </c>
      <c r="C152" t="str">
        <f>IFERROR(VLOOKUP(CONCATENATE(Table43_1[[#This Row],[Kode BARANG Win2]],1),'Form Fix'!$A$6:$F$205,4,0),0)</f>
        <v>052502500</v>
      </c>
      <c r="D152">
        <f>IFERROR(VLOOKUP(CONCATENATE(Table43_1[[#This Row],[Kode BARANG Win2]],2),'Form Fix'!$A$6:$F$205,4,0),0)</f>
        <v>0</v>
      </c>
      <c r="E152">
        <f>IFERROR(VLOOKUP(CONCATENATE(Table43_1[[#This Row],[Kode BARANG Win2]],3),'Form Fix'!$A$6:$F$205,4,0),0)</f>
        <v>0</v>
      </c>
      <c r="F152">
        <f>IFERROR(VLOOKUP(CONCATENATE(Table43_1[[#This Row],[Kode BARANG Win2]],4),'Form Fix'!$A$6:$F$205,4,0),0)</f>
        <v>0</v>
      </c>
      <c r="G152">
        <f>IFERROR(VLOOKUP(CONCATENATE(Table43_1[[#This Row],[Kode BARANG Win2]],5),'Form Fix'!$A$6:$F$205,4,0),0)</f>
        <v>0</v>
      </c>
    </row>
    <row r="153" spans="1:7">
      <c r="A153" t="s">
        <v>1173</v>
      </c>
      <c r="B153" t="s">
        <v>1193</v>
      </c>
      <c r="C153" t="str">
        <f>IFERROR(VLOOKUP(CONCATENATE(Table43_1[[#This Row],[Kode BARANG Win2]],1),'Form Fix'!$A$6:$F$205,4,0),0)</f>
        <v>052506000</v>
      </c>
      <c r="D153">
        <f>IFERROR(VLOOKUP(CONCATENATE(Table43_1[[#This Row],[Kode BARANG Win2]],2),'Form Fix'!$A$6:$F$205,4,0),0)</f>
        <v>0</v>
      </c>
      <c r="E153">
        <f>IFERROR(VLOOKUP(CONCATENATE(Table43_1[[#This Row],[Kode BARANG Win2]],3),'Form Fix'!$A$6:$F$205,4,0),0)</f>
        <v>0</v>
      </c>
      <c r="F153">
        <f>IFERROR(VLOOKUP(CONCATENATE(Table43_1[[#This Row],[Kode BARANG Win2]],4),'Form Fix'!$A$6:$F$205,4,0),0)</f>
        <v>0</v>
      </c>
      <c r="G153">
        <f>IFERROR(VLOOKUP(CONCATENATE(Table43_1[[#This Row],[Kode BARANG Win2]],5),'Form Fix'!$A$6:$F$205,4,0),0)</f>
        <v>0</v>
      </c>
    </row>
    <row r="154" spans="1:7">
      <c r="A154" t="s">
        <v>1174</v>
      </c>
      <c r="B154" t="s">
        <v>1194</v>
      </c>
      <c r="C154" t="str">
        <f>IFERROR(VLOOKUP(CONCATENATE(Table43_1[[#This Row],[Kode BARANG Win2]],1),'Form Fix'!$A$6:$F$205,4,0),0)</f>
        <v>052502402</v>
      </c>
      <c r="D154">
        <f>IFERROR(VLOOKUP(CONCATENATE(Table43_1[[#This Row],[Kode BARANG Win2]],2),'Form Fix'!$A$6:$F$205,4,0),0)</f>
        <v>0</v>
      </c>
      <c r="E154">
        <f>IFERROR(VLOOKUP(CONCATENATE(Table43_1[[#This Row],[Kode BARANG Win2]],3),'Form Fix'!$A$6:$F$205,4,0),0)</f>
        <v>0</v>
      </c>
      <c r="F154">
        <f>IFERROR(VLOOKUP(CONCATENATE(Table43_1[[#This Row],[Kode BARANG Win2]],4),'Form Fix'!$A$6:$F$205,4,0),0)</f>
        <v>0</v>
      </c>
      <c r="G154">
        <f>IFERROR(VLOOKUP(CONCATENATE(Table43_1[[#This Row],[Kode BARANG Win2]],5),'Form Fix'!$A$6:$F$205,4,0),0)</f>
        <v>0</v>
      </c>
    </row>
    <row r="155" spans="1:7">
      <c r="A155" t="s">
        <v>1175</v>
      </c>
      <c r="B155" t="s">
        <v>1195</v>
      </c>
      <c r="C155" t="str">
        <f>IFERROR(VLOOKUP(CONCATENATE(Table43_1[[#This Row],[Kode BARANG Win2]],1),'Form Fix'!$A$6:$F$205,4,0),0)</f>
        <v>052506702</v>
      </c>
      <c r="D155">
        <f>IFERROR(VLOOKUP(CONCATENATE(Table43_1[[#This Row],[Kode BARANG Win2]],2),'Form Fix'!$A$6:$F$205,4,0),0)</f>
        <v>0</v>
      </c>
      <c r="E155">
        <f>IFERROR(VLOOKUP(CONCATENATE(Table43_1[[#This Row],[Kode BARANG Win2]],3),'Form Fix'!$A$6:$F$205,4,0),0)</f>
        <v>0</v>
      </c>
      <c r="F155">
        <f>IFERROR(VLOOKUP(CONCATENATE(Table43_1[[#This Row],[Kode BARANG Win2]],4),'Form Fix'!$A$6:$F$205,4,0),0)</f>
        <v>0</v>
      </c>
      <c r="G155">
        <f>IFERROR(VLOOKUP(CONCATENATE(Table43_1[[#This Row],[Kode BARANG Win2]],5),'Form Fix'!$A$6:$F$205,4,0),0)</f>
        <v>0</v>
      </c>
    </row>
    <row r="156" spans="1:7">
      <c r="A156" t="s">
        <v>1307</v>
      </c>
      <c r="B156" t="s">
        <v>1330</v>
      </c>
      <c r="C156" t="str">
        <f>IFERROR(VLOOKUP(CONCATENATE(Table43_1[[#This Row],[Kode BARANG Win2]],1),'Form Fix'!$A$6:$F$205,4,0),0)</f>
        <v>052501004</v>
      </c>
      <c r="D156">
        <f>IFERROR(VLOOKUP(CONCATENATE(Table43_1[[#This Row],[Kode BARANG Win2]],2),'Form Fix'!$A$6:$F$205,4,0),0)</f>
        <v>0</v>
      </c>
      <c r="E156">
        <f>IFERROR(VLOOKUP(CONCATENATE(Table43_1[[#This Row],[Kode BARANG Win2]],3),'Form Fix'!$A$6:$F$205,4,0),0)</f>
        <v>0</v>
      </c>
      <c r="F156">
        <f>IFERROR(VLOOKUP(CONCATENATE(Table43_1[[#This Row],[Kode BARANG Win2]],4),'Form Fix'!$A$6:$F$205,4,0),0)</f>
        <v>0</v>
      </c>
      <c r="G156">
        <f>IFERROR(VLOOKUP(CONCATENATE(Table43_1[[#This Row],[Kode BARANG Win2]],5),'Form Fix'!$A$6:$F$205,4,0),0)</f>
        <v>0</v>
      </c>
    </row>
    <row r="157" spans="1:7">
      <c r="A157" t="s">
        <v>1308</v>
      </c>
      <c r="B157" t="s">
        <v>1331</v>
      </c>
      <c r="C157" t="str">
        <f>IFERROR(VLOOKUP(CONCATENATE(Table43_1[[#This Row],[Kode BARANG Win2]],1),'Form Fix'!$A$6:$F$205,4,0),0)</f>
        <v>052503002</v>
      </c>
      <c r="D157">
        <f>IFERROR(VLOOKUP(CONCATENATE(Table43_1[[#This Row],[Kode BARANG Win2]],2),'Form Fix'!$A$6:$F$205,4,0),0)</f>
        <v>0</v>
      </c>
      <c r="E157">
        <f>IFERROR(VLOOKUP(CONCATENATE(Table43_1[[#This Row],[Kode BARANG Win2]],3),'Form Fix'!$A$6:$F$205,4,0),0)</f>
        <v>0</v>
      </c>
      <c r="F157">
        <f>IFERROR(VLOOKUP(CONCATENATE(Table43_1[[#This Row],[Kode BARANG Win2]],4),'Form Fix'!$A$6:$F$205,4,0),0)</f>
        <v>0</v>
      </c>
      <c r="G157">
        <f>IFERROR(VLOOKUP(CONCATENATE(Table43_1[[#This Row],[Kode BARANG Win2]],5),'Form Fix'!$A$6:$F$205,4,0),0)</f>
        <v>0</v>
      </c>
    </row>
    <row r="158" spans="1:7">
      <c r="A158" t="s">
        <v>891</v>
      </c>
      <c r="B158" t="s">
        <v>1005</v>
      </c>
      <c r="C158" t="str">
        <f>IFERROR(VLOOKUP(CONCATENATE(Table43_1[[#This Row],[Kode BARANG Win2]],1),'Form Fix'!$A$6:$F$205,4,0),0)</f>
        <v>052501600</v>
      </c>
      <c r="D158">
        <f>IFERROR(VLOOKUP(CONCATENATE(Table43_1[[#This Row],[Kode BARANG Win2]],2),'Form Fix'!$A$6:$F$205,4,0),0)</f>
        <v>0</v>
      </c>
      <c r="E158">
        <f>IFERROR(VLOOKUP(CONCATENATE(Table43_1[[#This Row],[Kode BARANG Win2]],3),'Form Fix'!$A$6:$F$205,4,0),0)</f>
        <v>0</v>
      </c>
      <c r="F158">
        <f>IFERROR(VLOOKUP(CONCATENATE(Table43_1[[#This Row],[Kode BARANG Win2]],4),'Form Fix'!$A$6:$F$205,4,0),0)</f>
        <v>0</v>
      </c>
      <c r="G158">
        <f>IFERROR(VLOOKUP(CONCATENATE(Table43_1[[#This Row],[Kode BARANG Win2]],5),'Form Fix'!$A$6:$F$205,4,0),0)</f>
        <v>0</v>
      </c>
    </row>
    <row r="159" spans="1:7">
      <c r="A159" t="s">
        <v>892</v>
      </c>
      <c r="B159" t="s">
        <v>1006</v>
      </c>
      <c r="C159" t="str">
        <f>IFERROR(VLOOKUP(CONCATENATE(Table43_1[[#This Row],[Kode BARANG Win2]],1),'Form Fix'!$A$6:$F$205,4,0),0)</f>
        <v>052503400</v>
      </c>
      <c r="D159">
        <f>IFERROR(VLOOKUP(CONCATENATE(Table43_1[[#This Row],[Kode BARANG Win2]],2),'Form Fix'!$A$6:$F$205,4,0),0)</f>
        <v>0</v>
      </c>
      <c r="E159">
        <f>IFERROR(VLOOKUP(CONCATENATE(Table43_1[[#This Row],[Kode BARANG Win2]],3),'Form Fix'!$A$6:$F$205,4,0),0)</f>
        <v>0</v>
      </c>
      <c r="F159">
        <f>IFERROR(VLOOKUP(CONCATENATE(Table43_1[[#This Row],[Kode BARANG Win2]],4),'Form Fix'!$A$6:$F$205,4,0),0)</f>
        <v>0</v>
      </c>
      <c r="G159">
        <f>IFERROR(VLOOKUP(CONCATENATE(Table43_1[[#This Row],[Kode BARANG Win2]],5),'Form Fix'!$A$6:$F$205,4,0),0)</f>
        <v>0</v>
      </c>
    </row>
    <row r="160" spans="1:7">
      <c r="A160" t="s">
        <v>893</v>
      </c>
      <c r="B160" t="s">
        <v>1007</v>
      </c>
      <c r="C160" t="str">
        <f>IFERROR(VLOOKUP(CONCATENATE(Table43_1[[#This Row],[Kode BARANG Win2]],1),'Form Fix'!$A$6:$F$205,4,0),0)</f>
        <v>052505400</v>
      </c>
      <c r="D160">
        <f>IFERROR(VLOOKUP(CONCATENATE(Table43_1[[#This Row],[Kode BARANG Win2]],2),'Form Fix'!$A$6:$F$205,4,0),0)</f>
        <v>0</v>
      </c>
      <c r="E160">
        <f>IFERROR(VLOOKUP(CONCATENATE(Table43_1[[#This Row],[Kode BARANG Win2]],3),'Form Fix'!$A$6:$F$205,4,0),0)</f>
        <v>0</v>
      </c>
      <c r="F160">
        <f>IFERROR(VLOOKUP(CONCATENATE(Table43_1[[#This Row],[Kode BARANG Win2]],4),'Form Fix'!$A$6:$F$205,4,0),0)</f>
        <v>0</v>
      </c>
      <c r="G160">
        <f>IFERROR(VLOOKUP(CONCATENATE(Table43_1[[#This Row],[Kode BARANG Win2]],5),'Form Fix'!$A$6:$F$205,4,0),0)</f>
        <v>0</v>
      </c>
    </row>
    <row r="161" spans="1:7">
      <c r="A161" t="s">
        <v>894</v>
      </c>
      <c r="B161" t="s">
        <v>1008</v>
      </c>
      <c r="C161" t="str">
        <f>IFERROR(VLOOKUP(CONCATENATE(Table43_1[[#This Row],[Kode BARANG Win2]],1),'Form Fix'!$A$6:$F$205,4,0),0)</f>
        <v>052501500</v>
      </c>
      <c r="D161">
        <f>IFERROR(VLOOKUP(CONCATENATE(Table43_1[[#This Row],[Kode BARANG Win2]],2),'Form Fix'!$A$6:$F$205,4,0),0)</f>
        <v>0</v>
      </c>
      <c r="E161">
        <f>IFERROR(VLOOKUP(CONCATENATE(Table43_1[[#This Row],[Kode BARANG Win2]],3),'Form Fix'!$A$6:$F$205,4,0),0)</f>
        <v>0</v>
      </c>
      <c r="F161">
        <f>IFERROR(VLOOKUP(CONCATENATE(Table43_1[[#This Row],[Kode BARANG Win2]],4),'Form Fix'!$A$6:$F$205,4,0),0)</f>
        <v>0</v>
      </c>
      <c r="G161">
        <f>IFERROR(VLOOKUP(CONCATENATE(Table43_1[[#This Row],[Kode BARANG Win2]],5),'Form Fix'!$A$6:$F$205,4,0),0)</f>
        <v>0</v>
      </c>
    </row>
    <row r="162" spans="1:7">
      <c r="A162" t="s">
        <v>895</v>
      </c>
      <c r="B162" t="s">
        <v>1009</v>
      </c>
      <c r="C162" t="str">
        <f>IFERROR(VLOOKUP(CONCATENATE(Table43_1[[#This Row],[Kode BARANG Win2]],1),'Form Fix'!$A$6:$F$205,4,0),0)</f>
        <v>052503500</v>
      </c>
      <c r="D162">
        <f>IFERROR(VLOOKUP(CONCATENATE(Table43_1[[#This Row],[Kode BARANG Win2]],2),'Form Fix'!$A$6:$F$205,4,0),0)</f>
        <v>0</v>
      </c>
      <c r="E162">
        <f>IFERROR(VLOOKUP(CONCATENATE(Table43_1[[#This Row],[Kode BARANG Win2]],3),'Form Fix'!$A$6:$F$205,4,0),0)</f>
        <v>0</v>
      </c>
      <c r="F162">
        <f>IFERROR(VLOOKUP(CONCATENATE(Table43_1[[#This Row],[Kode BARANG Win2]],4),'Form Fix'!$A$6:$F$205,4,0),0)</f>
        <v>0</v>
      </c>
      <c r="G162">
        <f>IFERROR(VLOOKUP(CONCATENATE(Table43_1[[#This Row],[Kode BARANG Win2]],5),'Form Fix'!$A$6:$F$205,4,0),0)</f>
        <v>0</v>
      </c>
    </row>
    <row r="163" spans="1:7">
      <c r="A163" t="s">
        <v>896</v>
      </c>
      <c r="B163" t="s">
        <v>1010</v>
      </c>
      <c r="C163" t="str">
        <f>IFERROR(VLOOKUP(CONCATENATE(Table43_1[[#This Row],[Kode BARANG Win2]],1),'Form Fix'!$A$6:$F$205,4,0),0)</f>
        <v>052505500</v>
      </c>
      <c r="D163">
        <f>IFERROR(VLOOKUP(CONCATENATE(Table43_1[[#This Row],[Kode BARANG Win2]],2),'Form Fix'!$A$6:$F$205,4,0),0)</f>
        <v>0</v>
      </c>
      <c r="E163">
        <f>IFERROR(VLOOKUP(CONCATENATE(Table43_1[[#This Row],[Kode BARANG Win2]],3),'Form Fix'!$A$6:$F$205,4,0),0)</f>
        <v>0</v>
      </c>
      <c r="F163">
        <f>IFERROR(VLOOKUP(CONCATENATE(Table43_1[[#This Row],[Kode BARANG Win2]],4),'Form Fix'!$A$6:$F$205,4,0),0)</f>
        <v>0</v>
      </c>
      <c r="G163">
        <f>IFERROR(VLOOKUP(CONCATENATE(Table43_1[[#This Row],[Kode BARANG Win2]],5),'Form Fix'!$A$6:$F$205,4,0),0)</f>
        <v>0</v>
      </c>
    </row>
    <row r="164" spans="1:7">
      <c r="A164" t="s">
        <v>1179</v>
      </c>
      <c r="B164" t="s">
        <v>1198</v>
      </c>
      <c r="C164" t="str">
        <f>IFERROR(VLOOKUP(CONCATENATE(Table43_1[[#This Row],[Kode BARANG Win2]],1),'Form Fix'!$A$6:$F$205,4,0),0)</f>
        <v>042501702</v>
      </c>
      <c r="D164">
        <f>IFERROR(VLOOKUP(CONCATENATE(Table43_1[[#This Row],[Kode BARANG Win2]],2),'Form Fix'!$A$6:$F$205,4,0),0)</f>
        <v>0</v>
      </c>
      <c r="E164">
        <f>IFERROR(VLOOKUP(CONCATENATE(Table43_1[[#This Row],[Kode BARANG Win2]],3),'Form Fix'!$A$6:$F$205,4,0),0)</f>
        <v>0</v>
      </c>
      <c r="F164">
        <f>IFERROR(VLOOKUP(CONCATENATE(Table43_1[[#This Row],[Kode BARANG Win2]],4),'Form Fix'!$A$6:$F$205,4,0),0)</f>
        <v>0</v>
      </c>
      <c r="G164">
        <f>IFERROR(VLOOKUP(CONCATENATE(Table43_1[[#This Row],[Kode BARANG Win2]],5),'Form Fix'!$A$6:$F$205,4,0),0)</f>
        <v>0</v>
      </c>
    </row>
    <row r="165" spans="1:7">
      <c r="A165" t="s">
        <v>897</v>
      </c>
      <c r="B165" t="s">
        <v>1011</v>
      </c>
      <c r="C165">
        <f>IFERROR(VLOOKUP(CONCATENATE(Table43_1[[#This Row],[Kode BARANG Win2]],1),'Form Fix'!$A$6:$F$205,4,0),0)</f>
        <v>0</v>
      </c>
      <c r="D165">
        <f>IFERROR(VLOOKUP(CONCATENATE(Table43_1[[#This Row],[Kode BARANG Win2]],2),'Form Fix'!$A$6:$F$205,4,0),0)</f>
        <v>0</v>
      </c>
      <c r="E165">
        <f>IFERROR(VLOOKUP(CONCATENATE(Table43_1[[#This Row],[Kode BARANG Win2]],3),'Form Fix'!$A$6:$F$205,4,0),0)</f>
        <v>0</v>
      </c>
      <c r="F165">
        <f>IFERROR(VLOOKUP(CONCATENATE(Table43_1[[#This Row],[Kode BARANG Win2]],4),'Form Fix'!$A$6:$F$205,4,0),0)</f>
        <v>0</v>
      </c>
      <c r="G165">
        <f>IFERROR(VLOOKUP(CONCATENATE(Table43_1[[#This Row],[Kode BARANG Win2]],5),'Form Fix'!$A$6:$F$205,4,0),0)</f>
        <v>0</v>
      </c>
    </row>
    <row r="166" spans="1:7">
      <c r="A166" t="s">
        <v>898</v>
      </c>
      <c r="B166" t="s">
        <v>1012</v>
      </c>
      <c r="C166" t="str">
        <f>IFERROR(VLOOKUP(CONCATENATE(Table43_1[[#This Row],[Kode BARANG Win2]],1),'Form Fix'!$A$6:$F$205,4,0),0)</f>
        <v>042505001</v>
      </c>
      <c r="D166">
        <f>IFERROR(VLOOKUP(CONCATENATE(Table43_1[[#This Row],[Kode BARANG Win2]],2),'Form Fix'!$A$6:$F$205,4,0),0)</f>
        <v>0</v>
      </c>
      <c r="E166">
        <f>IFERROR(VLOOKUP(CONCATENATE(Table43_1[[#This Row],[Kode BARANG Win2]],3),'Form Fix'!$A$6:$F$205,4,0),0)</f>
        <v>0</v>
      </c>
      <c r="F166">
        <f>IFERROR(VLOOKUP(CONCATENATE(Table43_1[[#This Row],[Kode BARANG Win2]],4),'Form Fix'!$A$6:$F$205,4,0),0)</f>
        <v>0</v>
      </c>
      <c r="G166">
        <f>IFERROR(VLOOKUP(CONCATENATE(Table43_1[[#This Row],[Kode BARANG Win2]],5),'Form Fix'!$A$6:$F$205,4,0),0)</f>
        <v>0</v>
      </c>
    </row>
    <row r="167" spans="1:7">
      <c r="A167" t="s">
        <v>899</v>
      </c>
      <c r="B167" t="s">
        <v>1013</v>
      </c>
      <c r="C167" t="str">
        <f>IFERROR(VLOOKUP(CONCATENATE(Table43_1[[#This Row],[Kode BARANG Win2]],1),'Form Fix'!$A$6:$F$205,4,0),0)</f>
        <v>042505800</v>
      </c>
      <c r="D167" t="str">
        <f>IFERROR(VLOOKUP(CONCATENATE(Table43_1[[#This Row],[Kode BARANG Win2]],2),'Form Fix'!$A$6:$F$205,4,0),0)</f>
        <v>042504004</v>
      </c>
      <c r="E167">
        <f>IFERROR(VLOOKUP(CONCATENATE(Table43_1[[#This Row],[Kode BARANG Win2]],3),'Form Fix'!$A$6:$F$205,4,0),0)</f>
        <v>0</v>
      </c>
      <c r="F167">
        <f>IFERROR(VLOOKUP(CONCATENATE(Table43_1[[#This Row],[Kode BARANG Win2]],4),'Form Fix'!$A$6:$F$205,4,0),0)</f>
        <v>0</v>
      </c>
      <c r="G167">
        <f>IFERROR(VLOOKUP(CONCATENATE(Table43_1[[#This Row],[Kode BARANG Win2]],5),'Form Fix'!$A$6:$F$205,4,0),0)</f>
        <v>0</v>
      </c>
    </row>
    <row r="168" spans="1:7">
      <c r="A168" t="s">
        <v>900</v>
      </c>
      <c r="B168" t="s">
        <v>1014</v>
      </c>
      <c r="C168" t="str">
        <f>IFERROR(VLOOKUP(CONCATENATE(Table43_1[[#This Row],[Kode BARANG Win2]],1),'Form Fix'!$A$6:$F$205,4,0),0)</f>
        <v>042506800</v>
      </c>
      <c r="D168" t="str">
        <f>IFERROR(VLOOKUP(CONCATENATE(Table43_1[[#This Row],[Kode BARANG Win2]],2),'Form Fix'!$A$6:$F$205,4,0),0)</f>
        <v>042506008</v>
      </c>
      <c r="E168" t="str">
        <f>IFERROR(VLOOKUP(CONCATENATE(Table43_1[[#This Row],[Kode BARANG Win2]],3),'Form Fix'!$A$6:$F$205,4,0),0)</f>
        <v>042506012</v>
      </c>
      <c r="F168">
        <f>IFERROR(VLOOKUP(CONCATENATE(Table43_1[[#This Row],[Kode BARANG Win2]],4),'Form Fix'!$A$6:$F$205,4,0),0)</f>
        <v>0</v>
      </c>
      <c r="G168">
        <f>IFERROR(VLOOKUP(CONCATENATE(Table43_1[[#This Row],[Kode BARANG Win2]],5),'Form Fix'!$A$6:$F$205,4,0),0)</f>
        <v>0</v>
      </c>
    </row>
    <row r="169" spans="1:7">
      <c r="A169" t="s">
        <v>901</v>
      </c>
      <c r="B169" t="s">
        <v>1015</v>
      </c>
      <c r="C169" t="str">
        <f>IFERROR(VLOOKUP(CONCATENATE(Table43_1[[#This Row],[Kode BARANG Win2]],1),'Form Fix'!$A$6:$F$205,4,0),0)</f>
        <v>042501800</v>
      </c>
      <c r="D169" t="str">
        <f>IFERROR(VLOOKUP(CONCATENATE(Table43_1[[#This Row],[Kode BARANG Win2]],2),'Form Fix'!$A$6:$F$205,4,0),0)</f>
        <v>042501008</v>
      </c>
      <c r="E169" t="str">
        <f>IFERROR(VLOOKUP(CONCATENATE(Table43_1[[#This Row],[Kode BARANG Win2]],3),'Form Fix'!$A$6:$F$205,4,0),0)</f>
        <v>042501011</v>
      </c>
      <c r="F169">
        <f>IFERROR(VLOOKUP(CONCATENATE(Table43_1[[#This Row],[Kode BARANG Win2]],4),'Form Fix'!$A$6:$F$205,4,0),0)</f>
        <v>0</v>
      </c>
      <c r="G169">
        <f>IFERROR(VLOOKUP(CONCATENATE(Table43_1[[#This Row],[Kode BARANG Win2]],5),'Form Fix'!$A$6:$F$205,4,0),0)</f>
        <v>0</v>
      </c>
    </row>
    <row r="170" spans="1:7">
      <c r="A170" t="s">
        <v>1176</v>
      </c>
      <c r="B170" t="s">
        <v>1213</v>
      </c>
      <c r="C170" t="str">
        <f>IFERROR(VLOOKUP(CONCATENATE(Table43_1[[#This Row],[Kode BARANG Win2]],1),'Form Fix'!$A$6:$F$205,4,0),0)</f>
        <v>042501102</v>
      </c>
      <c r="D170">
        <f>IFERROR(VLOOKUP(CONCATENATE(Table43_1[[#This Row],[Kode BARANG Win2]],2),'Form Fix'!$A$6:$F$205,4,0),0)</f>
        <v>0</v>
      </c>
      <c r="E170">
        <f>IFERROR(VLOOKUP(CONCATENATE(Table43_1[[#This Row],[Kode BARANG Win2]],3),'Form Fix'!$A$6:$F$205,4,0),0)</f>
        <v>0</v>
      </c>
      <c r="F170">
        <f>IFERROR(VLOOKUP(CONCATENATE(Table43_1[[#This Row],[Kode BARANG Win2]],4),'Form Fix'!$A$6:$F$205,4,0),0)</f>
        <v>0</v>
      </c>
      <c r="G170">
        <f>IFERROR(VLOOKUP(CONCATENATE(Table43_1[[#This Row],[Kode BARANG Win2]],5),'Form Fix'!$A$6:$F$205,4,0),0)</f>
        <v>0</v>
      </c>
    </row>
    <row r="171" spans="1:7">
      <c r="A171" t="s">
        <v>902</v>
      </c>
      <c r="B171" t="s">
        <v>1016</v>
      </c>
      <c r="C171" t="str">
        <f>IFERROR(VLOOKUP(CONCATENATE(Table43_1[[#This Row],[Kode BARANG Win2]],1),'Form Fix'!$A$6:$F$205,4,0),0)</f>
        <v>042502800</v>
      </c>
      <c r="D171" t="str">
        <f>IFERROR(VLOOKUP(CONCATENATE(Table43_1[[#This Row],[Kode BARANG Win2]],2),'Form Fix'!$A$6:$F$205,4,0),0)</f>
        <v>042503004</v>
      </c>
      <c r="E171">
        <f>IFERROR(VLOOKUP(CONCATENATE(Table43_1[[#This Row],[Kode BARANG Win2]],3),'Form Fix'!$A$6:$F$205,4,0),0)</f>
        <v>0</v>
      </c>
      <c r="F171">
        <f>IFERROR(VLOOKUP(CONCATENATE(Table43_1[[#This Row],[Kode BARANG Win2]],4),'Form Fix'!$A$6:$F$205,4,0),0)</f>
        <v>0</v>
      </c>
      <c r="G171">
        <f>IFERROR(VLOOKUP(CONCATENATE(Table43_1[[#This Row],[Kode BARANG Win2]],5),'Form Fix'!$A$6:$F$205,4,0),0)</f>
        <v>0</v>
      </c>
    </row>
    <row r="172" spans="1:7">
      <c r="A172" t="s">
        <v>903</v>
      </c>
      <c r="B172" t="s">
        <v>1017</v>
      </c>
      <c r="C172" t="str">
        <f>IFERROR(VLOOKUP(CONCATENATE(Table43_1[[#This Row],[Kode BARANG Win2]],1),'Form Fix'!$A$6:$F$205,4,0),0)</f>
        <v>042503800</v>
      </c>
      <c r="D172" t="str">
        <f>IFERROR(VLOOKUP(CONCATENATE(Table43_1[[#This Row],[Kode BARANG Win2]],2),'Form Fix'!$A$6:$F$205,4,0),0)</f>
        <v>042505005</v>
      </c>
      <c r="E172">
        <f>IFERROR(VLOOKUP(CONCATENATE(Table43_1[[#This Row],[Kode BARANG Win2]],3),'Form Fix'!$A$6:$F$205,4,0),0)</f>
        <v>0</v>
      </c>
      <c r="F172">
        <f>IFERROR(VLOOKUP(CONCATENATE(Table43_1[[#This Row],[Kode BARANG Win2]],4),'Form Fix'!$A$6:$F$205,4,0),0)</f>
        <v>0</v>
      </c>
      <c r="G172">
        <f>IFERROR(VLOOKUP(CONCATENATE(Table43_1[[#This Row],[Kode BARANG Win2]],5),'Form Fix'!$A$6:$F$205,4,0),0)</f>
        <v>0</v>
      </c>
    </row>
    <row r="173" spans="1:7">
      <c r="A173" t="s">
        <v>904</v>
      </c>
      <c r="B173" t="s">
        <v>1018</v>
      </c>
      <c r="C173" t="str">
        <f>IFERROR(VLOOKUP(CONCATENATE(Table43_1[[#This Row],[Kode BARANG Win2]],1),'Form Fix'!$A$6:$F$205,4,0),0)</f>
        <v>042504800</v>
      </c>
      <c r="D173" t="str">
        <f>IFERROR(VLOOKUP(CONCATENATE(Table43_1[[#This Row],[Kode BARANG Win2]],2),'Form Fix'!$A$6:$F$205,4,0),0)</f>
        <v>042502008</v>
      </c>
      <c r="E173">
        <f>IFERROR(VLOOKUP(CONCATENATE(Table43_1[[#This Row],[Kode BARANG Win2]],3),'Form Fix'!$A$6:$F$205,4,0),0)</f>
        <v>0</v>
      </c>
      <c r="F173">
        <f>IFERROR(VLOOKUP(CONCATENATE(Table43_1[[#This Row],[Kode BARANG Win2]],4),'Form Fix'!$A$6:$F$205,4,0),0)</f>
        <v>0</v>
      </c>
      <c r="G173">
        <f>IFERROR(VLOOKUP(CONCATENATE(Table43_1[[#This Row],[Kode BARANG Win2]],5),'Form Fix'!$A$6:$F$205,4,0),0)</f>
        <v>0</v>
      </c>
    </row>
    <row r="174" spans="1:7">
      <c r="A174" t="s">
        <v>1177</v>
      </c>
      <c r="B174" t="s">
        <v>1196</v>
      </c>
      <c r="C174" t="str">
        <f>IFERROR(VLOOKUP(CONCATENATE(Table43_1[[#This Row],[Kode BARANG Win2]],1),'Form Fix'!$A$6:$F$205,4,0),0)</f>
        <v>042502500</v>
      </c>
      <c r="D174" t="str">
        <f>IFERROR(VLOOKUP(CONCATENATE(Table43_1[[#This Row],[Kode BARANG Win2]],2),'Form Fix'!$A$6:$F$205,4,0),0)</f>
        <v>042502501</v>
      </c>
      <c r="E174">
        <f>IFERROR(VLOOKUP(CONCATENATE(Table43_1[[#This Row],[Kode BARANG Win2]],3),'Form Fix'!$A$6:$F$205,4,0),0)</f>
        <v>0</v>
      </c>
      <c r="F174">
        <f>IFERROR(VLOOKUP(CONCATENATE(Table43_1[[#This Row],[Kode BARANG Win2]],4),'Form Fix'!$A$6:$F$205,4,0),0)</f>
        <v>0</v>
      </c>
      <c r="G174">
        <f>IFERROR(VLOOKUP(CONCATENATE(Table43_1[[#This Row],[Kode BARANG Win2]],5),'Form Fix'!$A$6:$F$205,4,0),0)</f>
        <v>0</v>
      </c>
    </row>
    <row r="175" spans="1:7">
      <c r="A175" t="s">
        <v>1178</v>
      </c>
      <c r="B175" t="s">
        <v>1197</v>
      </c>
      <c r="C175">
        <f>IFERROR(VLOOKUP(CONCATENATE(Table43_1[[#This Row],[Kode BARANG Win2]],1),'Form Fix'!$A$6:$F$205,4,0),0)</f>
        <v>0</v>
      </c>
      <c r="D175">
        <f>IFERROR(VLOOKUP(CONCATENATE(Table43_1[[#This Row],[Kode BARANG Win2]],2),'Form Fix'!$A$6:$F$205,4,0),0)</f>
        <v>0</v>
      </c>
      <c r="E175" t="str">
        <f>IFERROR(VLOOKUP(CONCATENATE(Table43_1[[#This Row],[Kode BARANG Win2]],3),'Form Fix'!$A$6:$F$205,4,0),0)</f>
        <v>042502503</v>
      </c>
      <c r="F175">
        <f>IFERROR(VLOOKUP(CONCATENATE(Table43_1[[#This Row],[Kode BARANG Win2]],4),'Form Fix'!$A$6:$F$205,4,0),0)</f>
        <v>0</v>
      </c>
      <c r="G175">
        <f>IFERROR(VLOOKUP(CONCATENATE(Table43_1[[#This Row],[Kode BARANG Win2]],5),'Form Fix'!$A$6:$F$205,4,0),0)</f>
        <v>0</v>
      </c>
    </row>
    <row r="176" spans="1:7">
      <c r="A176" t="s">
        <v>1180</v>
      </c>
      <c r="B176" t="s">
        <v>1198</v>
      </c>
      <c r="C176" t="str">
        <f>IFERROR(VLOOKUP(CONCATENATE(Table43_1[[#This Row],[Kode BARANG Win2]],1),'Form Fix'!$A$6:$F$205,4,0),0)</f>
        <v>042501703</v>
      </c>
      <c r="D176">
        <f>IFERROR(VLOOKUP(CONCATENATE(Table43_1[[#This Row],[Kode BARANG Win2]],2),'Form Fix'!$A$6:$F$205,4,0),0)</f>
        <v>0</v>
      </c>
      <c r="E176">
        <f>IFERROR(VLOOKUP(CONCATENATE(Table43_1[[#This Row],[Kode BARANG Win2]],3),'Form Fix'!$A$6:$F$205,4,0),0)</f>
        <v>0</v>
      </c>
      <c r="F176">
        <f>IFERROR(VLOOKUP(CONCATENATE(Table43_1[[#This Row],[Kode BARANG Win2]],4),'Form Fix'!$A$6:$F$205,4,0),0)</f>
        <v>0</v>
      </c>
      <c r="G176">
        <f>IFERROR(VLOOKUP(CONCATENATE(Table43_1[[#This Row],[Kode BARANG Win2]],5),'Form Fix'!$A$6:$F$205,4,0),0)</f>
        <v>0</v>
      </c>
    </row>
    <row r="177" spans="1:7">
      <c r="A177" t="s">
        <v>1309</v>
      </c>
      <c r="B177" t="s">
        <v>1332</v>
      </c>
      <c r="C177">
        <f>IFERROR(VLOOKUP(CONCATENATE(Table43_1[[#This Row],[Kode BARANG Win2]],1),'Form Fix'!$A$6:$F$205,4,0),0)</f>
        <v>0</v>
      </c>
      <c r="D177">
        <f>IFERROR(VLOOKUP(CONCATENATE(Table43_1[[#This Row],[Kode BARANG Win2]],2),'Form Fix'!$A$6:$F$205,4,0),0)</f>
        <v>0</v>
      </c>
      <c r="E177">
        <f>IFERROR(VLOOKUP(CONCATENATE(Table43_1[[#This Row],[Kode BARANG Win2]],3),'Form Fix'!$A$6:$F$205,4,0),0)</f>
        <v>0</v>
      </c>
      <c r="F177">
        <f>IFERROR(VLOOKUP(CONCATENATE(Table43_1[[#This Row],[Kode BARANG Win2]],4),'Form Fix'!$A$6:$F$205,4,0),0)</f>
        <v>0</v>
      </c>
      <c r="G177">
        <f>IFERROR(VLOOKUP(CONCATENATE(Table43_1[[#This Row],[Kode BARANG Win2]],5),'Form Fix'!$A$6:$F$205,4,0),0)</f>
        <v>0</v>
      </c>
    </row>
  </sheetData>
  <conditionalFormatting sqref="A1:A1048576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R205"/>
  <sheetViews>
    <sheetView tabSelected="1" topLeftCell="A70" zoomScaleNormal="100" workbookViewId="0">
      <selection activeCell="F98" sqref="F98"/>
    </sheetView>
  </sheetViews>
  <sheetFormatPr defaultRowHeight="15" outlineLevelCol="1"/>
  <cols>
    <col min="1" max="1" width="17.5703125" bestFit="1" customWidth="1"/>
    <col min="2" max="2" width="10.28515625" bestFit="1" customWidth="1"/>
    <col min="3" max="3" width="11.5703125" style="4" bestFit="1" customWidth="1"/>
    <col min="4" max="4" width="14.28515625" style="4" bestFit="1" customWidth="1"/>
    <col min="5" max="5" width="23.5703125" style="4" customWidth="1"/>
    <col min="6" max="6" width="84.140625" style="4" customWidth="1"/>
    <col min="7" max="7" width="12.140625" style="4" customWidth="1"/>
    <col min="8" max="8" width="16.5703125" style="31" customWidth="1"/>
    <col min="9" max="9" width="13" style="4" customWidth="1"/>
    <col min="10" max="10" width="27.5703125" style="4" customWidth="1"/>
    <col min="11" max="11" width="19.7109375" style="4" customWidth="1"/>
    <col min="12" max="12" width="18.42578125" style="4" customWidth="1"/>
    <col min="13" max="13" width="8.28515625" style="11" customWidth="1"/>
    <col min="14" max="14" width="68.42578125" style="14" customWidth="1"/>
    <col min="15" max="15" width="8.28515625" style="11" customWidth="1"/>
    <col min="16" max="16" width="19.140625" style="4" customWidth="1" outlineLevel="1"/>
    <col min="17" max="17" width="16.42578125" style="7" customWidth="1" outlineLevel="1"/>
    <col min="18" max="18" width="24.5703125" style="4" customWidth="1" outlineLevel="1"/>
    <col min="19" max="19" width="16.42578125" style="7" customWidth="1" outlineLevel="1"/>
    <col min="20" max="20" width="17.85546875" style="4" customWidth="1" outlineLevel="1"/>
    <col min="21" max="21" width="11.42578125" style="7" customWidth="1" outlineLevel="1"/>
    <col min="22" max="22" width="13.140625" style="7" customWidth="1" outlineLevel="1"/>
    <col min="23" max="23" width="14.5703125" style="7" customWidth="1" outlineLevel="1"/>
    <col min="24" max="24" width="30.7109375" style="4" customWidth="1" outlineLevel="1"/>
    <col min="25" max="25" width="13.140625" style="7" customWidth="1" outlineLevel="1"/>
    <col min="26" max="26" width="12.28515625" style="4" customWidth="1" outlineLevel="1"/>
    <col min="27" max="27" width="16.42578125" style="7" customWidth="1" outlineLevel="1"/>
    <col min="28" max="28" width="15.5703125" style="4" customWidth="1" outlineLevel="1"/>
    <col min="29" max="29" width="16.42578125" style="7" customWidth="1" outlineLevel="1"/>
    <col min="30" max="30" width="11.42578125" style="4" customWidth="1" outlineLevel="1"/>
    <col min="31" max="31" width="16.42578125" style="7" customWidth="1" outlineLevel="1"/>
    <col min="32" max="32" width="28" style="7" customWidth="1" outlineLevel="1"/>
    <col min="33" max="33" width="16.42578125" style="7" customWidth="1" outlineLevel="1"/>
    <col min="34" max="34" width="20.85546875" style="7" customWidth="1" outlineLevel="1"/>
    <col min="35" max="35" width="20.5703125" style="7" customWidth="1" outlineLevel="1"/>
    <col min="36" max="37" width="12.42578125" style="7" customWidth="1" outlineLevel="1"/>
    <col min="38" max="38" width="18.28515625" style="36" customWidth="1" outlineLevel="1"/>
    <col min="39" max="39" width="18" style="36" customWidth="1" outlineLevel="1"/>
    <col min="40" max="40" width="18.28515625" style="36" customWidth="1" outlineLevel="1"/>
    <col min="41" max="41" width="18" style="36" customWidth="1" outlineLevel="1"/>
    <col min="42" max="42" width="21.140625" style="36" customWidth="1"/>
    <col min="43" max="43" width="20.85546875" style="36" customWidth="1"/>
    <col min="44" max="44" width="21.140625" style="36" customWidth="1"/>
    <col min="45" max="45" width="20.85546875" style="36" customWidth="1"/>
    <col min="46" max="46" width="21.5703125" style="36" customWidth="1"/>
    <col min="47" max="47" width="21.28515625" style="36" customWidth="1"/>
    <col min="48" max="48" width="21.5703125" style="36" customWidth="1"/>
    <col min="49" max="49" width="21.28515625" style="36" customWidth="1"/>
    <col min="50" max="50" width="21.28515625" style="44" customWidth="1"/>
    <col min="51" max="51" width="15.7109375" style="4" customWidth="1"/>
    <col min="52" max="52" width="15.85546875" style="4" customWidth="1"/>
    <col min="53" max="53" width="15.7109375" style="4" bestFit="1" customWidth="1"/>
    <col min="54" max="54" width="11" style="4" bestFit="1" customWidth="1"/>
    <col min="55" max="55" width="11" style="4" customWidth="1"/>
    <col min="56" max="56" width="10.140625" style="4" bestFit="1" customWidth="1"/>
    <col min="57" max="58" width="14.140625" style="4" bestFit="1" customWidth="1"/>
    <col min="59" max="59" width="12.42578125" style="4" bestFit="1" customWidth="1"/>
    <col min="60" max="60" width="11.85546875" style="4" bestFit="1" customWidth="1"/>
    <col min="61" max="61" width="12.5703125" style="4" bestFit="1" customWidth="1"/>
    <col min="62" max="62" width="8.28515625" style="4" bestFit="1" customWidth="1"/>
    <col min="63" max="63" width="10.140625" style="4" bestFit="1" customWidth="1"/>
    <col min="64" max="64" width="11.140625" style="4" bestFit="1" customWidth="1"/>
    <col min="65" max="65" width="12.28515625" style="4" bestFit="1" customWidth="1"/>
    <col min="66" max="66" width="13" style="4" bestFit="1" customWidth="1"/>
    <col min="67" max="67" width="37.28515625" style="4" bestFit="1" customWidth="1"/>
    <col min="68" max="68" width="8.85546875" style="4"/>
    <col min="69" max="69" width="12" style="4" bestFit="1" customWidth="1"/>
    <col min="70" max="70" width="8.85546875" style="4"/>
  </cols>
  <sheetData>
    <row r="1" spans="1:70">
      <c r="C1" s="17" t="s">
        <v>31</v>
      </c>
      <c r="D1" s="13"/>
      <c r="E1" s="13"/>
      <c r="N1" s="4"/>
    </row>
    <row r="2" spans="1:70">
      <c r="N2" s="4"/>
      <c r="O2" s="11">
        <f>COUNTIF(Table43[LEN 50], "&gt;50")</f>
        <v>4</v>
      </c>
    </row>
    <row r="3" spans="1:70" ht="18.75">
      <c r="D3" s="140" t="s">
        <v>30</v>
      </c>
      <c r="E3" s="141"/>
      <c r="F3" s="141"/>
      <c r="G3" s="142"/>
      <c r="H3" s="32"/>
      <c r="I3" s="146"/>
      <c r="J3" s="147"/>
      <c r="K3" s="147"/>
      <c r="L3" s="147"/>
      <c r="M3" s="147"/>
      <c r="N3" s="148"/>
      <c r="P3" s="11" t="s">
        <v>168</v>
      </c>
      <c r="Q3" s="11"/>
      <c r="AL3" s="149" t="s">
        <v>37</v>
      </c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45"/>
      <c r="AY3" s="150" t="s">
        <v>44</v>
      </c>
      <c r="AZ3" s="150"/>
    </row>
    <row r="4" spans="1:70" ht="60">
      <c r="D4" s="143"/>
      <c r="E4" s="144"/>
      <c r="F4" s="144"/>
      <c r="G4" s="145"/>
      <c r="H4" s="33"/>
      <c r="I4" s="18" t="s">
        <v>32</v>
      </c>
      <c r="J4" s="18"/>
      <c r="K4" s="151" t="s">
        <v>33</v>
      </c>
      <c r="L4" s="151"/>
      <c r="M4" s="151"/>
      <c r="N4" s="151"/>
      <c r="O4" s="151"/>
      <c r="P4" s="152" t="s">
        <v>24</v>
      </c>
      <c r="Q4" s="152"/>
      <c r="AL4" s="153" t="s">
        <v>38</v>
      </c>
      <c r="AM4" s="153"/>
      <c r="AN4" s="153"/>
      <c r="AO4" s="153"/>
      <c r="AP4" s="153" t="s">
        <v>43</v>
      </c>
      <c r="AQ4" s="153"/>
      <c r="AR4" s="153"/>
      <c r="AS4" s="153"/>
      <c r="AT4" s="153" t="s">
        <v>183</v>
      </c>
      <c r="AU4" s="153"/>
      <c r="AV4" s="153"/>
      <c r="AW4" s="153"/>
      <c r="AX4" s="45" t="s">
        <v>184</v>
      </c>
      <c r="AY4" s="150"/>
      <c r="AZ4" s="150"/>
      <c r="BA4" s="23"/>
      <c r="BB4" s="24"/>
      <c r="BC4" s="24"/>
      <c r="BD4" s="139" t="s">
        <v>130</v>
      </c>
      <c r="BE4" s="139"/>
      <c r="BF4" s="139"/>
      <c r="BG4" s="139"/>
      <c r="BH4" s="139"/>
      <c r="BI4" s="139"/>
      <c r="BJ4" s="139"/>
      <c r="BK4" s="139"/>
      <c r="BL4" s="139"/>
      <c r="BM4" s="139"/>
      <c r="BN4" s="139"/>
    </row>
    <row r="5" spans="1:70" s="6" customFormat="1" ht="75">
      <c r="A5" s="22" t="s">
        <v>158</v>
      </c>
      <c r="B5" s="22" t="s">
        <v>143</v>
      </c>
      <c r="C5" s="5" t="s">
        <v>11</v>
      </c>
      <c r="D5" s="5" t="s">
        <v>0</v>
      </c>
      <c r="E5" s="5" t="s">
        <v>8</v>
      </c>
      <c r="F5" s="5" t="s">
        <v>7</v>
      </c>
      <c r="G5" s="5" t="s">
        <v>4</v>
      </c>
      <c r="H5" s="34" t="s">
        <v>182</v>
      </c>
      <c r="I5" s="5" t="s">
        <v>12</v>
      </c>
      <c r="J5" s="5" t="s">
        <v>36</v>
      </c>
      <c r="K5" s="9" t="s">
        <v>171</v>
      </c>
      <c r="L5" s="10" t="s">
        <v>29</v>
      </c>
      <c r="M5" s="12" t="s">
        <v>22</v>
      </c>
      <c r="N5" s="10" t="s">
        <v>21</v>
      </c>
      <c r="O5" s="12" t="s">
        <v>23</v>
      </c>
      <c r="P5" s="5" t="s">
        <v>13</v>
      </c>
      <c r="Q5" s="8" t="s">
        <v>14</v>
      </c>
      <c r="R5" s="5" t="s">
        <v>15</v>
      </c>
      <c r="S5" s="8" t="s">
        <v>16</v>
      </c>
      <c r="T5" s="15" t="s">
        <v>17</v>
      </c>
      <c r="U5" s="8" t="s">
        <v>18</v>
      </c>
      <c r="V5" s="15" t="s">
        <v>146</v>
      </c>
      <c r="W5" s="8" t="s">
        <v>147</v>
      </c>
      <c r="X5" s="5" t="s">
        <v>19</v>
      </c>
      <c r="Y5" s="8" t="s">
        <v>27</v>
      </c>
      <c r="Z5" s="5" t="s">
        <v>164</v>
      </c>
      <c r="AA5" s="8" t="s">
        <v>20</v>
      </c>
      <c r="AB5" s="5" t="s">
        <v>174</v>
      </c>
      <c r="AC5" s="8" t="s">
        <v>145</v>
      </c>
      <c r="AD5" s="5" t="s">
        <v>25</v>
      </c>
      <c r="AE5" s="8" t="s">
        <v>28</v>
      </c>
      <c r="AF5" s="5" t="s">
        <v>166</v>
      </c>
      <c r="AG5" s="8" t="s">
        <v>170</v>
      </c>
      <c r="AH5" s="5" t="s">
        <v>165</v>
      </c>
      <c r="AI5" s="5" t="s">
        <v>177</v>
      </c>
      <c r="AJ5" s="8" t="s">
        <v>176</v>
      </c>
      <c r="AK5" s="8" t="s">
        <v>180</v>
      </c>
      <c r="AL5" s="37" t="s">
        <v>40</v>
      </c>
      <c r="AM5" s="37" t="s">
        <v>39</v>
      </c>
      <c r="AN5" s="37" t="s">
        <v>41</v>
      </c>
      <c r="AO5" s="37" t="s">
        <v>42</v>
      </c>
      <c r="AP5" s="42" t="s">
        <v>131</v>
      </c>
      <c r="AQ5" s="42" t="s">
        <v>132</v>
      </c>
      <c r="AR5" s="42" t="s">
        <v>133</v>
      </c>
      <c r="AS5" s="42" t="s">
        <v>134</v>
      </c>
      <c r="AT5" s="43" t="s">
        <v>135</v>
      </c>
      <c r="AU5" s="43" t="s">
        <v>136</v>
      </c>
      <c r="AV5" s="43" t="s">
        <v>137</v>
      </c>
      <c r="AW5" s="43" t="s">
        <v>138</v>
      </c>
      <c r="AX5" s="46" t="s">
        <v>184</v>
      </c>
      <c r="AY5" s="19" t="s">
        <v>117</v>
      </c>
      <c r="AZ5" s="19" t="s">
        <v>118</v>
      </c>
      <c r="BA5" s="22" t="s">
        <v>121</v>
      </c>
      <c r="BB5" s="22" t="s">
        <v>122</v>
      </c>
      <c r="BC5" s="22" t="s">
        <v>181</v>
      </c>
      <c r="BD5" s="22" t="s">
        <v>119</v>
      </c>
      <c r="BE5" s="22" t="s">
        <v>142</v>
      </c>
      <c r="BF5" s="22" t="s">
        <v>175</v>
      </c>
      <c r="BG5" s="22" t="s">
        <v>123</v>
      </c>
      <c r="BH5" s="22" t="s">
        <v>172</v>
      </c>
      <c r="BI5" s="22" t="s">
        <v>124</v>
      </c>
      <c r="BJ5" s="22" t="s">
        <v>125</v>
      </c>
      <c r="BK5" s="22" t="s">
        <v>127</v>
      </c>
      <c r="BL5" s="22" t="s">
        <v>128</v>
      </c>
      <c r="BM5" s="22" t="s">
        <v>129</v>
      </c>
      <c r="BN5" s="22" t="s">
        <v>120</v>
      </c>
      <c r="BO5" s="22" t="s">
        <v>186</v>
      </c>
      <c r="BP5" s="5"/>
      <c r="BQ5" s="5"/>
      <c r="BR5" s="5"/>
    </row>
    <row r="6" spans="1:70">
      <c r="A6" s="4" t="str">
        <f>CONCATENATE(Table43[[#This Row],[Kode BARANG Win2]],Table43[[#This Row],[No. Urut
Item Sama]])</f>
        <v>F40111000070101</v>
      </c>
      <c r="B6" s="7">
        <v>1</v>
      </c>
      <c r="C6" s="4">
        <v>1</v>
      </c>
      <c r="D6" s="27" t="s">
        <v>384</v>
      </c>
      <c r="E6" s="27" t="s">
        <v>626</v>
      </c>
      <c r="F6" s="27" t="s">
        <v>505</v>
      </c>
      <c r="G6" s="27">
        <v>6</v>
      </c>
      <c r="H6" s="54">
        <v>8992946535182</v>
      </c>
      <c r="I6" s="27" t="str">
        <f>Table43[[#This Row],[Nama Jenis Kemasan]]</f>
        <v>BOX</v>
      </c>
      <c r="J6" s="4" t="str">
        <f>TRIM(CONCATENATE(Table43[[#This Row],[Nama            KLP]]," ",Table43[[#This Row],[Nama            Sub KLP]]))</f>
        <v>DERMYTHOL BAR</v>
      </c>
      <c r="K6" s="4" t="str">
        <f>CONCATENATE(Table43[[#This Row],[kode  2 Digit                (hrf+No)]],Table43[[#This Row],[kode  2 Digit                (Nomor)]],Table43[[#This Row],[kode  1 Digit                (Nomor)]])</f>
        <v>F4011</v>
      </c>
      <c r="L6" s="4" t="str">
        <f>IF(AG6="",CONCATENATE(Q6,S6,U6,W6,Y6,AA6,AC6,AE6,Table43[[#This Row],[Tanda Kode Revisi]]),CONCATENATE(Q6,S6,U6,W6,Y6,AA6,AC6,AG6))</f>
        <v>F4011100007010</v>
      </c>
      <c r="M6" s="11">
        <f t="shared" ref="M6:M41" si="0">LEN(L6)</f>
        <v>14</v>
      </c>
      <c r="N6" s="14" t="str">
        <f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f>
        <v>DERMYTHOL BAR LUNCH 70G X 6 BOX</v>
      </c>
      <c r="O6" s="11">
        <f t="shared" ref="O6:O41" si="1">LEN(N6)</f>
        <v>31</v>
      </c>
      <c r="Q6" s="7" t="s">
        <v>662</v>
      </c>
      <c r="R6" s="4" t="s">
        <v>626</v>
      </c>
      <c r="S6" s="48" t="s">
        <v>749</v>
      </c>
      <c r="T6" s="49" t="s">
        <v>663</v>
      </c>
      <c r="U6" s="7">
        <v>1</v>
      </c>
      <c r="V6" s="49" t="s">
        <v>664</v>
      </c>
      <c r="W6" s="48" t="s">
        <v>750</v>
      </c>
      <c r="Y6" s="50" t="s">
        <v>383</v>
      </c>
      <c r="Z6" s="4" t="s">
        <v>771</v>
      </c>
      <c r="AA6" s="50" t="s">
        <v>738</v>
      </c>
      <c r="AB6" s="4" t="s">
        <v>735</v>
      </c>
      <c r="AC6" s="7">
        <v>1</v>
      </c>
      <c r="AE6" s="7">
        <v>0</v>
      </c>
      <c r="AI6" s="7" t="s">
        <v>179</v>
      </c>
      <c r="AJ6" s="7">
        <v>1</v>
      </c>
      <c r="AL6" s="38">
        <v>30029.189189189186</v>
      </c>
      <c r="AM6" s="39">
        <f>Table43[[#This Row],[Harga Beli Pcs
(-PPN)]]*Table43[[#This Row],[ISI/CTN]]</f>
        <v>180175.13513513512</v>
      </c>
      <c r="AN6" s="39">
        <f>Table43[[#This Row],[Harga Beli Pcs
(-PPN)]]*1.11</f>
        <v>33332.400000000001</v>
      </c>
      <c r="AO6" s="39">
        <f>Table43[[#This Row],[Harga Beli Krt
(- PPN)]]*1.11</f>
        <v>199994.4</v>
      </c>
      <c r="AP6" s="39">
        <v>32432.43243243243</v>
      </c>
      <c r="AQ6" s="39">
        <f>Table43[[#This Row],[Harga Jual Pcs GT
(-PPN)]]*Table43[[#This Row],[ISI/CTN]]</f>
        <v>194594.59459459459</v>
      </c>
      <c r="AR6" s="39">
        <f>Table43[[#This Row],[Harga Jual Pcs GT
(-PPN)]]*1.11</f>
        <v>36000</v>
      </c>
      <c r="AS6" s="39">
        <f>Table43[[#This Row],[Harga Jual Krt GT
(- PPN)]]*1.11</f>
        <v>216000</v>
      </c>
      <c r="AT6" s="39"/>
      <c r="AU6" s="39">
        <f>Table43[[#This Row],[Harga Jual Pcs MT
(-PPN)]]*Table43[[#This Row],[ISI/CTN]]</f>
        <v>0</v>
      </c>
      <c r="AV6" s="39">
        <f>Table43[[#This Row],[Harga Jual Pcs MT
(-PPN)]]*1.11</f>
        <v>0</v>
      </c>
      <c r="AW6" s="39">
        <f>Table43[[#This Row],[Harga Jual Pcs MT
(+PPN)]]*Table43[[#This Row],[ISI/CTN]]</f>
        <v>0</v>
      </c>
      <c r="AX6" s="47">
        <f>IFERROR((Table43[[#This Row],[Harga Jual Pcs GT
(-PPN)]]-Table43[[#This Row],[Harga Beli Pcs
(-PPN)]])/Table43[[#This Row],[Harga Jual Pcs GT
(-PPN)]],0)</f>
        <v>7.4100000000000013E-2</v>
      </c>
      <c r="AY6" s="51">
        <v>45848</v>
      </c>
      <c r="AZ6" s="7"/>
      <c r="BA6" s="7" t="str">
        <f ca="1">IF(TODAY()-Table43[[#This Row],[Efektif
Pembuatan]]&gt;60,"Lama","Baru")</f>
        <v>Lama</v>
      </c>
      <c r="BB6" s="7" t="str">
        <f ca="1">IF(TODAY()-Table43[[#This Row],[Efektif Naik Harga]]&lt;30,"Naik","Sama")</f>
        <v>Sama</v>
      </c>
      <c r="BC6" s="7" t="s">
        <v>185</v>
      </c>
      <c r="BD6" s="7" t="str">
        <f>IF(Table43[[#This Row],[Kode BARANG Win2]]&lt;&gt;"","IDR","")</f>
        <v>IDR</v>
      </c>
      <c r="BE6" s="7" t="str">
        <f>CONCATENATE(Table43[[#This Row],[kode  1 Digit
(Nomor)]],Table43[[#This Row],[kode  4 Digit                (Nomor)]])</f>
        <v>10070</v>
      </c>
      <c r="BF6" s="7" t="str">
        <f>Table43[[#This Row],[Nama            Gramasi atau Jumlah Pack per CTN]]</f>
        <v>70G</v>
      </c>
      <c r="BG6" s="7" t="s">
        <v>1060</v>
      </c>
      <c r="BH6" s="7" t="s">
        <v>377</v>
      </c>
      <c r="BI6" s="4" t="str">
        <f>IF(Table43[[#This Row],[SATUAN Fix Win]]&lt;&gt;"","KRT")</f>
        <v>KRT</v>
      </c>
      <c r="BJ6" s="4" t="str">
        <f>IF(Table43[[#This Row],[SATUAN Fix Win]]&lt;&gt;"","GD01")</f>
        <v>GD01</v>
      </c>
      <c r="BK6" s="4">
        <f>IF(Table43[[#This Row],[SATUAN Fix Win]]&lt;&gt;"",11611)</f>
        <v>11611</v>
      </c>
      <c r="BL6" s="4">
        <f>IF(Table43[[#This Row],[SATUAN Fix Win]]&lt;&gt;"",11612)</f>
        <v>11612</v>
      </c>
      <c r="BM6" s="52" t="s">
        <v>378</v>
      </c>
      <c r="BN6" s="4">
        <f>IF(Table43[[#This Row],[SATUAN Fix Win]]&lt;&gt;"",1)</f>
        <v>1</v>
      </c>
      <c r="BO6" s="4" t="s">
        <v>637</v>
      </c>
      <c r="BQ6" s="53"/>
    </row>
    <row r="7" spans="1:70">
      <c r="A7" s="4" t="str">
        <f>CONCATENATE(Table43[[#This Row],[Kode BARANG Win2]],Table43[[#This Row],[No. Urut
Item Sama]])</f>
        <v>F40121010400101</v>
      </c>
      <c r="B7" s="7">
        <v>1</v>
      </c>
      <c r="C7" s="4">
        <v>2</v>
      </c>
      <c r="D7" s="27" t="s">
        <v>407</v>
      </c>
      <c r="E7" s="27" t="s">
        <v>626</v>
      </c>
      <c r="F7" s="27" t="s">
        <v>528</v>
      </c>
      <c r="G7" s="27">
        <v>24</v>
      </c>
      <c r="H7" s="54">
        <v>8992946534341</v>
      </c>
      <c r="I7" s="27" t="str">
        <f>Table43[[#This Row],[Nama Jenis Kemasan]]</f>
        <v>PCH</v>
      </c>
      <c r="J7" s="4" t="str">
        <f>TRIM(CONCATENATE(Table43[[#This Row],[Nama            KLP]]," ",Table43[[#This Row],[Nama            Sub KLP]]))</f>
        <v>DERMYTHOL BCL</v>
      </c>
      <c r="K7" s="4" t="str">
        <f>CONCATENATE(Table43[[#This Row],[kode  2 Digit                (hrf+No)]],Table43[[#This Row],[kode  2 Digit                (Nomor)]],Table43[[#This Row],[kode  1 Digit                (Nomor)]])</f>
        <v>F4012</v>
      </c>
      <c r="L7" s="4" t="str">
        <f>IF(AG7="",CONCATENATE(Q7,S7,U7,W7,Y7,AA7,AC7,AE7,Table43[[#This Row],[Tanda Kode Revisi]]),CONCATENATE(Q7,S7,U7,W7,Y7,AA7,AC7,AG7))</f>
        <v>F4012101040010</v>
      </c>
      <c r="M7" s="11">
        <f t="shared" si="0"/>
        <v>14</v>
      </c>
      <c r="N7" s="14" t="str">
        <f>IF(AF7&lt;&gt;"",TRIM(UPPER(CONCATENATE(P7," ",R7," ",T7," ",V7," ",X7," ",Z7," ","X"," ",Table43[[#This Row],[ISI/CTN]]," ",AF7," ",AB7," ",AD7," ",AH7))),TRIM(UPPER(CONCATENATE(P7," ",R7," ",T7," ",V7," ",X7," ",Z7," ","X"," ",Table43[[#This Row],[ISI/CTN]]," ",AB7," ",AD7," ",AH7))))</f>
        <v>DERMYTHOL BCL REF HYGIENIC BIO SLFR 400ML X 24 PCH</v>
      </c>
      <c r="O7" s="11">
        <f t="shared" si="1"/>
        <v>50</v>
      </c>
      <c r="Q7" s="7" t="s">
        <v>662</v>
      </c>
      <c r="R7" s="4" t="s">
        <v>626</v>
      </c>
      <c r="S7" s="48" t="s">
        <v>749</v>
      </c>
      <c r="T7" s="49" t="s">
        <v>775</v>
      </c>
      <c r="U7" s="7">
        <v>2</v>
      </c>
      <c r="V7" s="49" t="s">
        <v>776</v>
      </c>
      <c r="W7" s="48" t="s">
        <v>750</v>
      </c>
      <c r="X7" s="4" t="s">
        <v>780</v>
      </c>
      <c r="Y7" s="50" t="s">
        <v>749</v>
      </c>
      <c r="Z7" s="4" t="s">
        <v>670</v>
      </c>
      <c r="AA7" s="50" t="s">
        <v>739</v>
      </c>
      <c r="AB7" s="4" t="s">
        <v>671</v>
      </c>
      <c r="AC7" s="7">
        <v>1</v>
      </c>
      <c r="AE7" s="7">
        <v>0</v>
      </c>
      <c r="AI7" s="7" t="s">
        <v>178</v>
      </c>
      <c r="AJ7" s="7">
        <v>2</v>
      </c>
      <c r="AL7" s="38">
        <v>21937.990990990987</v>
      </c>
      <c r="AM7" s="39">
        <f>Table43[[#This Row],[Harga Beli Pcs
(-PPN)]]*Table43[[#This Row],[ISI/CTN]]</f>
        <v>526511.78378378367</v>
      </c>
      <c r="AN7" s="39">
        <f>Table43[[#This Row],[Harga Beli Pcs
(-PPN)]]*1.11</f>
        <v>24351.17</v>
      </c>
      <c r="AO7" s="39">
        <f>Table43[[#This Row],[Harga Beli Krt
(- PPN)]]*1.11</f>
        <v>584428.07999999996</v>
      </c>
      <c r="AP7" s="39">
        <v>23693.693693693695</v>
      </c>
      <c r="AQ7" s="39">
        <f>Table43[[#This Row],[Harga Jual Pcs GT
(-PPN)]]*Table43[[#This Row],[ISI/CTN]]</f>
        <v>568648.64864864864</v>
      </c>
      <c r="AR7" s="39">
        <f>Table43[[#This Row],[Harga Jual Pcs GT
(-PPN)]]*1.11</f>
        <v>26300.000000000004</v>
      </c>
      <c r="AS7" s="39">
        <f>Table43[[#This Row],[Harga Jual Krt GT
(- PPN)]]*1.11</f>
        <v>631200</v>
      </c>
      <c r="AT7" s="39"/>
      <c r="AU7" s="39">
        <f>Table43[[#This Row],[Harga Jual Pcs MT
(-PPN)]]*Table43[[#This Row],[ISI/CTN]]</f>
        <v>0</v>
      </c>
      <c r="AV7" s="39">
        <f>Table43[[#This Row],[Harga Jual Pcs MT
(-PPN)]]*1.11</f>
        <v>0</v>
      </c>
      <c r="AW7" s="39">
        <f>Table43[[#This Row],[Harga Jual Pcs MT
(+PPN)]]*Table43[[#This Row],[ISI/CTN]]</f>
        <v>0</v>
      </c>
      <c r="AX7" s="47">
        <f>IFERROR((Table43[[#This Row],[Harga Jual Pcs GT
(-PPN)]]-Table43[[#This Row],[Harga Beli Pcs
(-PPN)]])/Table43[[#This Row],[Harga Jual Pcs GT
(-PPN)]],0)</f>
        <v>7.410000000000018E-2</v>
      </c>
      <c r="AY7" s="51">
        <v>45848</v>
      </c>
      <c r="AZ7" s="7"/>
      <c r="BA7" s="7" t="str">
        <f ca="1">IF(TODAY()-Table43[[#This Row],[Efektif
Pembuatan]]&gt;60,"Lama","Baru")</f>
        <v>Lama</v>
      </c>
      <c r="BB7" s="7" t="str">
        <f ca="1">IF(TODAY()-Table43[[#This Row],[Efektif Naik Harga]]&lt;30,"Naik","Sama")</f>
        <v>Sama</v>
      </c>
      <c r="BC7" s="7" t="s">
        <v>185</v>
      </c>
      <c r="BD7" s="7" t="str">
        <f>IF(Table43[[#This Row],[Kode BARANG Win2]]&lt;&gt;"","IDR","")</f>
        <v>IDR</v>
      </c>
      <c r="BE7" s="7" t="str">
        <f>CONCATENATE(Table43[[#This Row],[kode  1 Digit
(Nomor)]],Table43[[#This Row],[kode  4 Digit                (Nomor)]])</f>
        <v>20400</v>
      </c>
      <c r="BF7" s="7" t="str">
        <f>Table43[[#This Row],[Nama            Gramasi atau Jumlah Pack per CTN]]</f>
        <v>400ML</v>
      </c>
      <c r="BG7" s="7" t="s">
        <v>1060</v>
      </c>
      <c r="BH7" s="7" t="s">
        <v>377</v>
      </c>
      <c r="BI7" s="4" t="str">
        <f>IF(Table43[[#This Row],[SATUAN Fix Win]]&lt;&gt;"","KRT")</f>
        <v>KRT</v>
      </c>
      <c r="BJ7" s="4" t="str">
        <f>IF(Table43[[#This Row],[SATUAN Fix Win]]&lt;&gt;"","GD01")</f>
        <v>GD01</v>
      </c>
      <c r="BK7" s="4">
        <f>IF(Table43[[#This Row],[SATUAN Fix Win]]&lt;&gt;"",11611)</f>
        <v>11611</v>
      </c>
      <c r="BL7" s="4">
        <f>IF(Table43[[#This Row],[SATUAN Fix Win]]&lt;&gt;"",11612)</f>
        <v>11612</v>
      </c>
      <c r="BM7" s="52" t="s">
        <v>378</v>
      </c>
      <c r="BN7" s="4">
        <f>IF(Table43[[#This Row],[SATUAN Fix Win]]&lt;&gt;"",1)</f>
        <v>1</v>
      </c>
      <c r="BO7" s="4" t="s">
        <v>637</v>
      </c>
    </row>
    <row r="8" spans="1:70">
      <c r="A8" s="4" t="str">
        <f>CONCATENATE(Table43[[#This Row],[Kode BARANG Win2]],Table43[[#This Row],[No. Urut
Item Sama]])</f>
        <v>F40121020400101</v>
      </c>
      <c r="B8" s="7">
        <v>1</v>
      </c>
      <c r="C8" s="4">
        <v>3</v>
      </c>
      <c r="D8" s="27" t="s">
        <v>409</v>
      </c>
      <c r="E8" s="27" t="s">
        <v>626</v>
      </c>
      <c r="F8" s="27" t="s">
        <v>530</v>
      </c>
      <c r="G8" s="27">
        <v>24</v>
      </c>
      <c r="H8" s="54">
        <v>8992946534324</v>
      </c>
      <c r="I8" s="27" t="str">
        <f>Table43[[#This Row],[Nama Jenis Kemasan]]</f>
        <v>PCH</v>
      </c>
      <c r="J8" s="4" t="str">
        <f>TRIM(CONCATENATE(Table43[[#This Row],[Nama            KLP]]," ",Table43[[#This Row],[Nama            Sub KLP]]))</f>
        <v>DERMYTHOL BCL</v>
      </c>
      <c r="K8" s="4" t="str">
        <f>CONCATENATE(Table43[[#This Row],[kode  2 Digit                (hrf+No)]],Table43[[#This Row],[kode  2 Digit                (Nomor)]],Table43[[#This Row],[kode  1 Digit                (Nomor)]])</f>
        <v>F4012</v>
      </c>
      <c r="L8" s="4" t="str">
        <f>IF(AG8="",CONCATENATE(Q8,S8,U8,W8,Y8,AA8,AC8,AE8,Table43[[#This Row],[Tanda Kode Revisi]]),CONCATENATE(Q8,S8,U8,W8,Y8,AA8,AC8,AG8))</f>
        <v>F4012102040010</v>
      </c>
      <c r="M8" s="11">
        <f t="shared" si="0"/>
        <v>14</v>
      </c>
      <c r="N8" s="14" t="str">
        <f>IF(AF8&lt;&gt;"",TRIM(UPPER(CONCATENATE(P8," ",R8," ",T8," ",V8," ",X8," ",Z8," ","X"," ",Table43[[#This Row],[ISI/CTN]]," ",AF8," ",AB8," ",AD8," ",AH8))),TRIM(UPPER(CONCATENATE(P8," ",R8," ",T8," ",V8," ",X8," ",Z8," ","X"," ",Table43[[#This Row],[ISI/CTN]]," ",AB8," ",AD8," ",AH8))))</f>
        <v>DERMYTHOL BCL REF HYGIENIC PROTECT 400ML X 24 PCH</v>
      </c>
      <c r="O8" s="11">
        <f t="shared" si="1"/>
        <v>49</v>
      </c>
      <c r="Q8" s="7" t="s">
        <v>662</v>
      </c>
      <c r="R8" s="4" t="s">
        <v>626</v>
      </c>
      <c r="S8" s="48" t="s">
        <v>749</v>
      </c>
      <c r="T8" s="49" t="s">
        <v>775</v>
      </c>
      <c r="U8" s="7">
        <v>2</v>
      </c>
      <c r="V8" s="49" t="s">
        <v>776</v>
      </c>
      <c r="W8" s="48" t="s">
        <v>750</v>
      </c>
      <c r="X8" s="4" t="s">
        <v>672</v>
      </c>
      <c r="Y8" s="50" t="s">
        <v>751</v>
      </c>
      <c r="Z8" s="4" t="s">
        <v>670</v>
      </c>
      <c r="AA8" s="50" t="s">
        <v>739</v>
      </c>
      <c r="AB8" s="4" t="s">
        <v>671</v>
      </c>
      <c r="AC8" s="7">
        <v>1</v>
      </c>
      <c r="AE8" s="7">
        <v>0</v>
      </c>
      <c r="AI8" s="7" t="s">
        <v>178</v>
      </c>
      <c r="AJ8" s="7">
        <v>2</v>
      </c>
      <c r="AL8" s="38">
        <v>21937.990990990987</v>
      </c>
      <c r="AM8" s="39">
        <f>Table43[[#This Row],[Harga Beli Pcs
(-PPN)]]*Table43[[#This Row],[ISI/CTN]]</f>
        <v>526511.78378378367</v>
      </c>
      <c r="AN8" s="39">
        <f>Table43[[#This Row],[Harga Beli Pcs
(-PPN)]]*1.11</f>
        <v>24351.17</v>
      </c>
      <c r="AO8" s="39">
        <f>Table43[[#This Row],[Harga Beli Krt
(- PPN)]]*1.11</f>
        <v>584428.07999999996</v>
      </c>
      <c r="AP8" s="39">
        <v>23693.693693693695</v>
      </c>
      <c r="AQ8" s="39">
        <f>Table43[[#This Row],[Harga Jual Pcs GT
(-PPN)]]*Table43[[#This Row],[ISI/CTN]]</f>
        <v>568648.64864864864</v>
      </c>
      <c r="AR8" s="39">
        <f>Table43[[#This Row],[Harga Jual Pcs GT
(-PPN)]]*1.11</f>
        <v>26300.000000000004</v>
      </c>
      <c r="AS8" s="39">
        <f>Table43[[#This Row],[Harga Jual Krt GT
(- PPN)]]*1.11</f>
        <v>631200</v>
      </c>
      <c r="AT8" s="39"/>
      <c r="AU8" s="39">
        <f>Table43[[#This Row],[Harga Jual Pcs MT
(-PPN)]]*Table43[[#This Row],[ISI/CTN]]</f>
        <v>0</v>
      </c>
      <c r="AV8" s="39">
        <f>Table43[[#This Row],[Harga Jual Pcs MT
(-PPN)]]*1.11</f>
        <v>0</v>
      </c>
      <c r="AW8" s="39">
        <f>Table43[[#This Row],[Harga Jual Pcs MT
(+PPN)]]*Table43[[#This Row],[ISI/CTN]]</f>
        <v>0</v>
      </c>
      <c r="AX8" s="47">
        <f>IFERROR((Table43[[#This Row],[Harga Jual Pcs GT
(-PPN)]]-Table43[[#This Row],[Harga Beli Pcs
(-PPN)]])/Table43[[#This Row],[Harga Jual Pcs GT
(-PPN)]],0)</f>
        <v>7.410000000000018E-2</v>
      </c>
      <c r="AY8" s="51">
        <v>45848</v>
      </c>
      <c r="AZ8" s="7"/>
      <c r="BA8" s="7" t="str">
        <f ca="1">IF(TODAY()-Table43[[#This Row],[Efektif
Pembuatan]]&gt;60,"Lama","Baru")</f>
        <v>Lama</v>
      </c>
      <c r="BB8" s="7" t="str">
        <f ca="1">IF(TODAY()-Table43[[#This Row],[Efektif Naik Harga]]&lt;30,"Naik","Sama")</f>
        <v>Sama</v>
      </c>
      <c r="BC8" s="7" t="s">
        <v>185</v>
      </c>
      <c r="BD8" s="7" t="str">
        <f>IF(Table43[[#This Row],[Kode BARANG Win2]]&lt;&gt;"","IDR","")</f>
        <v>IDR</v>
      </c>
      <c r="BE8" s="7" t="str">
        <f>CONCATENATE(Table43[[#This Row],[kode  1 Digit
(Nomor)]],Table43[[#This Row],[kode  4 Digit                (Nomor)]])</f>
        <v>20400</v>
      </c>
      <c r="BF8" s="7" t="str">
        <f>Table43[[#This Row],[Nama            Gramasi atau Jumlah Pack per CTN]]</f>
        <v>400ML</v>
      </c>
      <c r="BG8" s="7" t="s">
        <v>1060</v>
      </c>
      <c r="BH8" s="7" t="s">
        <v>377</v>
      </c>
      <c r="BI8" s="4" t="str">
        <f>IF(Table43[[#This Row],[SATUAN Fix Win]]&lt;&gt;"","KRT")</f>
        <v>KRT</v>
      </c>
      <c r="BJ8" s="4" t="str">
        <f>IF(Table43[[#This Row],[SATUAN Fix Win]]&lt;&gt;"","GD01")</f>
        <v>GD01</v>
      </c>
      <c r="BK8" s="4">
        <f>IF(Table43[[#This Row],[SATUAN Fix Win]]&lt;&gt;"",11611)</f>
        <v>11611</v>
      </c>
      <c r="BL8" s="4">
        <f>IF(Table43[[#This Row],[SATUAN Fix Win]]&lt;&gt;"",11612)</f>
        <v>11612</v>
      </c>
      <c r="BM8" s="52" t="s">
        <v>378</v>
      </c>
      <c r="BN8" s="4">
        <f>IF(Table43[[#This Row],[SATUAN Fix Win]]&lt;&gt;"",1)</f>
        <v>1</v>
      </c>
      <c r="BO8" s="4" t="s">
        <v>637</v>
      </c>
    </row>
    <row r="9" spans="1:70">
      <c r="A9" s="4" t="str">
        <f>CONCATENATE(Table43[[#This Row],[Kode BARANG Win2]],Table43[[#This Row],[No. Urut
Item Sama]])</f>
        <v>F40120010480201</v>
      </c>
      <c r="B9" s="7">
        <v>1</v>
      </c>
      <c r="C9" s="4">
        <v>4</v>
      </c>
      <c r="D9" s="27" t="s">
        <v>408</v>
      </c>
      <c r="E9" s="27" t="s">
        <v>626</v>
      </c>
      <c r="F9" s="27" t="s">
        <v>529</v>
      </c>
      <c r="G9" s="27">
        <v>24</v>
      </c>
      <c r="H9" s="54">
        <v>8992946534287</v>
      </c>
      <c r="I9" s="27" t="str">
        <f>Table43[[#This Row],[Nama Jenis Kemasan]]</f>
        <v>PUMP</v>
      </c>
      <c r="J9" s="4" t="str">
        <f>TRIM(CONCATENATE(Table43[[#This Row],[Nama            KLP]]," ",Table43[[#This Row],[Nama            Sub KLP]]))</f>
        <v>DERMYTHOL BCL</v>
      </c>
      <c r="K9" s="4" t="str">
        <f>CONCATENATE(Table43[[#This Row],[kode  2 Digit                (hrf+No)]],Table43[[#This Row],[kode  2 Digit                (Nomor)]],Table43[[#This Row],[kode  1 Digit                (Nomor)]])</f>
        <v>F4012</v>
      </c>
      <c r="L9" s="4" t="str">
        <f>IF(AG9="",CONCATENATE(Q9,S9,U9,W9,Y9,AA9,AC9,AE9,Table43[[#This Row],[Tanda Kode Revisi]]),CONCATENATE(Q9,S9,U9,W9,Y9,AA9,AC9,AG9))</f>
        <v>F4012001048020</v>
      </c>
      <c r="M9" s="11">
        <f t="shared" si="0"/>
        <v>14</v>
      </c>
      <c r="N9" s="14" t="str">
        <f>IF(AF9&lt;&gt;"",TRIM(UPPER(CONCATENATE(P9," ",R9," ",T9," ",V9," ",X9," ",Z9," ","X"," ",Table43[[#This Row],[ISI/CTN]]," ",AF9," ",AB9," ",AD9," ",AH9))),TRIM(UPPER(CONCATENATE(P9," ",R9," ",T9," ",V9," ",X9," ",Z9," ","X"," ",Table43[[#This Row],[ISI/CTN]]," ",AB9," ",AD9," ",AH9))))</f>
        <v>DERMYTHOL BCL HYGIENIC BIO SULFUR 480ML X 24 PUMP</v>
      </c>
      <c r="O9" s="11">
        <f t="shared" si="1"/>
        <v>49</v>
      </c>
      <c r="Q9" s="7" t="s">
        <v>662</v>
      </c>
      <c r="R9" s="4" t="s">
        <v>626</v>
      </c>
      <c r="S9" s="48" t="s">
        <v>749</v>
      </c>
      <c r="T9" s="49" t="s">
        <v>775</v>
      </c>
      <c r="U9" s="7">
        <v>2</v>
      </c>
      <c r="V9" s="49"/>
      <c r="W9" s="48" t="s">
        <v>370</v>
      </c>
      <c r="X9" s="4" t="s">
        <v>669</v>
      </c>
      <c r="Y9" s="50" t="s">
        <v>749</v>
      </c>
      <c r="Z9" s="4" t="s">
        <v>673</v>
      </c>
      <c r="AA9" s="50" t="s">
        <v>740</v>
      </c>
      <c r="AB9" s="4" t="s">
        <v>730</v>
      </c>
      <c r="AC9" s="7">
        <v>2</v>
      </c>
      <c r="AE9" s="7">
        <v>0</v>
      </c>
      <c r="AI9" s="7" t="s">
        <v>178</v>
      </c>
      <c r="AJ9" s="7">
        <v>2</v>
      </c>
      <c r="AL9" s="38">
        <v>35034.054054054046</v>
      </c>
      <c r="AM9" s="39">
        <f>Table43[[#This Row],[Harga Beli Pcs
(-PPN)]]*Table43[[#This Row],[ISI/CTN]]</f>
        <v>840817.29729729705</v>
      </c>
      <c r="AN9" s="39">
        <f>Table43[[#This Row],[Harga Beli Pcs
(-PPN)]]*1.11</f>
        <v>38887.799999999996</v>
      </c>
      <c r="AO9" s="39">
        <f>Table43[[#This Row],[Harga Beli Krt
(- PPN)]]*1.11</f>
        <v>933307.19999999984</v>
      </c>
      <c r="AP9" s="39">
        <v>37837.837837837833</v>
      </c>
      <c r="AQ9" s="39">
        <f>Table43[[#This Row],[Harga Jual Pcs GT
(-PPN)]]*Table43[[#This Row],[ISI/CTN]]</f>
        <v>908108.10810810793</v>
      </c>
      <c r="AR9" s="39">
        <f>Table43[[#This Row],[Harga Jual Pcs GT
(-PPN)]]*1.11</f>
        <v>42000</v>
      </c>
      <c r="AS9" s="39">
        <f>Table43[[#This Row],[Harga Jual Krt GT
(- PPN)]]*1.11</f>
        <v>1007999.9999999999</v>
      </c>
      <c r="AT9" s="39"/>
      <c r="AU9" s="39">
        <f>Table43[[#This Row],[Harga Jual Pcs MT
(-PPN)]]*Table43[[#This Row],[ISI/CTN]]</f>
        <v>0</v>
      </c>
      <c r="AV9" s="39">
        <f>Table43[[#This Row],[Harga Jual Pcs MT
(-PPN)]]*1.11</f>
        <v>0</v>
      </c>
      <c r="AW9" s="39">
        <f>Table43[[#This Row],[Harga Jual Pcs MT
(+PPN)]]*Table43[[#This Row],[ISI/CTN]]</f>
        <v>0</v>
      </c>
      <c r="AX9" s="47">
        <f>IFERROR((Table43[[#This Row],[Harga Jual Pcs GT
(-PPN)]]-Table43[[#This Row],[Harga Beli Pcs
(-PPN)]])/Table43[[#This Row],[Harga Jual Pcs GT
(-PPN)]],0)</f>
        <v>7.4100000000000096E-2</v>
      </c>
      <c r="AY9" s="51">
        <v>45848</v>
      </c>
      <c r="AZ9" s="7"/>
      <c r="BA9" s="7" t="str">
        <f ca="1">IF(TODAY()-Table43[[#This Row],[Efektif
Pembuatan]]&gt;60,"Lama","Baru")</f>
        <v>Lama</v>
      </c>
      <c r="BB9" s="7" t="str">
        <f ca="1">IF(TODAY()-Table43[[#This Row],[Efektif Naik Harga]]&lt;30,"Naik","Sama")</f>
        <v>Sama</v>
      </c>
      <c r="BC9" s="7" t="s">
        <v>185</v>
      </c>
      <c r="BD9" s="7" t="str">
        <f>IF(Table43[[#This Row],[Kode BARANG Win2]]&lt;&gt;"","IDR","")</f>
        <v>IDR</v>
      </c>
      <c r="BE9" s="7" t="str">
        <f>CONCATENATE(Table43[[#This Row],[kode  1 Digit
(Nomor)]],Table43[[#This Row],[kode  4 Digit                (Nomor)]])</f>
        <v>20480</v>
      </c>
      <c r="BF9" s="7" t="str">
        <f>Table43[[#This Row],[Nama            Gramasi atau Jumlah Pack per CTN]]</f>
        <v>480ML</v>
      </c>
      <c r="BG9" s="7" t="s">
        <v>1060</v>
      </c>
      <c r="BH9" s="7" t="s">
        <v>377</v>
      </c>
      <c r="BI9" s="4" t="str">
        <f>IF(Table43[[#This Row],[SATUAN Fix Win]]&lt;&gt;"","KRT")</f>
        <v>KRT</v>
      </c>
      <c r="BJ9" s="4" t="str">
        <f>IF(Table43[[#This Row],[SATUAN Fix Win]]&lt;&gt;"","GD01")</f>
        <v>GD01</v>
      </c>
      <c r="BK9" s="4">
        <f>IF(Table43[[#This Row],[SATUAN Fix Win]]&lt;&gt;"",11611)</f>
        <v>11611</v>
      </c>
      <c r="BL9" s="4">
        <f>IF(Table43[[#This Row],[SATUAN Fix Win]]&lt;&gt;"",11612)</f>
        <v>11612</v>
      </c>
      <c r="BM9" s="52" t="s">
        <v>378</v>
      </c>
      <c r="BN9" s="4">
        <f>IF(Table43[[#This Row],[SATUAN Fix Win]]&lt;&gt;"",1)</f>
        <v>1</v>
      </c>
      <c r="BO9" s="4" t="s">
        <v>637</v>
      </c>
    </row>
    <row r="10" spans="1:70">
      <c r="A10" s="4" t="str">
        <f>CONCATENATE(Table43[[#This Row],[Kode BARANG Win2]],Table43[[#This Row],[No. Urut
Item Sama]])</f>
        <v>F40120020480201</v>
      </c>
      <c r="B10" s="7">
        <v>1</v>
      </c>
      <c r="C10" s="4">
        <v>5</v>
      </c>
      <c r="D10" s="27" t="s">
        <v>410</v>
      </c>
      <c r="E10" s="27" t="s">
        <v>626</v>
      </c>
      <c r="F10" s="27" t="s">
        <v>531</v>
      </c>
      <c r="G10" s="27">
        <v>24</v>
      </c>
      <c r="H10" s="54">
        <v>8992946534280</v>
      </c>
      <c r="I10" s="27" t="str">
        <f>Table43[[#This Row],[Nama Jenis Kemasan]]</f>
        <v>PUMP</v>
      </c>
      <c r="J10" s="4" t="str">
        <f>TRIM(CONCATENATE(Table43[[#This Row],[Nama            KLP]]," ",Table43[[#This Row],[Nama            Sub KLP]]))</f>
        <v>DERMYTHOL BCL</v>
      </c>
      <c r="K10" s="4" t="str">
        <f>CONCATENATE(Table43[[#This Row],[kode  2 Digit                (hrf+No)]],Table43[[#This Row],[kode  2 Digit                (Nomor)]],Table43[[#This Row],[kode  1 Digit                (Nomor)]])</f>
        <v>F4012</v>
      </c>
      <c r="L10" s="4" t="str">
        <f>IF(AG10="",CONCATENATE(Q10,S10,U10,W10,Y10,AA10,AC10,AE10,Table43[[#This Row],[Tanda Kode Revisi]]),CONCATENATE(Q10,S10,U10,W10,Y10,AA10,AC10,AG10))</f>
        <v>F4012002048020</v>
      </c>
      <c r="M10" s="11">
        <f t="shared" si="0"/>
        <v>14</v>
      </c>
      <c r="N10" s="14" t="str">
        <f>IF(AF10&lt;&gt;"",TRIM(UPPER(CONCATENATE(P10," ",R10," ",T10," ",V10," ",X10," ",Z10," ","X"," ",Table43[[#This Row],[ISI/CTN]]," ",AF10," ",AB10," ",AD10," ",AH10))),TRIM(UPPER(CONCATENATE(P10," ",R10," ",T10," ",V10," ",X10," ",Z10," ","X"," ",Table43[[#This Row],[ISI/CTN]]," ",AB10," ",AD10," ",AH10))))</f>
        <v>DERMYTHOL BCL HYGIENIC PROTECT 480ML X 24 PUMP</v>
      </c>
      <c r="O10" s="11">
        <f t="shared" si="1"/>
        <v>46</v>
      </c>
      <c r="Q10" s="7" t="s">
        <v>662</v>
      </c>
      <c r="R10" s="4" t="s">
        <v>626</v>
      </c>
      <c r="S10" s="48" t="s">
        <v>749</v>
      </c>
      <c r="T10" s="49" t="s">
        <v>775</v>
      </c>
      <c r="U10" s="7">
        <v>2</v>
      </c>
      <c r="V10" s="49"/>
      <c r="W10" s="48" t="s">
        <v>370</v>
      </c>
      <c r="X10" s="4" t="s">
        <v>672</v>
      </c>
      <c r="Y10" s="50" t="s">
        <v>751</v>
      </c>
      <c r="Z10" s="4" t="s">
        <v>673</v>
      </c>
      <c r="AA10" s="50" t="s">
        <v>740</v>
      </c>
      <c r="AB10" s="4" t="s">
        <v>730</v>
      </c>
      <c r="AC10" s="7">
        <v>2</v>
      </c>
      <c r="AE10" s="7">
        <v>0</v>
      </c>
      <c r="AI10" s="7" t="s">
        <v>178</v>
      </c>
      <c r="AJ10" s="7">
        <v>2</v>
      </c>
      <c r="AL10" s="38">
        <v>35034.054054054046</v>
      </c>
      <c r="AM10" s="39">
        <f>Table43[[#This Row],[Harga Beli Pcs
(-PPN)]]*Table43[[#This Row],[ISI/CTN]]</f>
        <v>840817.29729729705</v>
      </c>
      <c r="AN10" s="39">
        <f>Table43[[#This Row],[Harga Beli Pcs
(-PPN)]]*1.11</f>
        <v>38887.799999999996</v>
      </c>
      <c r="AO10" s="39">
        <f>Table43[[#This Row],[Harga Beli Krt
(- PPN)]]*1.11</f>
        <v>933307.19999999984</v>
      </c>
      <c r="AP10" s="39">
        <v>37837.837837837833</v>
      </c>
      <c r="AQ10" s="39">
        <f>Table43[[#This Row],[Harga Jual Pcs GT
(-PPN)]]*Table43[[#This Row],[ISI/CTN]]</f>
        <v>908108.10810810793</v>
      </c>
      <c r="AR10" s="39">
        <f>Table43[[#This Row],[Harga Jual Pcs GT
(-PPN)]]*1.11</f>
        <v>42000</v>
      </c>
      <c r="AS10" s="39">
        <f>Table43[[#This Row],[Harga Jual Krt GT
(- PPN)]]*1.11</f>
        <v>1007999.9999999999</v>
      </c>
      <c r="AT10" s="39"/>
      <c r="AU10" s="39">
        <f>Table43[[#This Row],[Harga Jual Pcs MT
(-PPN)]]*Table43[[#This Row],[ISI/CTN]]</f>
        <v>0</v>
      </c>
      <c r="AV10" s="39">
        <f>Table43[[#This Row],[Harga Jual Pcs MT
(-PPN)]]*1.11</f>
        <v>0</v>
      </c>
      <c r="AW10" s="39">
        <f>Table43[[#This Row],[Harga Jual Pcs MT
(+PPN)]]*Table43[[#This Row],[ISI/CTN]]</f>
        <v>0</v>
      </c>
      <c r="AX10" s="47">
        <f>IFERROR((Table43[[#This Row],[Harga Jual Pcs GT
(-PPN)]]-Table43[[#This Row],[Harga Beli Pcs
(-PPN)]])/Table43[[#This Row],[Harga Jual Pcs GT
(-PPN)]],0)</f>
        <v>7.4100000000000096E-2</v>
      </c>
      <c r="AY10" s="51">
        <v>45848</v>
      </c>
      <c r="AZ10" s="7"/>
      <c r="BA10" s="7" t="str">
        <f ca="1">IF(TODAY()-Table43[[#This Row],[Efektif
Pembuatan]]&gt;60,"Lama","Baru")</f>
        <v>Lama</v>
      </c>
      <c r="BB10" s="7" t="str">
        <f ca="1">IF(TODAY()-Table43[[#This Row],[Efektif Naik Harga]]&lt;30,"Naik","Sama")</f>
        <v>Sama</v>
      </c>
      <c r="BC10" s="7" t="s">
        <v>185</v>
      </c>
      <c r="BD10" s="7" t="str">
        <f>IF(Table43[[#This Row],[Kode BARANG Win2]]&lt;&gt;"","IDR","")</f>
        <v>IDR</v>
      </c>
      <c r="BE10" s="7" t="str">
        <f>CONCATENATE(Table43[[#This Row],[kode  1 Digit
(Nomor)]],Table43[[#This Row],[kode  4 Digit                (Nomor)]])</f>
        <v>20480</v>
      </c>
      <c r="BF10" s="7" t="str">
        <f>Table43[[#This Row],[Nama            Gramasi atau Jumlah Pack per CTN]]</f>
        <v>480ML</v>
      </c>
      <c r="BG10" s="7" t="s">
        <v>1060</v>
      </c>
      <c r="BH10" s="7" t="s">
        <v>377</v>
      </c>
      <c r="BI10" s="4" t="str">
        <f>IF(Table43[[#This Row],[SATUAN Fix Win]]&lt;&gt;"","KRT")</f>
        <v>KRT</v>
      </c>
      <c r="BJ10" s="4" t="str">
        <f>IF(Table43[[#This Row],[SATUAN Fix Win]]&lt;&gt;"","GD01")</f>
        <v>GD01</v>
      </c>
      <c r="BK10" s="4">
        <f>IF(Table43[[#This Row],[SATUAN Fix Win]]&lt;&gt;"",11611)</f>
        <v>11611</v>
      </c>
      <c r="BL10" s="4">
        <f>IF(Table43[[#This Row],[SATUAN Fix Win]]&lt;&gt;"",11612)</f>
        <v>11612</v>
      </c>
      <c r="BM10" s="52" t="s">
        <v>378</v>
      </c>
      <c r="BN10" s="4">
        <f>IF(Table43[[#This Row],[SATUAN Fix Win]]&lt;&gt;"",1)</f>
        <v>1</v>
      </c>
      <c r="BO10" s="4" t="s">
        <v>637</v>
      </c>
    </row>
    <row r="11" spans="1:70">
      <c r="A11" s="4" t="str">
        <f>CONCATENATE(Table43[[#This Row],[Kode BARANG Win2]],Table43[[#This Row],[No. Urut
Item Sama]])</f>
        <v>F40130010070101</v>
      </c>
      <c r="B11" s="7">
        <v>1</v>
      </c>
      <c r="C11" s="4">
        <v>6</v>
      </c>
      <c r="D11" s="27" t="s">
        <v>386</v>
      </c>
      <c r="E11" s="27" t="s">
        <v>626</v>
      </c>
      <c r="F11" s="27" t="s">
        <v>507</v>
      </c>
      <c r="G11" s="27">
        <v>72</v>
      </c>
      <c r="H11" s="54" t="s">
        <v>639</v>
      </c>
      <c r="I11" s="27" t="str">
        <f>Table43[[#This Row],[Nama Jenis Kemasan]]</f>
        <v>PCS</v>
      </c>
      <c r="J11" s="4" t="str">
        <f>TRIM(CONCATENATE(Table43[[#This Row],[Nama            KLP]]," ",Table43[[#This Row],[Nama            Sub KLP]]))</f>
        <v>DERMYTHOL SABUN</v>
      </c>
      <c r="K11" s="4" t="str">
        <f>CONCATENATE(Table43[[#This Row],[kode  2 Digit                (hrf+No)]],Table43[[#This Row],[kode  2 Digit                (Nomor)]],Table43[[#This Row],[kode  1 Digit                (Nomor)]])</f>
        <v>F4013</v>
      </c>
      <c r="L11" s="4" t="str">
        <f>IF(AG11="",CONCATENATE(Q11,S11,U11,W11,Y11,AA11,AC11,AE11,Table43[[#This Row],[Tanda Kode Revisi]]),CONCATENATE(Q11,S11,U11,W11,Y11,AA11,AC11,AG11))</f>
        <v>F4013001007010</v>
      </c>
      <c r="M11" s="11">
        <f t="shared" si="0"/>
        <v>14</v>
      </c>
      <c r="N11" s="14" t="str">
        <f>IF(AF11&lt;&gt;"",TRIM(UPPER(CONCATENATE(P11," ",R11," ",T11," ",V11," ",X11," ",Z11," ","X"," ",Table43[[#This Row],[ISI/CTN]]," ",AF11," ",AB11," ",AD11," ",AH11))),TRIM(UPPER(CONCATENATE(P11," ",R11," ",T11," ",V11," ",X11," ",Z11," ","X"," ",Table43[[#This Row],[ISI/CTN]]," ",AB11," ",AD11," ",AH11))))</f>
        <v>DERMYTHOL SABUN HYGIENIC BIO SULFUR 70G X 72 PCS</v>
      </c>
      <c r="O11" s="11">
        <f t="shared" si="1"/>
        <v>48</v>
      </c>
      <c r="Q11" s="7" t="s">
        <v>662</v>
      </c>
      <c r="R11" s="4" t="s">
        <v>626</v>
      </c>
      <c r="S11" s="48" t="s">
        <v>749</v>
      </c>
      <c r="T11" s="49" t="s">
        <v>665</v>
      </c>
      <c r="U11" s="7">
        <v>3</v>
      </c>
      <c r="V11" s="49"/>
      <c r="W11" s="48" t="s">
        <v>370</v>
      </c>
      <c r="X11" s="4" t="s">
        <v>669</v>
      </c>
      <c r="Y11" s="50" t="s">
        <v>749</v>
      </c>
      <c r="Z11" s="4" t="s">
        <v>771</v>
      </c>
      <c r="AA11" s="50" t="s">
        <v>738</v>
      </c>
      <c r="AB11" s="4" t="s">
        <v>187</v>
      </c>
      <c r="AC11" s="7">
        <v>1</v>
      </c>
      <c r="AE11" s="7">
        <v>0</v>
      </c>
      <c r="AI11" s="7" t="s">
        <v>179</v>
      </c>
      <c r="AJ11" s="7">
        <v>1</v>
      </c>
      <c r="AL11" s="38">
        <v>2585.8468468468468</v>
      </c>
      <c r="AM11" s="39">
        <f>Table43[[#This Row],[Harga Beli Pcs
(-PPN)]]*Table43[[#This Row],[ISI/CTN]]</f>
        <v>186180.97297297296</v>
      </c>
      <c r="AN11" s="39">
        <f>Table43[[#This Row],[Harga Beli Pcs
(-PPN)]]*1.11</f>
        <v>2870.2900000000004</v>
      </c>
      <c r="AO11" s="39">
        <f>Table43[[#This Row],[Harga Beli Krt
(- PPN)]]*1.11</f>
        <v>206660.88</v>
      </c>
      <c r="AP11" s="39">
        <v>2792.7927927927926</v>
      </c>
      <c r="AQ11" s="39">
        <f>Table43[[#This Row],[Harga Jual Pcs GT
(-PPN)]]*Table43[[#This Row],[ISI/CTN]]</f>
        <v>201081.08108108107</v>
      </c>
      <c r="AR11" s="39">
        <f>Table43[[#This Row],[Harga Jual Pcs GT
(-PPN)]]*1.11</f>
        <v>3100</v>
      </c>
      <c r="AS11" s="39">
        <f>Table43[[#This Row],[Harga Jual Krt GT
(- PPN)]]*1.11</f>
        <v>223200</v>
      </c>
      <c r="AT11" s="39"/>
      <c r="AU11" s="39">
        <f>Table43[[#This Row],[Harga Jual Pcs MT
(-PPN)]]*Table43[[#This Row],[ISI/CTN]]</f>
        <v>0</v>
      </c>
      <c r="AV11" s="39">
        <f>Table43[[#This Row],[Harga Jual Pcs MT
(-PPN)]]*1.11</f>
        <v>0</v>
      </c>
      <c r="AW11" s="39">
        <f>Table43[[#This Row],[Harga Jual Pcs MT
(+PPN)]]*Table43[[#This Row],[ISI/CTN]]</f>
        <v>0</v>
      </c>
      <c r="AX11" s="47">
        <f>IFERROR((Table43[[#This Row],[Harga Jual Pcs GT
(-PPN)]]-Table43[[#This Row],[Harga Beli Pcs
(-PPN)]])/Table43[[#This Row],[Harga Jual Pcs GT
(-PPN)]],0)</f>
        <v>7.4099999999999958E-2</v>
      </c>
      <c r="AY11" s="51">
        <v>45848</v>
      </c>
      <c r="AZ11" s="7"/>
      <c r="BA11" s="7" t="str">
        <f ca="1">IF(TODAY()-Table43[[#This Row],[Efektif
Pembuatan]]&gt;60,"Lama","Baru")</f>
        <v>Lama</v>
      </c>
      <c r="BB11" s="7" t="str">
        <f ca="1">IF(TODAY()-Table43[[#This Row],[Efektif Naik Harga]]&lt;30,"Naik","Sama")</f>
        <v>Sama</v>
      </c>
      <c r="BC11" s="7" t="s">
        <v>185</v>
      </c>
      <c r="BD11" s="7" t="str">
        <f>IF(Table43[[#This Row],[Kode BARANG Win2]]&lt;&gt;"","IDR","")</f>
        <v>IDR</v>
      </c>
      <c r="BE11" s="7" t="str">
        <f>CONCATENATE(Table43[[#This Row],[kode  1 Digit
(Nomor)]],Table43[[#This Row],[kode  4 Digit                (Nomor)]])</f>
        <v>10070</v>
      </c>
      <c r="BF11" s="7" t="str">
        <f>Table43[[#This Row],[Nama            Gramasi atau Jumlah Pack per CTN]]</f>
        <v>70G</v>
      </c>
      <c r="BG11" s="7" t="s">
        <v>1060</v>
      </c>
      <c r="BH11" s="7" t="s">
        <v>377</v>
      </c>
      <c r="BI11" s="4" t="str">
        <f>IF(Table43[[#This Row],[SATUAN Fix Win]]&lt;&gt;"","KRT")</f>
        <v>KRT</v>
      </c>
      <c r="BJ11" s="4" t="str">
        <f>IF(Table43[[#This Row],[SATUAN Fix Win]]&lt;&gt;"","GD01")</f>
        <v>GD01</v>
      </c>
      <c r="BK11" s="4">
        <f>IF(Table43[[#This Row],[SATUAN Fix Win]]&lt;&gt;"",11611)</f>
        <v>11611</v>
      </c>
      <c r="BL11" s="4">
        <f>IF(Table43[[#This Row],[SATUAN Fix Win]]&lt;&gt;"",11612)</f>
        <v>11612</v>
      </c>
      <c r="BM11" s="52" t="s">
        <v>378</v>
      </c>
      <c r="BN11" s="4">
        <f>IF(Table43[[#This Row],[SATUAN Fix Win]]&lt;&gt;"",1)</f>
        <v>1</v>
      </c>
      <c r="BO11" s="4" t="s">
        <v>637</v>
      </c>
    </row>
    <row r="12" spans="1:70">
      <c r="A12" s="4" t="str">
        <f>CONCATENATE(Table43[[#This Row],[Kode BARANG Win2]],Table43[[#This Row],[No. Urut
Item Sama]])</f>
        <v>F40130020070101</v>
      </c>
      <c r="B12" s="7">
        <v>1</v>
      </c>
      <c r="C12" s="4">
        <v>7</v>
      </c>
      <c r="D12" s="27" t="s">
        <v>385</v>
      </c>
      <c r="E12" s="27" t="s">
        <v>626</v>
      </c>
      <c r="F12" s="27" t="s">
        <v>506</v>
      </c>
      <c r="G12" s="27">
        <v>72</v>
      </c>
      <c r="H12" s="54" t="s">
        <v>638</v>
      </c>
      <c r="I12" s="27" t="str">
        <f>Table43[[#This Row],[Nama Jenis Kemasan]]</f>
        <v>PCS</v>
      </c>
      <c r="J12" s="4" t="str">
        <f>TRIM(CONCATENATE(Table43[[#This Row],[Nama            KLP]]," ",Table43[[#This Row],[Nama            Sub KLP]]))</f>
        <v>DERMYTHOL SABUN</v>
      </c>
      <c r="K12" s="4" t="str">
        <f>CONCATENATE(Table43[[#This Row],[kode  2 Digit                (hrf+No)]],Table43[[#This Row],[kode  2 Digit                (Nomor)]],Table43[[#This Row],[kode  1 Digit                (Nomor)]])</f>
        <v>F4013</v>
      </c>
      <c r="L12" s="4" t="str">
        <f>IF(AG12="",CONCATENATE(Q12,S12,U12,W12,Y12,AA12,AC12,AE12,Table43[[#This Row],[Tanda Kode Revisi]]),CONCATENATE(Q12,S12,U12,W12,Y12,AA12,AC12,AG12))</f>
        <v>F4013002007010</v>
      </c>
      <c r="M12" s="11">
        <f t="shared" si="0"/>
        <v>14</v>
      </c>
      <c r="N12" s="14" t="str">
        <f>IF(AF12&lt;&gt;"",TRIM(UPPER(CONCATENATE(P12," ",R12," ",T12," ",V12," ",X12," ",Z12," ","X"," ",Table43[[#This Row],[ISI/CTN]]," ",AF12," ",AB12," ",AD12," ",AH12))),TRIM(UPPER(CONCATENATE(P12," ",R12," ",T12," ",V12," ",X12," ",Z12," ","X"," ",Table43[[#This Row],[ISI/CTN]]," ",AB12," ",AD12," ",AH12))))</f>
        <v>DERMYTHOL SABUN HYGIENIC PROTECT 70G X 72 PCS</v>
      </c>
      <c r="O12" s="11">
        <f t="shared" si="1"/>
        <v>45</v>
      </c>
      <c r="Q12" s="7" t="s">
        <v>662</v>
      </c>
      <c r="R12" s="4" t="s">
        <v>626</v>
      </c>
      <c r="S12" s="48" t="s">
        <v>749</v>
      </c>
      <c r="T12" s="49" t="s">
        <v>665</v>
      </c>
      <c r="U12" s="7">
        <v>3</v>
      </c>
      <c r="V12" s="49"/>
      <c r="W12" s="48" t="s">
        <v>370</v>
      </c>
      <c r="X12" s="4" t="s">
        <v>672</v>
      </c>
      <c r="Y12" s="50" t="s">
        <v>751</v>
      </c>
      <c r="Z12" s="4" t="s">
        <v>771</v>
      </c>
      <c r="AA12" s="50" t="s">
        <v>738</v>
      </c>
      <c r="AB12" s="4" t="s">
        <v>187</v>
      </c>
      <c r="AC12" s="7">
        <v>1</v>
      </c>
      <c r="AE12" s="7">
        <v>0</v>
      </c>
      <c r="AI12" s="7" t="s">
        <v>179</v>
      </c>
      <c r="AJ12" s="7">
        <v>1</v>
      </c>
      <c r="AL12" s="38">
        <v>2585.8468468468468</v>
      </c>
      <c r="AM12" s="39">
        <f>Table43[[#This Row],[Harga Beli Pcs
(-PPN)]]*Table43[[#This Row],[ISI/CTN]]</f>
        <v>186180.97297297296</v>
      </c>
      <c r="AN12" s="39">
        <f>Table43[[#This Row],[Harga Beli Pcs
(-PPN)]]*1.11</f>
        <v>2870.2900000000004</v>
      </c>
      <c r="AO12" s="39">
        <f>Table43[[#This Row],[Harga Beli Krt
(- PPN)]]*1.11</f>
        <v>206660.88</v>
      </c>
      <c r="AP12" s="39">
        <v>2792.7927927927926</v>
      </c>
      <c r="AQ12" s="39">
        <f>Table43[[#This Row],[Harga Jual Pcs GT
(-PPN)]]*Table43[[#This Row],[ISI/CTN]]</f>
        <v>201081.08108108107</v>
      </c>
      <c r="AR12" s="39">
        <f>Table43[[#This Row],[Harga Jual Pcs GT
(-PPN)]]*1.11</f>
        <v>3100</v>
      </c>
      <c r="AS12" s="39">
        <f>Table43[[#This Row],[Harga Jual Krt GT
(- PPN)]]*1.11</f>
        <v>223200</v>
      </c>
      <c r="AT12" s="39"/>
      <c r="AU12" s="39">
        <f>Table43[[#This Row],[Harga Jual Pcs MT
(-PPN)]]*Table43[[#This Row],[ISI/CTN]]</f>
        <v>0</v>
      </c>
      <c r="AV12" s="39">
        <f>Table43[[#This Row],[Harga Jual Pcs MT
(-PPN)]]*1.11</f>
        <v>0</v>
      </c>
      <c r="AW12" s="39">
        <f>Table43[[#This Row],[Harga Jual Pcs MT
(+PPN)]]*Table43[[#This Row],[ISI/CTN]]</f>
        <v>0</v>
      </c>
      <c r="AX12" s="47">
        <f>IFERROR((Table43[[#This Row],[Harga Jual Pcs GT
(-PPN)]]-Table43[[#This Row],[Harga Beli Pcs
(-PPN)]])/Table43[[#This Row],[Harga Jual Pcs GT
(-PPN)]],0)</f>
        <v>7.4099999999999958E-2</v>
      </c>
      <c r="AY12" s="51">
        <v>45848</v>
      </c>
      <c r="AZ12" s="7"/>
      <c r="BA12" s="7" t="str">
        <f ca="1">IF(TODAY()-Table43[[#This Row],[Efektif
Pembuatan]]&gt;60,"Lama","Baru")</f>
        <v>Lama</v>
      </c>
      <c r="BB12" s="7" t="str">
        <f ca="1">IF(TODAY()-Table43[[#This Row],[Efektif Naik Harga]]&lt;30,"Naik","Sama")</f>
        <v>Sama</v>
      </c>
      <c r="BC12" s="7" t="s">
        <v>185</v>
      </c>
      <c r="BD12" s="7" t="str">
        <f>IF(Table43[[#This Row],[Kode BARANG Win2]]&lt;&gt;"","IDR","")</f>
        <v>IDR</v>
      </c>
      <c r="BE12" s="7" t="str">
        <f>CONCATENATE(Table43[[#This Row],[kode  1 Digit
(Nomor)]],Table43[[#This Row],[kode  4 Digit                (Nomor)]])</f>
        <v>10070</v>
      </c>
      <c r="BF12" s="7" t="str">
        <f>Table43[[#This Row],[Nama            Gramasi atau Jumlah Pack per CTN]]</f>
        <v>70G</v>
      </c>
      <c r="BG12" s="7" t="s">
        <v>1060</v>
      </c>
      <c r="BH12" s="7" t="s">
        <v>377</v>
      </c>
      <c r="BI12" s="4" t="str">
        <f>IF(Table43[[#This Row],[SATUAN Fix Win]]&lt;&gt;"","KRT")</f>
        <v>KRT</v>
      </c>
      <c r="BJ12" s="4" t="str">
        <f>IF(Table43[[#This Row],[SATUAN Fix Win]]&lt;&gt;"","GD01")</f>
        <v>GD01</v>
      </c>
      <c r="BK12" s="4">
        <f>IF(Table43[[#This Row],[SATUAN Fix Win]]&lt;&gt;"",11611)</f>
        <v>11611</v>
      </c>
      <c r="BL12" s="4">
        <f>IF(Table43[[#This Row],[SATUAN Fix Win]]&lt;&gt;"",11612)</f>
        <v>11612</v>
      </c>
      <c r="BM12" s="52" t="s">
        <v>378</v>
      </c>
      <c r="BN12" s="4">
        <f>IF(Table43[[#This Row],[SATUAN Fix Win]]&lt;&gt;"",1)</f>
        <v>1</v>
      </c>
      <c r="BO12" s="4" t="s">
        <v>637</v>
      </c>
    </row>
    <row r="13" spans="1:70">
      <c r="A13" s="4" t="str">
        <f>CONCATENATE(Table43[[#This Row],[Kode BARANG Win2]],Table43[[#This Row],[No. Urut
Item Sama]])</f>
        <v>F40210010100101</v>
      </c>
      <c r="B13" s="7">
        <v>1</v>
      </c>
      <c r="C13" s="4">
        <v>8</v>
      </c>
      <c r="D13" s="27" t="s">
        <v>503</v>
      </c>
      <c r="E13" s="27" t="s">
        <v>625</v>
      </c>
      <c r="F13" s="27" t="s">
        <v>504</v>
      </c>
      <c r="G13" s="27">
        <v>72</v>
      </c>
      <c r="H13" s="54" t="s">
        <v>640</v>
      </c>
      <c r="I13" s="27" t="str">
        <f>Table43[[#This Row],[Nama Jenis Kemasan]]</f>
        <v>PCS</v>
      </c>
      <c r="J13" s="4" t="str">
        <f>TRIM(CONCATENATE(Table43[[#This Row],[Nama            KLP]]," ",Table43[[#This Row],[Nama            Sub KLP]]))</f>
        <v>DREAM SABUN</v>
      </c>
      <c r="K13" s="4" t="str">
        <f>CONCATENATE(Table43[[#This Row],[kode  2 Digit                (hrf+No)]],Table43[[#This Row],[kode  2 Digit                (Nomor)]],Table43[[#This Row],[kode  1 Digit                (Nomor)]])</f>
        <v>F4021</v>
      </c>
      <c r="L13" s="4" t="str">
        <f>IF(AG13="",CONCATENATE(Q13,S13,U13,W13,Y13,AA13,AC13,AE13,Table43[[#This Row],[Tanda Kode Revisi]]),CONCATENATE(Q13,S13,U13,W13,Y13,AA13,AC13,AG13))</f>
        <v>F4021001010010</v>
      </c>
      <c r="M13" s="11">
        <f t="shared" si="0"/>
        <v>14</v>
      </c>
      <c r="N13" s="14" t="str">
        <f>IF(AF13&lt;&gt;"",TRIM(UPPER(CONCATENATE(P13," ",R13," ",T13," ",V13," ",X13," ",Z13," ","X"," ",Table43[[#This Row],[ISI/CTN]]," ",AF13," ",AB13," ",AD13," ",AH13))),TRIM(UPPER(CONCATENATE(P13," ",R13," ",T13," ",V13," ",X13," ",Z13," ","X"," ",Table43[[#This Row],[ISI/CTN]]," ",AB13," ",AD13," ",AH13))))</f>
        <v>DREAM SABUN PAPAYA 100G X 72 PCS</v>
      </c>
      <c r="O13" s="11">
        <f t="shared" si="1"/>
        <v>32</v>
      </c>
      <c r="Q13" s="7" t="s">
        <v>662</v>
      </c>
      <c r="R13" s="4" t="s">
        <v>625</v>
      </c>
      <c r="S13" s="48" t="s">
        <v>751</v>
      </c>
      <c r="T13" s="49" t="s">
        <v>665</v>
      </c>
      <c r="U13" s="7">
        <v>1</v>
      </c>
      <c r="V13" s="49"/>
      <c r="W13" s="48" t="s">
        <v>370</v>
      </c>
      <c r="X13" s="4" t="s">
        <v>666</v>
      </c>
      <c r="Y13" s="50" t="s">
        <v>749</v>
      </c>
      <c r="Z13" s="4" t="s">
        <v>675</v>
      </c>
      <c r="AA13" s="50" t="s">
        <v>741</v>
      </c>
      <c r="AB13" s="4" t="s">
        <v>187</v>
      </c>
      <c r="AC13" s="7">
        <v>1</v>
      </c>
      <c r="AE13" s="7">
        <v>0</v>
      </c>
      <c r="AI13" s="7" t="s">
        <v>179</v>
      </c>
      <c r="AJ13" s="7">
        <v>1</v>
      </c>
      <c r="AL13" s="38">
        <v>7507.2972972972966</v>
      </c>
      <c r="AM13" s="39">
        <f>Table43[[#This Row],[Harga Beli Pcs
(-PPN)]]*Table43[[#This Row],[ISI/CTN]]</f>
        <v>540525.40540540533</v>
      </c>
      <c r="AN13" s="39">
        <f>Table43[[#This Row],[Harga Beli Pcs
(-PPN)]]*1.11</f>
        <v>8333.1</v>
      </c>
      <c r="AO13" s="39">
        <f>Table43[[#This Row],[Harga Beli Krt
(- PPN)]]*1.11</f>
        <v>599983.19999999995</v>
      </c>
      <c r="AP13" s="39">
        <v>8108.1081081081084</v>
      </c>
      <c r="AQ13" s="39">
        <f>Table43[[#This Row],[Harga Jual Pcs GT
(-PPN)]]*Table43[[#This Row],[ISI/CTN]]</f>
        <v>583783.78378378379</v>
      </c>
      <c r="AR13" s="39">
        <f>Table43[[#This Row],[Harga Jual Pcs GT
(-PPN)]]*1.11</f>
        <v>9000.0000000000018</v>
      </c>
      <c r="AS13" s="39">
        <f>Table43[[#This Row],[Harga Jual Krt GT
(- PPN)]]*1.11</f>
        <v>648000.00000000012</v>
      </c>
      <c r="AT13" s="39"/>
      <c r="AU13" s="39">
        <f>Table43[[#This Row],[Harga Jual Pcs MT
(-PPN)]]*Table43[[#This Row],[ISI/CTN]]</f>
        <v>0</v>
      </c>
      <c r="AV13" s="39">
        <f>Table43[[#This Row],[Harga Jual Pcs MT
(-PPN)]]*1.11</f>
        <v>0</v>
      </c>
      <c r="AW13" s="39">
        <f>Table43[[#This Row],[Harga Jual Pcs MT
(+PPN)]]*Table43[[#This Row],[ISI/CTN]]</f>
        <v>0</v>
      </c>
      <c r="AX13" s="47">
        <f>IFERROR((Table43[[#This Row],[Harga Jual Pcs GT
(-PPN)]]-Table43[[#This Row],[Harga Beli Pcs
(-PPN)]])/Table43[[#This Row],[Harga Jual Pcs GT
(-PPN)]],0)</f>
        <v>7.410000000000011E-2</v>
      </c>
      <c r="AY13" s="51">
        <v>45848</v>
      </c>
      <c r="AZ13" s="7"/>
      <c r="BA13" s="7" t="str">
        <f ca="1">IF(TODAY()-Table43[[#This Row],[Efektif
Pembuatan]]&gt;60,"Lama","Baru")</f>
        <v>Lama</v>
      </c>
      <c r="BB13" s="7" t="str">
        <f ca="1">IF(TODAY()-Table43[[#This Row],[Efektif Naik Harga]]&lt;30,"Naik","Sama")</f>
        <v>Sama</v>
      </c>
      <c r="BC13" s="7" t="s">
        <v>185</v>
      </c>
      <c r="BD13" s="7" t="str">
        <f>IF(Table43[[#This Row],[Kode BARANG Win2]]&lt;&gt;"","IDR","")</f>
        <v>IDR</v>
      </c>
      <c r="BE13" s="7" t="str">
        <f>CONCATENATE(Table43[[#This Row],[kode  1 Digit
(Nomor)]],Table43[[#This Row],[kode  4 Digit                (Nomor)]])</f>
        <v>10100</v>
      </c>
      <c r="BF13" s="7" t="str">
        <f>Table43[[#This Row],[Nama            Gramasi atau Jumlah Pack per CTN]]</f>
        <v>100G</v>
      </c>
      <c r="BG13" s="7" t="s">
        <v>1060</v>
      </c>
      <c r="BH13" s="7" t="s">
        <v>377</v>
      </c>
      <c r="BI13" s="4" t="str">
        <f>IF(Table43[[#This Row],[SATUAN Fix Win]]&lt;&gt;"","KRT")</f>
        <v>KRT</v>
      </c>
      <c r="BJ13" s="4" t="str">
        <f>IF(Table43[[#This Row],[SATUAN Fix Win]]&lt;&gt;"","GD01")</f>
        <v>GD01</v>
      </c>
      <c r="BK13" s="4">
        <f>IF(Table43[[#This Row],[SATUAN Fix Win]]&lt;&gt;"",11611)</f>
        <v>11611</v>
      </c>
      <c r="BL13" s="4">
        <f>IF(Table43[[#This Row],[SATUAN Fix Win]]&lt;&gt;"",11612)</f>
        <v>11612</v>
      </c>
      <c r="BM13" s="52" t="s">
        <v>378</v>
      </c>
      <c r="BN13" s="4">
        <f>IF(Table43[[#This Row],[SATUAN Fix Win]]&lt;&gt;"",1)</f>
        <v>1</v>
      </c>
      <c r="BO13" s="4" t="s">
        <v>637</v>
      </c>
    </row>
    <row r="14" spans="1:70">
      <c r="A14" s="4" t="str">
        <f>CONCATENATE(Table43[[#This Row],[Kode BARANG Win2]],Table43[[#This Row],[No. Urut
Item Sama]])</f>
        <v>F40311010400101</v>
      </c>
      <c r="B14" s="7">
        <v>1</v>
      </c>
      <c r="C14" s="4">
        <v>9</v>
      </c>
      <c r="D14" s="27" t="s">
        <v>415</v>
      </c>
      <c r="E14" s="27" t="s">
        <v>627</v>
      </c>
      <c r="F14" s="27" t="s">
        <v>536</v>
      </c>
      <c r="G14" s="27">
        <v>24</v>
      </c>
      <c r="H14" s="54">
        <v>8992946533884</v>
      </c>
      <c r="I14" s="27" t="str">
        <f>Table43[[#This Row],[Nama Jenis Kemasan]]</f>
        <v>PUMP</v>
      </c>
      <c r="J14" s="4" t="str">
        <f>TRIM(CONCATENATE(Table43[[#This Row],[Nama            KLP]]," ",Table43[[#This Row],[Nama            Sub KLP]]))</f>
        <v>GRDN OF NA EEM BCL</v>
      </c>
      <c r="K14" s="4" t="str">
        <f>CONCATENATE(Table43[[#This Row],[kode  2 Digit                (hrf+No)]],Table43[[#This Row],[kode  2 Digit                (Nomor)]],Table43[[#This Row],[kode  1 Digit                (Nomor)]])</f>
        <v>F4031</v>
      </c>
      <c r="L14" s="4" t="str">
        <f>IF(AG14="",CONCATENATE(Q14,S14,U14,W14,Y14,AA14,AC14,AE14,Table43[[#This Row],[Tanda Kode Revisi]]),CONCATENATE(Q14,S14,U14,W14,Y14,AA14,AC14,AG14))</f>
        <v>F4031101040010</v>
      </c>
      <c r="M14" s="11">
        <f t="shared" si="0"/>
        <v>14</v>
      </c>
      <c r="N14" s="14" t="str">
        <f>IF(AF14&lt;&gt;"",TRIM(UPPER(CONCATENATE(P14," ",R14," ",T14," ",V14," ",X14," ",Z14," ","X"," ",Table43[[#This Row],[ISI/CTN]]," ",AF14," ",AB14," ",AD14," ",AH14))),TRIM(UPPER(CONCATENATE(P14," ",R14," ",T14," ",V14," ",X14," ",Z14," ","X"," ",Table43[[#This Row],[ISI/CTN]]," ",AB14," ",AD14," ",AH14))))</f>
        <v>GRDN OF NA EEM BCL REF MDNGHT GRDN 400ML X 24 PUMP</v>
      </c>
      <c r="O14" s="11">
        <f t="shared" si="1"/>
        <v>50</v>
      </c>
      <c r="Q14" s="7" t="s">
        <v>662</v>
      </c>
      <c r="R14" s="4" t="s">
        <v>777</v>
      </c>
      <c r="S14" s="48" t="s">
        <v>752</v>
      </c>
      <c r="T14" s="49" t="s">
        <v>775</v>
      </c>
      <c r="U14" s="7">
        <v>1</v>
      </c>
      <c r="V14" s="49" t="s">
        <v>776</v>
      </c>
      <c r="W14" s="48" t="s">
        <v>750</v>
      </c>
      <c r="X14" s="4" t="s">
        <v>788</v>
      </c>
      <c r="Y14" s="50" t="s">
        <v>749</v>
      </c>
      <c r="Z14" s="4" t="s">
        <v>670</v>
      </c>
      <c r="AA14" s="50" t="s">
        <v>739</v>
      </c>
      <c r="AB14" s="4" t="s">
        <v>730</v>
      </c>
      <c r="AC14" s="7">
        <v>1</v>
      </c>
      <c r="AE14" s="7">
        <v>0</v>
      </c>
      <c r="AI14" s="7" t="s">
        <v>178</v>
      </c>
      <c r="AJ14" s="7">
        <v>2</v>
      </c>
      <c r="AL14" s="38">
        <v>19685.801801801801</v>
      </c>
      <c r="AM14" s="39">
        <f>Table43[[#This Row],[Harga Beli Pcs
(-PPN)]]*Table43[[#This Row],[ISI/CTN]]</f>
        <v>472459.2432432432</v>
      </c>
      <c r="AN14" s="39">
        <f>Table43[[#This Row],[Harga Beli Pcs
(-PPN)]]*1.11</f>
        <v>21851.24</v>
      </c>
      <c r="AO14" s="39">
        <f>Table43[[#This Row],[Harga Beli Krt
(- PPN)]]*1.11</f>
        <v>524429.76</v>
      </c>
      <c r="AP14" s="39">
        <v>21261.261261261261</v>
      </c>
      <c r="AQ14" s="39">
        <f>Table43[[#This Row],[Harga Jual Pcs GT
(-PPN)]]*Table43[[#This Row],[ISI/CTN]]</f>
        <v>510270.2702702703</v>
      </c>
      <c r="AR14" s="39">
        <f>Table43[[#This Row],[Harga Jual Pcs GT
(-PPN)]]*1.11</f>
        <v>23600.000000000004</v>
      </c>
      <c r="AS14" s="39">
        <f>Table43[[#This Row],[Harga Jual Krt GT
(- PPN)]]*1.11</f>
        <v>566400.00000000012</v>
      </c>
      <c r="AT14" s="39"/>
      <c r="AU14" s="39">
        <f>Table43[[#This Row],[Harga Jual Pcs MT
(-PPN)]]*Table43[[#This Row],[ISI/CTN]]</f>
        <v>0</v>
      </c>
      <c r="AV14" s="39">
        <f>Table43[[#This Row],[Harga Jual Pcs MT
(-PPN)]]*1.11</f>
        <v>0</v>
      </c>
      <c r="AW14" s="39">
        <f>Table43[[#This Row],[Harga Jual Pcs MT
(+PPN)]]*Table43[[#This Row],[ISI/CTN]]</f>
        <v>0</v>
      </c>
      <c r="AX14" s="47">
        <f>IFERROR((Table43[[#This Row],[Harga Jual Pcs GT
(-PPN)]]-Table43[[#This Row],[Harga Beli Pcs
(-PPN)]])/Table43[[#This Row],[Harga Jual Pcs GT
(-PPN)]],0)</f>
        <v>7.4100000000000027E-2</v>
      </c>
      <c r="AY14" s="51">
        <v>45848</v>
      </c>
      <c r="AZ14" s="7"/>
      <c r="BA14" s="7" t="str">
        <f ca="1">IF(TODAY()-Table43[[#This Row],[Efektif
Pembuatan]]&gt;60,"Lama","Baru")</f>
        <v>Lama</v>
      </c>
      <c r="BB14" s="7" t="str">
        <f ca="1">IF(TODAY()-Table43[[#This Row],[Efektif Naik Harga]]&lt;30,"Naik","Sama")</f>
        <v>Sama</v>
      </c>
      <c r="BC14" s="7" t="s">
        <v>185</v>
      </c>
      <c r="BD14" s="7" t="str">
        <f>IF(Table43[[#This Row],[Kode BARANG Win2]]&lt;&gt;"","IDR","")</f>
        <v>IDR</v>
      </c>
      <c r="BE14" s="7" t="str">
        <f>CONCATENATE(Table43[[#This Row],[kode  1 Digit
(Nomor)]],Table43[[#This Row],[kode  4 Digit                (Nomor)]])</f>
        <v>20400</v>
      </c>
      <c r="BF14" s="7" t="str">
        <f>Table43[[#This Row],[Nama            Gramasi atau Jumlah Pack per CTN]]</f>
        <v>400ML</v>
      </c>
      <c r="BG14" s="7" t="s">
        <v>1060</v>
      </c>
      <c r="BH14" s="7" t="s">
        <v>377</v>
      </c>
      <c r="BI14" s="4" t="str">
        <f>IF(Table43[[#This Row],[SATUAN Fix Win]]&lt;&gt;"","KRT")</f>
        <v>KRT</v>
      </c>
      <c r="BJ14" s="4" t="str">
        <f>IF(Table43[[#This Row],[SATUAN Fix Win]]&lt;&gt;"","GD01")</f>
        <v>GD01</v>
      </c>
      <c r="BK14" s="4">
        <f>IF(Table43[[#This Row],[SATUAN Fix Win]]&lt;&gt;"",11611)</f>
        <v>11611</v>
      </c>
      <c r="BL14" s="4">
        <f>IF(Table43[[#This Row],[SATUAN Fix Win]]&lt;&gt;"",11612)</f>
        <v>11612</v>
      </c>
      <c r="BM14" s="52" t="s">
        <v>378</v>
      </c>
      <c r="BN14" s="4">
        <f>IF(Table43[[#This Row],[SATUAN Fix Win]]&lt;&gt;"",1)</f>
        <v>1</v>
      </c>
      <c r="BO14" s="4" t="s">
        <v>637</v>
      </c>
    </row>
    <row r="15" spans="1:70">
      <c r="A15" s="4" t="str">
        <f>CONCATENATE(Table43[[#This Row],[Kode BARANG Win2]],Table43[[#This Row],[No. Urut
Item Sama]])</f>
        <v>F40311010400201</v>
      </c>
      <c r="B15" s="7">
        <v>1</v>
      </c>
      <c r="D15" s="27" t="s">
        <v>415</v>
      </c>
      <c r="E15" s="27" t="s">
        <v>627</v>
      </c>
      <c r="F15" s="27" t="s">
        <v>536</v>
      </c>
      <c r="G15" s="27">
        <v>24</v>
      </c>
      <c r="H15" s="54">
        <v>8992946533884</v>
      </c>
      <c r="I15" s="27" t="str">
        <f>Table43[[#This Row],[Nama Jenis Kemasan]]</f>
        <v>PCH</v>
      </c>
      <c r="J15" s="4" t="str">
        <f>TRIM(CONCATENATE(Table43[[#This Row],[Nama            KLP]]," ",Table43[[#This Row],[Nama            Sub KLP]]))</f>
        <v>GRDN OF NA EEM BCL</v>
      </c>
      <c r="K15" s="4" t="str">
        <f>CONCATENATE(Table43[[#This Row],[kode  2 Digit                (hrf+No)]],Table43[[#This Row],[kode  2 Digit                (Nomor)]],Table43[[#This Row],[kode  1 Digit                (Nomor)]])</f>
        <v>F4031</v>
      </c>
      <c r="L15" s="4" t="str">
        <f>IF(AG15="",CONCATENATE(Q15,S15,U15,W15,Y15,AA15,AC15,AE15,Table43[[#This Row],[Tanda Kode Revisi]]),CONCATENATE(Q15,S15,U15,W15,Y15,AA15,AC15,AG15))</f>
        <v>F4031101040020</v>
      </c>
      <c r="M15" s="11">
        <f>LEN(L15)</f>
        <v>14</v>
      </c>
      <c r="N15" s="14" t="str">
        <f>IF(AF15&lt;&gt;"",TRIM(UPPER(CONCATENATE(P15," ",R15," ",T15," ",V15," ",X15," ",Z15," ","X"," ",Table43[[#This Row],[ISI/CTN]]," ",AF15," ",AB15," ",AD15," ",AH15))),TRIM(UPPER(CONCATENATE(P15," ",R15," ",T15," ",V15," ",X15," ",Z15," ","X"," ",Table43[[#This Row],[ISI/CTN]]," ",AB15," ",AD15," ",AH15))))</f>
        <v>GRDN OF NA EEM BCL REF MDNGHT GRDN 400ML X 24 PCH</v>
      </c>
      <c r="O15" s="11">
        <f>LEN(N15)</f>
        <v>49</v>
      </c>
      <c r="Q15" s="7" t="s">
        <v>662</v>
      </c>
      <c r="R15" s="4" t="s">
        <v>777</v>
      </c>
      <c r="S15" s="48" t="s">
        <v>752</v>
      </c>
      <c r="T15" s="49" t="s">
        <v>775</v>
      </c>
      <c r="U15" s="7">
        <v>1</v>
      </c>
      <c r="V15" s="49" t="s">
        <v>776</v>
      </c>
      <c r="W15" s="48" t="s">
        <v>750</v>
      </c>
      <c r="X15" s="4" t="s">
        <v>788</v>
      </c>
      <c r="Y15" s="50" t="s">
        <v>749</v>
      </c>
      <c r="Z15" s="4" t="s">
        <v>670</v>
      </c>
      <c r="AA15" s="50" t="s">
        <v>739</v>
      </c>
      <c r="AB15" s="4" t="s">
        <v>671</v>
      </c>
      <c r="AC15" s="7">
        <v>2</v>
      </c>
      <c r="AE15" s="7">
        <v>0</v>
      </c>
      <c r="AI15" s="7" t="s">
        <v>178</v>
      </c>
      <c r="AJ15" s="7">
        <v>2</v>
      </c>
      <c r="AL15" s="38">
        <v>19685.801801801801</v>
      </c>
      <c r="AM15" s="39">
        <f>Table43[[#This Row],[Harga Beli Pcs
(-PPN)]]*Table43[[#This Row],[ISI/CTN]]</f>
        <v>472459.2432432432</v>
      </c>
      <c r="AN15" s="39">
        <f>Table43[[#This Row],[Harga Beli Pcs
(-PPN)]]*1.11</f>
        <v>21851.24</v>
      </c>
      <c r="AO15" s="39">
        <f>Table43[[#This Row],[Harga Beli Krt
(- PPN)]]*1.11</f>
        <v>524429.76</v>
      </c>
      <c r="AP15" s="39">
        <v>21261.261261261261</v>
      </c>
      <c r="AQ15" s="39">
        <f>Table43[[#This Row],[Harga Jual Pcs GT
(-PPN)]]*Table43[[#This Row],[ISI/CTN]]</f>
        <v>510270.2702702703</v>
      </c>
      <c r="AR15" s="39">
        <f>Table43[[#This Row],[Harga Jual Pcs GT
(-PPN)]]*1.11</f>
        <v>23600.000000000004</v>
      </c>
      <c r="AS15" s="39">
        <f>Table43[[#This Row],[Harga Jual Krt GT
(- PPN)]]*1.11</f>
        <v>566400.00000000012</v>
      </c>
      <c r="AT15" s="39"/>
      <c r="AU15" s="39">
        <f>Table43[[#This Row],[Harga Jual Pcs MT
(-PPN)]]*Table43[[#This Row],[ISI/CTN]]</f>
        <v>0</v>
      </c>
      <c r="AV15" s="39">
        <f>Table43[[#This Row],[Harga Jual Pcs MT
(-PPN)]]*1.11</f>
        <v>0</v>
      </c>
      <c r="AW15" s="39">
        <f>Table43[[#This Row],[Harga Jual Pcs MT
(+PPN)]]*Table43[[#This Row],[ISI/CTN]]</f>
        <v>0</v>
      </c>
      <c r="AX15" s="47">
        <f>IFERROR((Table43[[#This Row],[Harga Jual Pcs GT
(-PPN)]]-Table43[[#This Row],[Harga Beli Pcs
(-PPN)]])/Table43[[#This Row],[Harga Jual Pcs GT
(-PPN)]],0)</f>
        <v>7.4100000000000027E-2</v>
      </c>
      <c r="AY15" s="51">
        <v>45848</v>
      </c>
      <c r="AZ15" s="7"/>
      <c r="BA15" s="7" t="str">
        <f ca="1">IF(TODAY()-Table43[[#This Row],[Efektif
Pembuatan]]&gt;60,"Lama","Baru")</f>
        <v>Lama</v>
      </c>
      <c r="BB15" s="7" t="str">
        <f ca="1">IF(TODAY()-Table43[[#This Row],[Efektif Naik Harga]]&lt;30,"Naik","Sama")</f>
        <v>Sama</v>
      </c>
      <c r="BC15" s="7"/>
      <c r="BD15" s="7" t="str">
        <f>IF(Table43[[#This Row],[Kode BARANG Win2]]&lt;&gt;"","IDR","")</f>
        <v>IDR</v>
      </c>
      <c r="BE15" s="7" t="str">
        <f>CONCATENATE(Table43[[#This Row],[kode  1 Digit
(Nomor)]],Table43[[#This Row],[kode  4 Digit                (Nomor)]])</f>
        <v>20400</v>
      </c>
      <c r="BF15" s="7" t="str">
        <f>Table43[[#This Row],[Nama            Gramasi atau Jumlah Pack per CTN]]</f>
        <v>400ML</v>
      </c>
      <c r="BG15" s="7"/>
      <c r="BH15" s="7"/>
      <c r="BI15" s="4" t="str">
        <f>IF(Table43[[#This Row],[SATUAN Fix Win]]&lt;&gt;"","KRT")</f>
        <v>KRT</v>
      </c>
      <c r="BJ15" s="4" t="str">
        <f>IF(Table43[[#This Row],[SATUAN Fix Win]]&lt;&gt;"","GD01")</f>
        <v>GD01</v>
      </c>
      <c r="BK15" s="4">
        <f>IF(Table43[[#This Row],[SATUAN Fix Win]]&lt;&gt;"",11611)</f>
        <v>11611</v>
      </c>
      <c r="BL15" s="4">
        <f>IF(Table43[[#This Row],[SATUAN Fix Win]]&lt;&gt;"",11612)</f>
        <v>11612</v>
      </c>
      <c r="BM15" s="52"/>
      <c r="BN15" s="4">
        <f>IF(Table43[[#This Row],[SATUAN Fix Win]]&lt;&gt;"",1)</f>
        <v>1</v>
      </c>
    </row>
    <row r="16" spans="1:70">
      <c r="A16" s="4" t="str">
        <f>CONCATENATE(Table43[[#This Row],[Kode BARANG Win2]],Table43[[#This Row],[No. Urut
Item Sama]])</f>
        <v>F40311020400201</v>
      </c>
      <c r="B16" s="7">
        <v>1</v>
      </c>
      <c r="C16" s="4">
        <v>10</v>
      </c>
      <c r="D16" s="27" t="s">
        <v>413</v>
      </c>
      <c r="E16" s="27" t="s">
        <v>627</v>
      </c>
      <c r="F16" s="27" t="s">
        <v>534</v>
      </c>
      <c r="G16" s="27">
        <v>24</v>
      </c>
      <c r="H16" s="54">
        <v>8992946533870</v>
      </c>
      <c r="I16" s="27" t="str">
        <f>Table43[[#This Row],[Nama Jenis Kemasan]]</f>
        <v>PCH</v>
      </c>
      <c r="J16" s="4" t="str">
        <f>TRIM(CONCATENATE(Table43[[#This Row],[Nama            KLP]]," ",Table43[[#This Row],[Nama            Sub KLP]]))</f>
        <v>GRDN OF NA EEM BCL</v>
      </c>
      <c r="K16" s="4" t="str">
        <f>CONCATENATE(Table43[[#This Row],[kode  2 Digit                (hrf+No)]],Table43[[#This Row],[kode  2 Digit                (Nomor)]],Table43[[#This Row],[kode  1 Digit                (Nomor)]])</f>
        <v>F4031</v>
      </c>
      <c r="L16" s="4" t="str">
        <f>IF(AG16="",CONCATENATE(Q16,S16,U16,W16,Y16,AA16,AC16,AE16,Table43[[#This Row],[Tanda Kode Revisi]]),CONCATENATE(Q16,S16,U16,W16,Y16,AA16,AC16,AG16))</f>
        <v>F4031102040020</v>
      </c>
      <c r="M16" s="11">
        <f t="shared" si="0"/>
        <v>14</v>
      </c>
      <c r="N16" s="14" t="str">
        <f>IF(AF16&lt;&gt;"",TRIM(UPPER(CONCATENATE(P16," ",R16," ",T16," ",V16," ",X16," ",Z16," ","X"," ",Table43[[#This Row],[ISI/CTN]]," ",AF16," ",AB16," ",AD16," ",AH16))),TRIM(UPPER(CONCATENATE(P16," ",R16," ",T16," ",V16," ",X16," ",Z16," ","X"," ",Table43[[#This Row],[ISI/CTN]]," ",AB16," ",AD16," ",AH16))))</f>
        <v>GRDN OF NA EEM BCL REF ROYAL JASMNE 400ML X 24 PCH</v>
      </c>
      <c r="O16" s="11">
        <f t="shared" si="1"/>
        <v>50</v>
      </c>
      <c r="Q16" s="7" t="s">
        <v>662</v>
      </c>
      <c r="R16" s="4" t="s">
        <v>777</v>
      </c>
      <c r="S16" s="48" t="s">
        <v>752</v>
      </c>
      <c r="T16" s="49" t="s">
        <v>775</v>
      </c>
      <c r="U16" s="7">
        <v>1</v>
      </c>
      <c r="V16" s="49" t="s">
        <v>776</v>
      </c>
      <c r="W16" s="48" t="s">
        <v>750</v>
      </c>
      <c r="X16" s="4" t="s">
        <v>782</v>
      </c>
      <c r="Y16" s="50" t="s">
        <v>751</v>
      </c>
      <c r="Z16" s="4" t="s">
        <v>670</v>
      </c>
      <c r="AA16" s="50" t="s">
        <v>739</v>
      </c>
      <c r="AB16" s="4" t="s">
        <v>671</v>
      </c>
      <c r="AC16" s="7">
        <v>2</v>
      </c>
      <c r="AE16" s="7">
        <v>0</v>
      </c>
      <c r="AI16" s="7" t="s">
        <v>178</v>
      </c>
      <c r="AJ16" s="7">
        <v>2</v>
      </c>
      <c r="AL16" s="38">
        <v>19685.801801801801</v>
      </c>
      <c r="AM16" s="39">
        <f>Table43[[#This Row],[Harga Beli Pcs
(-PPN)]]*Table43[[#This Row],[ISI/CTN]]</f>
        <v>472459.2432432432</v>
      </c>
      <c r="AN16" s="39">
        <f>Table43[[#This Row],[Harga Beli Pcs
(-PPN)]]*1.11</f>
        <v>21851.24</v>
      </c>
      <c r="AO16" s="39">
        <f>Table43[[#This Row],[Harga Beli Krt
(- PPN)]]*1.11</f>
        <v>524429.76</v>
      </c>
      <c r="AP16" s="39">
        <v>21261.261261261261</v>
      </c>
      <c r="AQ16" s="39">
        <f>Table43[[#This Row],[Harga Jual Pcs GT
(-PPN)]]*Table43[[#This Row],[ISI/CTN]]</f>
        <v>510270.2702702703</v>
      </c>
      <c r="AR16" s="39">
        <f>Table43[[#This Row],[Harga Jual Pcs GT
(-PPN)]]*1.11</f>
        <v>23600.000000000004</v>
      </c>
      <c r="AS16" s="39">
        <f>Table43[[#This Row],[Harga Jual Krt GT
(- PPN)]]*1.11</f>
        <v>566400.00000000012</v>
      </c>
      <c r="AT16" s="39"/>
      <c r="AU16" s="39">
        <f>Table43[[#This Row],[Harga Jual Pcs MT
(-PPN)]]*Table43[[#This Row],[ISI/CTN]]</f>
        <v>0</v>
      </c>
      <c r="AV16" s="39">
        <f>Table43[[#This Row],[Harga Jual Pcs MT
(-PPN)]]*1.11</f>
        <v>0</v>
      </c>
      <c r="AW16" s="39">
        <f>Table43[[#This Row],[Harga Jual Pcs MT
(+PPN)]]*Table43[[#This Row],[ISI/CTN]]</f>
        <v>0</v>
      </c>
      <c r="AX16" s="47">
        <f>IFERROR((Table43[[#This Row],[Harga Jual Pcs GT
(-PPN)]]-Table43[[#This Row],[Harga Beli Pcs
(-PPN)]])/Table43[[#This Row],[Harga Jual Pcs GT
(-PPN)]],0)</f>
        <v>7.4100000000000027E-2</v>
      </c>
      <c r="AY16" s="51">
        <v>45848</v>
      </c>
      <c r="AZ16" s="7"/>
      <c r="BA16" s="7" t="str">
        <f ca="1">IF(TODAY()-Table43[[#This Row],[Efektif
Pembuatan]]&gt;60,"Lama","Baru")</f>
        <v>Lama</v>
      </c>
      <c r="BB16" s="7" t="str">
        <f ca="1">IF(TODAY()-Table43[[#This Row],[Efektif Naik Harga]]&lt;30,"Naik","Sama")</f>
        <v>Sama</v>
      </c>
      <c r="BC16" s="7" t="s">
        <v>185</v>
      </c>
      <c r="BD16" s="7" t="str">
        <f>IF(Table43[[#This Row],[Kode BARANG Win2]]&lt;&gt;"","IDR","")</f>
        <v>IDR</v>
      </c>
      <c r="BE16" s="7" t="str">
        <f>CONCATENATE(Table43[[#This Row],[kode  1 Digit
(Nomor)]],Table43[[#This Row],[kode  4 Digit                (Nomor)]])</f>
        <v>20400</v>
      </c>
      <c r="BF16" s="7" t="str">
        <f>Table43[[#This Row],[Nama            Gramasi atau Jumlah Pack per CTN]]</f>
        <v>400ML</v>
      </c>
      <c r="BG16" s="7" t="s">
        <v>1060</v>
      </c>
      <c r="BH16" s="7" t="s">
        <v>377</v>
      </c>
      <c r="BI16" s="4" t="str">
        <f>IF(Table43[[#This Row],[SATUAN Fix Win]]&lt;&gt;"","KRT")</f>
        <v>KRT</v>
      </c>
      <c r="BJ16" s="4" t="str">
        <f>IF(Table43[[#This Row],[SATUAN Fix Win]]&lt;&gt;"","GD01")</f>
        <v>GD01</v>
      </c>
      <c r="BK16" s="4">
        <f>IF(Table43[[#This Row],[SATUAN Fix Win]]&lt;&gt;"",11611)</f>
        <v>11611</v>
      </c>
      <c r="BL16" s="4">
        <f>IF(Table43[[#This Row],[SATUAN Fix Win]]&lt;&gt;"",11612)</f>
        <v>11612</v>
      </c>
      <c r="BM16" s="52" t="s">
        <v>378</v>
      </c>
      <c r="BN16" s="4">
        <f>IF(Table43[[#This Row],[SATUAN Fix Win]]&lt;&gt;"",1)</f>
        <v>1</v>
      </c>
      <c r="BO16" s="4" t="s">
        <v>637</v>
      </c>
    </row>
    <row r="17" spans="1:70">
      <c r="A17" s="4" t="str">
        <f>CONCATENATE(Table43[[#This Row],[Kode BARANG Win2]],Table43[[#This Row],[No. Urut
Item Sama]])</f>
        <v>F40311030400201</v>
      </c>
      <c r="B17" s="7">
        <v>1</v>
      </c>
      <c r="C17" s="4">
        <v>11</v>
      </c>
      <c r="D17" s="27" t="s">
        <v>411</v>
      </c>
      <c r="E17" s="27" t="s">
        <v>627</v>
      </c>
      <c r="F17" s="27" t="s">
        <v>532</v>
      </c>
      <c r="G17" s="27">
        <v>24</v>
      </c>
      <c r="H17" s="54">
        <v>8992946533846</v>
      </c>
      <c r="I17" s="27" t="str">
        <f>Table43[[#This Row],[Nama Jenis Kemasan]]</f>
        <v>PCH</v>
      </c>
      <c r="J17" s="4" t="str">
        <f>TRIM(CONCATENATE(Table43[[#This Row],[Nama            KLP]]," ",Table43[[#This Row],[Nama            Sub KLP]]))</f>
        <v>GRDN OF NA EEM BCL</v>
      </c>
      <c r="K17" s="4" t="str">
        <f>CONCATENATE(Table43[[#This Row],[kode  2 Digit                (hrf+No)]],Table43[[#This Row],[kode  2 Digit                (Nomor)]],Table43[[#This Row],[kode  1 Digit                (Nomor)]])</f>
        <v>F4031</v>
      </c>
      <c r="L17" s="4" t="str">
        <f>IF(AG17="",CONCATENATE(Q17,S17,U17,W17,Y17,AA17,AC17,AE17,Table43[[#This Row],[Tanda Kode Revisi]]),CONCATENATE(Q17,S17,U17,W17,Y17,AA17,AC17,AG17))</f>
        <v>F4031103040020</v>
      </c>
      <c r="M17" s="11">
        <f t="shared" si="0"/>
        <v>14</v>
      </c>
      <c r="N17" s="14" t="str">
        <f>IF(AF17&lt;&gt;"",TRIM(UPPER(CONCATENATE(P17," ",R17," ",T17," ",V17," ",X17," ",Z17," ","X"," ",Table43[[#This Row],[ISI/CTN]]," ",AF17," ",AB17," ",AD17," ",AH17))),TRIM(UPPER(CONCATENATE(P17," ",R17," ",T17," ",V17," ",X17," ",Z17," ","X"," ",Table43[[#This Row],[ISI/CTN]]," ",AB17," ",AD17," ",AH17))))</f>
        <v>GRDN OF NA EEM BCL REF TAIFI ROSE 400ML X 24 PCH</v>
      </c>
      <c r="O17" s="11">
        <f t="shared" si="1"/>
        <v>48</v>
      </c>
      <c r="Q17" s="7" t="s">
        <v>662</v>
      </c>
      <c r="R17" s="4" t="s">
        <v>777</v>
      </c>
      <c r="S17" s="48" t="s">
        <v>752</v>
      </c>
      <c r="T17" s="49" t="s">
        <v>775</v>
      </c>
      <c r="U17" s="7">
        <v>1</v>
      </c>
      <c r="V17" s="49" t="s">
        <v>776</v>
      </c>
      <c r="W17" s="48" t="s">
        <v>750</v>
      </c>
      <c r="X17" s="4" t="s">
        <v>674</v>
      </c>
      <c r="Y17" s="50" t="s">
        <v>752</v>
      </c>
      <c r="Z17" s="4" t="s">
        <v>670</v>
      </c>
      <c r="AA17" s="50" t="s">
        <v>739</v>
      </c>
      <c r="AB17" s="4" t="s">
        <v>671</v>
      </c>
      <c r="AC17" s="7">
        <v>2</v>
      </c>
      <c r="AE17" s="7">
        <v>0</v>
      </c>
      <c r="AI17" s="7" t="s">
        <v>178</v>
      </c>
      <c r="AJ17" s="7">
        <v>2</v>
      </c>
      <c r="AL17" s="38">
        <v>19685.801801801801</v>
      </c>
      <c r="AM17" s="39">
        <f>Table43[[#This Row],[Harga Beli Pcs
(-PPN)]]*Table43[[#This Row],[ISI/CTN]]</f>
        <v>472459.2432432432</v>
      </c>
      <c r="AN17" s="39">
        <f>Table43[[#This Row],[Harga Beli Pcs
(-PPN)]]*1.11</f>
        <v>21851.24</v>
      </c>
      <c r="AO17" s="39">
        <f>Table43[[#This Row],[Harga Beli Krt
(- PPN)]]*1.11</f>
        <v>524429.76</v>
      </c>
      <c r="AP17" s="39">
        <v>21261.261261261261</v>
      </c>
      <c r="AQ17" s="39">
        <f>Table43[[#This Row],[Harga Jual Pcs GT
(-PPN)]]*Table43[[#This Row],[ISI/CTN]]</f>
        <v>510270.2702702703</v>
      </c>
      <c r="AR17" s="39">
        <f>Table43[[#This Row],[Harga Jual Pcs GT
(-PPN)]]*1.11</f>
        <v>23600.000000000004</v>
      </c>
      <c r="AS17" s="39">
        <f>Table43[[#This Row],[Harga Jual Krt GT
(- PPN)]]*1.11</f>
        <v>566400.00000000012</v>
      </c>
      <c r="AT17" s="39"/>
      <c r="AU17" s="39">
        <f>Table43[[#This Row],[Harga Jual Pcs MT
(-PPN)]]*Table43[[#This Row],[ISI/CTN]]</f>
        <v>0</v>
      </c>
      <c r="AV17" s="39">
        <f>Table43[[#This Row],[Harga Jual Pcs MT
(-PPN)]]*1.11</f>
        <v>0</v>
      </c>
      <c r="AW17" s="39">
        <f>Table43[[#This Row],[Harga Jual Pcs MT
(+PPN)]]*Table43[[#This Row],[ISI/CTN]]</f>
        <v>0</v>
      </c>
      <c r="AX17" s="47">
        <f>IFERROR((Table43[[#This Row],[Harga Jual Pcs GT
(-PPN)]]-Table43[[#This Row],[Harga Beli Pcs
(-PPN)]])/Table43[[#This Row],[Harga Jual Pcs GT
(-PPN)]],0)</f>
        <v>7.4100000000000027E-2</v>
      </c>
      <c r="AY17" s="51">
        <v>45848</v>
      </c>
      <c r="AZ17" s="7"/>
      <c r="BA17" s="7" t="str">
        <f ca="1">IF(TODAY()-Table43[[#This Row],[Efektif
Pembuatan]]&gt;60,"Lama","Baru")</f>
        <v>Lama</v>
      </c>
      <c r="BB17" s="7" t="str">
        <f ca="1">IF(TODAY()-Table43[[#This Row],[Efektif Naik Harga]]&lt;30,"Naik","Sama")</f>
        <v>Sama</v>
      </c>
      <c r="BC17" s="7" t="s">
        <v>185</v>
      </c>
      <c r="BD17" s="7" t="str">
        <f>IF(Table43[[#This Row],[Kode BARANG Win2]]&lt;&gt;"","IDR","")</f>
        <v>IDR</v>
      </c>
      <c r="BE17" s="7" t="str">
        <f>CONCATENATE(Table43[[#This Row],[kode  1 Digit
(Nomor)]],Table43[[#This Row],[kode  4 Digit                (Nomor)]])</f>
        <v>20400</v>
      </c>
      <c r="BF17" s="7" t="str">
        <f>Table43[[#This Row],[Nama            Gramasi atau Jumlah Pack per CTN]]</f>
        <v>400ML</v>
      </c>
      <c r="BG17" s="7" t="s">
        <v>1060</v>
      </c>
      <c r="BH17" s="7" t="s">
        <v>377</v>
      </c>
      <c r="BI17" s="4" t="str">
        <f>IF(Table43[[#This Row],[SATUAN Fix Win]]&lt;&gt;"","KRT")</f>
        <v>KRT</v>
      </c>
      <c r="BJ17" s="4" t="str">
        <f>IF(Table43[[#This Row],[SATUAN Fix Win]]&lt;&gt;"","GD01")</f>
        <v>GD01</v>
      </c>
      <c r="BK17" s="4">
        <f>IF(Table43[[#This Row],[SATUAN Fix Win]]&lt;&gt;"",11611)</f>
        <v>11611</v>
      </c>
      <c r="BL17" s="4">
        <f>IF(Table43[[#This Row],[SATUAN Fix Win]]&lt;&gt;"",11612)</f>
        <v>11612</v>
      </c>
      <c r="BM17" s="52" t="s">
        <v>378</v>
      </c>
      <c r="BN17" s="4">
        <f>IF(Table43[[#This Row],[SATUAN Fix Win]]&lt;&gt;"",1)</f>
        <v>1</v>
      </c>
      <c r="BO17" s="4" t="s">
        <v>637</v>
      </c>
    </row>
    <row r="18" spans="1:70">
      <c r="A18" s="4" t="str">
        <f>CONCATENATE(Table43[[#This Row],[Kode BARANG Win2]],Table43[[#This Row],[No. Urut
Item Sama]])</f>
        <v>F40310010480301</v>
      </c>
      <c r="B18" s="7">
        <v>1</v>
      </c>
      <c r="C18" s="4">
        <v>12</v>
      </c>
      <c r="D18" s="27" t="s">
        <v>416</v>
      </c>
      <c r="E18" s="27" t="s">
        <v>627</v>
      </c>
      <c r="F18" s="27" t="s">
        <v>537</v>
      </c>
      <c r="G18" s="27">
        <v>24</v>
      </c>
      <c r="H18" s="54" t="s">
        <v>644</v>
      </c>
      <c r="I18" s="27" t="str">
        <f>Table43[[#This Row],[Nama Jenis Kemasan]]</f>
        <v>BTL</v>
      </c>
      <c r="J18" s="4" t="str">
        <f>TRIM(CONCATENATE(Table43[[#This Row],[Nama            KLP]]," ",Table43[[#This Row],[Nama            Sub KLP]]))</f>
        <v>GRDN OF NA EEM BCL</v>
      </c>
      <c r="K18" s="4" t="str">
        <f>CONCATENATE(Table43[[#This Row],[kode  2 Digit                (hrf+No)]],Table43[[#This Row],[kode  2 Digit                (Nomor)]],Table43[[#This Row],[kode  1 Digit                (Nomor)]])</f>
        <v>F4031</v>
      </c>
      <c r="L18" s="4" t="str">
        <f>IF(AG18="",CONCATENATE(Q18,S18,U18,W18,Y18,AA18,AC18,AE18,Table43[[#This Row],[Tanda Kode Revisi]]),CONCATENATE(Q18,S18,U18,W18,Y18,AA18,AC18,AG18))</f>
        <v>F4031001048030</v>
      </c>
      <c r="M18" s="11">
        <f t="shared" si="0"/>
        <v>14</v>
      </c>
      <c r="N18" s="14" t="str">
        <f>IF(AF18&lt;&gt;"",TRIM(UPPER(CONCATENATE(P18," ",R18," ",T18," ",V18," ",X18," ",Z18," ","X"," ",Table43[[#This Row],[ISI/CTN]]," ",AF18," ",AB18," ",AD18," ",AH18))),TRIM(UPPER(CONCATENATE(P18," ",R18," ",T18," ",V18," ",X18," ",Z18," ","X"," ",Table43[[#This Row],[ISI/CTN]]," ",AB18," ",AD18," ",AH18))))</f>
        <v>GRDN OF NA EEM BCL MDNGHT GRDN 480ML X 24 BTL</v>
      </c>
      <c r="O18" s="11">
        <f t="shared" si="1"/>
        <v>45</v>
      </c>
      <c r="Q18" s="7" t="s">
        <v>662</v>
      </c>
      <c r="R18" s="4" t="s">
        <v>777</v>
      </c>
      <c r="S18" s="48" t="s">
        <v>752</v>
      </c>
      <c r="T18" s="49" t="s">
        <v>775</v>
      </c>
      <c r="U18" s="7">
        <v>1</v>
      </c>
      <c r="V18" s="49"/>
      <c r="W18" s="48" t="s">
        <v>370</v>
      </c>
      <c r="X18" s="4" t="s">
        <v>788</v>
      </c>
      <c r="Y18" s="50" t="s">
        <v>749</v>
      </c>
      <c r="Z18" s="4" t="s">
        <v>673</v>
      </c>
      <c r="AA18" s="50" t="s">
        <v>740</v>
      </c>
      <c r="AB18" s="4" t="s">
        <v>705</v>
      </c>
      <c r="AC18" s="7">
        <v>3</v>
      </c>
      <c r="AE18" s="7">
        <v>0</v>
      </c>
      <c r="AI18" s="7" t="s">
        <v>178</v>
      </c>
      <c r="AJ18" s="7">
        <v>2</v>
      </c>
      <c r="AL18" s="38">
        <v>28360.900900900899</v>
      </c>
      <c r="AM18" s="39">
        <f>Table43[[#This Row],[Harga Beli Pcs
(-PPN)]]*Table43[[#This Row],[ISI/CTN]]</f>
        <v>680661.62162162154</v>
      </c>
      <c r="AN18" s="39">
        <f>Table43[[#This Row],[Harga Beli Pcs
(-PPN)]]*1.11</f>
        <v>31480.6</v>
      </c>
      <c r="AO18" s="39">
        <f>Table43[[#This Row],[Harga Beli Krt
(- PPN)]]*1.11</f>
        <v>755534.4</v>
      </c>
      <c r="AP18" s="39">
        <v>30630.630630630625</v>
      </c>
      <c r="AQ18" s="39">
        <f>Table43[[#This Row],[Harga Jual Pcs GT
(-PPN)]]*Table43[[#This Row],[ISI/CTN]]</f>
        <v>735135.13513513503</v>
      </c>
      <c r="AR18" s="39">
        <f>Table43[[#This Row],[Harga Jual Pcs GT
(-PPN)]]*1.11</f>
        <v>34000</v>
      </c>
      <c r="AS18" s="39">
        <f>Table43[[#This Row],[Harga Jual Krt GT
(- PPN)]]*1.11</f>
        <v>816000</v>
      </c>
      <c r="AT18" s="39"/>
      <c r="AU18" s="39">
        <f>Table43[[#This Row],[Harga Jual Pcs MT
(-PPN)]]*Table43[[#This Row],[ISI/CTN]]</f>
        <v>0</v>
      </c>
      <c r="AV18" s="39">
        <f>Table43[[#This Row],[Harga Jual Pcs MT
(-PPN)]]*1.11</f>
        <v>0</v>
      </c>
      <c r="AW18" s="39">
        <f>Table43[[#This Row],[Harga Jual Pcs MT
(+PPN)]]*Table43[[#This Row],[ISI/CTN]]</f>
        <v>0</v>
      </c>
      <c r="AX18" s="47">
        <f>IFERROR((Table43[[#This Row],[Harga Jual Pcs GT
(-PPN)]]-Table43[[#This Row],[Harga Beli Pcs
(-PPN)]])/Table43[[#This Row],[Harga Jual Pcs GT
(-PPN)]],0)</f>
        <v>7.4099999999999902E-2</v>
      </c>
      <c r="AY18" s="51">
        <v>45848</v>
      </c>
      <c r="AZ18" s="7"/>
      <c r="BA18" s="7" t="str">
        <f ca="1">IF(TODAY()-Table43[[#This Row],[Efektif
Pembuatan]]&gt;60,"Lama","Baru")</f>
        <v>Lama</v>
      </c>
      <c r="BB18" s="7" t="str">
        <f ca="1">IF(TODAY()-Table43[[#This Row],[Efektif Naik Harga]]&lt;30,"Naik","Sama")</f>
        <v>Sama</v>
      </c>
      <c r="BC18" s="7" t="s">
        <v>185</v>
      </c>
      <c r="BD18" s="7" t="str">
        <f>IF(Table43[[#This Row],[Kode BARANG Win2]]&lt;&gt;"","IDR","")</f>
        <v>IDR</v>
      </c>
      <c r="BE18" s="7" t="str">
        <f>CONCATENATE(Table43[[#This Row],[kode  1 Digit
(Nomor)]],Table43[[#This Row],[kode  4 Digit                (Nomor)]])</f>
        <v>20480</v>
      </c>
      <c r="BF18" s="7" t="str">
        <f>Table43[[#This Row],[Nama            Gramasi atau Jumlah Pack per CTN]]</f>
        <v>480ML</v>
      </c>
      <c r="BG18" s="7" t="s">
        <v>1060</v>
      </c>
      <c r="BH18" s="7" t="s">
        <v>377</v>
      </c>
      <c r="BI18" s="4" t="str">
        <f>IF(Table43[[#This Row],[SATUAN Fix Win]]&lt;&gt;"","KRT")</f>
        <v>KRT</v>
      </c>
      <c r="BJ18" s="4" t="str">
        <f>IF(Table43[[#This Row],[SATUAN Fix Win]]&lt;&gt;"","GD01")</f>
        <v>GD01</v>
      </c>
      <c r="BK18" s="4">
        <f>IF(Table43[[#This Row],[SATUAN Fix Win]]&lt;&gt;"",11611)</f>
        <v>11611</v>
      </c>
      <c r="BL18" s="4">
        <f>IF(Table43[[#This Row],[SATUAN Fix Win]]&lt;&gt;"",11612)</f>
        <v>11612</v>
      </c>
      <c r="BM18" s="52" t="s">
        <v>378</v>
      </c>
      <c r="BN18" s="4">
        <f>IF(Table43[[#This Row],[SATUAN Fix Win]]&lt;&gt;"",1)</f>
        <v>1</v>
      </c>
      <c r="BO18" s="4" t="s">
        <v>637</v>
      </c>
    </row>
    <row r="19" spans="1:70">
      <c r="A19" s="4" t="str">
        <f>CONCATENATE(Table43[[#This Row],[Kode BARANG Win2]],Table43[[#This Row],[No. Urut
Item Sama]])</f>
        <v>F40310020480301</v>
      </c>
      <c r="B19" s="7">
        <v>1</v>
      </c>
      <c r="C19" s="4">
        <v>13</v>
      </c>
      <c r="D19" s="27" t="s">
        <v>414</v>
      </c>
      <c r="E19" s="27" t="s">
        <v>627</v>
      </c>
      <c r="F19" s="27" t="s">
        <v>535</v>
      </c>
      <c r="G19" s="27">
        <v>24</v>
      </c>
      <c r="H19" s="54" t="s">
        <v>643</v>
      </c>
      <c r="I19" s="27" t="str">
        <f>Table43[[#This Row],[Nama Jenis Kemasan]]</f>
        <v>BTL</v>
      </c>
      <c r="J19" s="4" t="str">
        <f>TRIM(CONCATENATE(Table43[[#This Row],[Nama            KLP]]," ",Table43[[#This Row],[Nama            Sub KLP]]))</f>
        <v>GRDN OF NA EEM BCL</v>
      </c>
      <c r="K19" s="4" t="str">
        <f>CONCATENATE(Table43[[#This Row],[kode  2 Digit                (hrf+No)]],Table43[[#This Row],[kode  2 Digit                (Nomor)]],Table43[[#This Row],[kode  1 Digit                (Nomor)]])</f>
        <v>F4031</v>
      </c>
      <c r="L19" s="4" t="str">
        <f>IF(AG19="",CONCATENATE(Q19,S19,U19,W19,Y19,AA19,AC19,AE19,Table43[[#This Row],[Tanda Kode Revisi]]),CONCATENATE(Q19,S19,U19,W19,Y19,AA19,AC19,AG19))</f>
        <v>F4031002048030</v>
      </c>
      <c r="M19" s="11">
        <f t="shared" si="0"/>
        <v>14</v>
      </c>
      <c r="N19" s="14" t="str">
        <f>IF(AF19&lt;&gt;"",TRIM(UPPER(CONCATENATE(P19," ",R19," ",T19," ",V19," ",X19," ",Z19," ","X"," ",Table43[[#This Row],[ISI/CTN]]," ",AF19," ",AB19," ",AD19," ",AH19))),TRIM(UPPER(CONCATENATE(P19," ",R19," ",T19," ",V19," ",X19," ",Z19," ","X"," ",Table43[[#This Row],[ISI/CTN]]," ",AB19," ",AD19," ",AH19))))</f>
        <v>GRDN OF NA EEM BCL ROYAL JASMINE 480ML X 24 BTL</v>
      </c>
      <c r="O19" s="11">
        <f t="shared" si="1"/>
        <v>47</v>
      </c>
      <c r="Q19" s="7" t="s">
        <v>662</v>
      </c>
      <c r="R19" s="4" t="s">
        <v>777</v>
      </c>
      <c r="S19" s="48" t="s">
        <v>752</v>
      </c>
      <c r="T19" s="49" t="s">
        <v>775</v>
      </c>
      <c r="U19" s="7">
        <v>1</v>
      </c>
      <c r="V19" s="49"/>
      <c r="W19" s="48" t="s">
        <v>370</v>
      </c>
      <c r="X19" s="4" t="s">
        <v>676</v>
      </c>
      <c r="Y19" s="50" t="s">
        <v>751</v>
      </c>
      <c r="Z19" s="4" t="s">
        <v>673</v>
      </c>
      <c r="AA19" s="50" t="s">
        <v>740</v>
      </c>
      <c r="AB19" s="4" t="s">
        <v>705</v>
      </c>
      <c r="AC19" s="7">
        <v>3</v>
      </c>
      <c r="AE19" s="7">
        <v>0</v>
      </c>
      <c r="AI19" s="7" t="s">
        <v>178</v>
      </c>
      <c r="AJ19" s="7">
        <v>2</v>
      </c>
      <c r="AL19" s="38">
        <v>28360.900900900899</v>
      </c>
      <c r="AM19" s="39">
        <f>Table43[[#This Row],[Harga Beli Pcs
(-PPN)]]*Table43[[#This Row],[ISI/CTN]]</f>
        <v>680661.62162162154</v>
      </c>
      <c r="AN19" s="39">
        <f>Table43[[#This Row],[Harga Beli Pcs
(-PPN)]]*1.11</f>
        <v>31480.6</v>
      </c>
      <c r="AO19" s="39">
        <f>Table43[[#This Row],[Harga Beli Krt
(- PPN)]]*1.11</f>
        <v>755534.4</v>
      </c>
      <c r="AP19" s="39">
        <v>30630.630630630625</v>
      </c>
      <c r="AQ19" s="39">
        <f>Table43[[#This Row],[Harga Jual Pcs GT
(-PPN)]]*Table43[[#This Row],[ISI/CTN]]</f>
        <v>735135.13513513503</v>
      </c>
      <c r="AR19" s="39">
        <f>Table43[[#This Row],[Harga Jual Pcs GT
(-PPN)]]*1.11</f>
        <v>34000</v>
      </c>
      <c r="AS19" s="39">
        <f>Table43[[#This Row],[Harga Jual Krt GT
(- PPN)]]*1.11</f>
        <v>816000</v>
      </c>
      <c r="AT19" s="39"/>
      <c r="AU19" s="39">
        <f>Table43[[#This Row],[Harga Jual Pcs MT
(-PPN)]]*Table43[[#This Row],[ISI/CTN]]</f>
        <v>0</v>
      </c>
      <c r="AV19" s="39">
        <f>Table43[[#This Row],[Harga Jual Pcs MT
(-PPN)]]*1.11</f>
        <v>0</v>
      </c>
      <c r="AW19" s="39">
        <f>Table43[[#This Row],[Harga Jual Pcs MT
(+PPN)]]*Table43[[#This Row],[ISI/CTN]]</f>
        <v>0</v>
      </c>
      <c r="AX19" s="47">
        <f>IFERROR((Table43[[#This Row],[Harga Jual Pcs GT
(-PPN)]]-Table43[[#This Row],[Harga Beli Pcs
(-PPN)]])/Table43[[#This Row],[Harga Jual Pcs GT
(-PPN)]],0)</f>
        <v>7.4099999999999902E-2</v>
      </c>
      <c r="AY19" s="51">
        <v>45848</v>
      </c>
      <c r="AZ19" s="7"/>
      <c r="BA19" s="7" t="str">
        <f ca="1">IF(TODAY()-Table43[[#This Row],[Efektif
Pembuatan]]&gt;60,"Lama","Baru")</f>
        <v>Lama</v>
      </c>
      <c r="BB19" s="7" t="str">
        <f ca="1">IF(TODAY()-Table43[[#This Row],[Efektif Naik Harga]]&lt;30,"Naik","Sama")</f>
        <v>Sama</v>
      </c>
      <c r="BC19" s="7" t="s">
        <v>185</v>
      </c>
      <c r="BD19" s="7" t="str">
        <f>IF(Table43[[#This Row],[Kode BARANG Win2]]&lt;&gt;"","IDR","")</f>
        <v>IDR</v>
      </c>
      <c r="BE19" s="7" t="str">
        <f>CONCATENATE(Table43[[#This Row],[kode  1 Digit
(Nomor)]],Table43[[#This Row],[kode  4 Digit                (Nomor)]])</f>
        <v>20480</v>
      </c>
      <c r="BF19" s="7" t="str">
        <f>Table43[[#This Row],[Nama            Gramasi atau Jumlah Pack per CTN]]</f>
        <v>480ML</v>
      </c>
      <c r="BG19" s="7" t="s">
        <v>1060</v>
      </c>
      <c r="BH19" s="7" t="s">
        <v>377</v>
      </c>
      <c r="BI19" s="4" t="str">
        <f>IF(Table43[[#This Row],[SATUAN Fix Win]]&lt;&gt;"","KRT")</f>
        <v>KRT</v>
      </c>
      <c r="BJ19" s="4" t="str">
        <f>IF(Table43[[#This Row],[SATUAN Fix Win]]&lt;&gt;"","GD01")</f>
        <v>GD01</v>
      </c>
      <c r="BK19" s="4">
        <f>IF(Table43[[#This Row],[SATUAN Fix Win]]&lt;&gt;"",11611)</f>
        <v>11611</v>
      </c>
      <c r="BL19" s="4">
        <f>IF(Table43[[#This Row],[SATUAN Fix Win]]&lt;&gt;"",11612)</f>
        <v>11612</v>
      </c>
      <c r="BM19" s="52" t="s">
        <v>378</v>
      </c>
      <c r="BN19" s="4">
        <f>IF(Table43[[#This Row],[SATUAN Fix Win]]&lt;&gt;"",1)</f>
        <v>1</v>
      </c>
      <c r="BO19" s="4" t="s">
        <v>637</v>
      </c>
    </row>
    <row r="20" spans="1:70">
      <c r="A20" s="4" t="str">
        <f>CONCATENATE(Table43[[#This Row],[Kode BARANG Win2]],Table43[[#This Row],[No. Urut
Item Sama]])</f>
        <v>F40310030480101</v>
      </c>
      <c r="B20" s="7">
        <v>1</v>
      </c>
      <c r="C20" s="4">
        <v>14</v>
      </c>
      <c r="D20" s="27" t="s">
        <v>412</v>
      </c>
      <c r="E20" s="27" t="s">
        <v>627</v>
      </c>
      <c r="F20" s="27" t="s">
        <v>533</v>
      </c>
      <c r="G20" s="27">
        <v>24</v>
      </c>
      <c r="H20" s="54" t="s">
        <v>642</v>
      </c>
      <c r="I20" s="27" t="str">
        <f>Table43[[#This Row],[Nama Jenis Kemasan]]</f>
        <v>PUMP</v>
      </c>
      <c r="J20" s="4" t="str">
        <f>TRIM(CONCATENATE(Table43[[#This Row],[Nama            KLP]]," ",Table43[[#This Row],[Nama            Sub KLP]]))</f>
        <v>GRDN OF NA EEM BCL</v>
      </c>
      <c r="K20" s="4" t="str">
        <f>CONCATENATE(Table43[[#This Row],[kode  2 Digit                (hrf+No)]],Table43[[#This Row],[kode  2 Digit                (Nomor)]],Table43[[#This Row],[kode  1 Digit                (Nomor)]])</f>
        <v>F4031</v>
      </c>
      <c r="L20" s="4" t="str">
        <f>IF(AG20="",CONCATENATE(Q20,S20,U20,W20,Y20,AA20,AC20,AE20,Table43[[#This Row],[Tanda Kode Revisi]]),CONCATENATE(Q20,S20,U20,W20,Y20,AA20,AC20,AG20))</f>
        <v>F4031003048010</v>
      </c>
      <c r="M20" s="11">
        <f t="shared" si="0"/>
        <v>14</v>
      </c>
      <c r="N20" s="14" t="str">
        <f>IF(AF20&lt;&gt;"",TRIM(UPPER(CONCATENATE(P20," ",R20," ",T20," ",V20," ",X20," ",Z20," ","X"," ",Table43[[#This Row],[ISI/CTN]]," ",AF20," ",AB20," ",AD20," ",AH20))),TRIM(UPPER(CONCATENATE(P20," ",R20," ",T20," ",V20," ",X20," ",Z20," ","X"," ",Table43[[#This Row],[ISI/CTN]]," ",AB20," ",AD20," ",AH20))))</f>
        <v>GRDN OF NA EEM BCL TAIFI ROSE 480ML X 24 PUMP</v>
      </c>
      <c r="O20" s="11">
        <f t="shared" si="1"/>
        <v>45</v>
      </c>
      <c r="Q20" s="7" t="s">
        <v>662</v>
      </c>
      <c r="R20" s="4" t="s">
        <v>777</v>
      </c>
      <c r="S20" s="48" t="s">
        <v>752</v>
      </c>
      <c r="T20" s="49" t="s">
        <v>775</v>
      </c>
      <c r="U20" s="7">
        <v>1</v>
      </c>
      <c r="V20" s="49"/>
      <c r="W20" s="48" t="s">
        <v>370</v>
      </c>
      <c r="X20" s="4" t="s">
        <v>674</v>
      </c>
      <c r="Y20" s="50" t="s">
        <v>752</v>
      </c>
      <c r="Z20" s="4" t="s">
        <v>673</v>
      </c>
      <c r="AA20" s="50" t="s">
        <v>740</v>
      </c>
      <c r="AB20" s="4" t="s">
        <v>730</v>
      </c>
      <c r="AC20" s="7">
        <v>1</v>
      </c>
      <c r="AE20" s="7">
        <v>0</v>
      </c>
      <c r="AI20" s="7" t="s">
        <v>178</v>
      </c>
      <c r="AJ20" s="7">
        <v>2</v>
      </c>
      <c r="AL20" s="38">
        <v>28360.900900900899</v>
      </c>
      <c r="AM20" s="39">
        <f>Table43[[#This Row],[Harga Beli Pcs
(-PPN)]]*Table43[[#This Row],[ISI/CTN]]</f>
        <v>680661.62162162154</v>
      </c>
      <c r="AN20" s="39">
        <f>Table43[[#This Row],[Harga Beli Pcs
(-PPN)]]*1.11</f>
        <v>31480.6</v>
      </c>
      <c r="AO20" s="39">
        <f>Table43[[#This Row],[Harga Beli Krt
(- PPN)]]*1.11</f>
        <v>755534.4</v>
      </c>
      <c r="AP20" s="39">
        <v>30630.630630630625</v>
      </c>
      <c r="AQ20" s="39">
        <f>Table43[[#This Row],[Harga Jual Pcs GT
(-PPN)]]*Table43[[#This Row],[ISI/CTN]]</f>
        <v>735135.13513513503</v>
      </c>
      <c r="AR20" s="39">
        <f>Table43[[#This Row],[Harga Jual Pcs GT
(-PPN)]]*1.11</f>
        <v>34000</v>
      </c>
      <c r="AS20" s="39">
        <f>Table43[[#This Row],[Harga Jual Krt GT
(- PPN)]]*1.11</f>
        <v>816000</v>
      </c>
      <c r="AT20" s="39"/>
      <c r="AU20" s="39">
        <f>Table43[[#This Row],[Harga Jual Pcs MT
(-PPN)]]*Table43[[#This Row],[ISI/CTN]]</f>
        <v>0</v>
      </c>
      <c r="AV20" s="39">
        <f>Table43[[#This Row],[Harga Jual Pcs MT
(-PPN)]]*1.11</f>
        <v>0</v>
      </c>
      <c r="AW20" s="39">
        <f>Table43[[#This Row],[Harga Jual Pcs MT
(+PPN)]]*Table43[[#This Row],[ISI/CTN]]</f>
        <v>0</v>
      </c>
      <c r="AX20" s="47">
        <f>IFERROR((Table43[[#This Row],[Harga Jual Pcs GT
(-PPN)]]-Table43[[#This Row],[Harga Beli Pcs
(-PPN)]])/Table43[[#This Row],[Harga Jual Pcs GT
(-PPN)]],0)</f>
        <v>7.4099999999999902E-2</v>
      </c>
      <c r="AY20" s="51">
        <v>45848</v>
      </c>
      <c r="AZ20" s="7"/>
      <c r="BA20" s="7" t="str">
        <f ca="1">IF(TODAY()-Table43[[#This Row],[Efektif
Pembuatan]]&gt;60,"Lama","Baru")</f>
        <v>Lama</v>
      </c>
      <c r="BB20" s="7" t="str">
        <f ca="1">IF(TODAY()-Table43[[#This Row],[Efektif Naik Harga]]&lt;30,"Naik","Sama")</f>
        <v>Sama</v>
      </c>
      <c r="BC20" s="7" t="s">
        <v>185</v>
      </c>
      <c r="BD20" s="7" t="str">
        <f>IF(Table43[[#This Row],[Kode BARANG Win2]]&lt;&gt;"","IDR","")</f>
        <v>IDR</v>
      </c>
      <c r="BE20" s="7" t="str">
        <f>CONCATENATE(Table43[[#This Row],[kode  1 Digit
(Nomor)]],Table43[[#This Row],[kode  4 Digit                (Nomor)]])</f>
        <v>20480</v>
      </c>
      <c r="BF20" s="7" t="str">
        <f>Table43[[#This Row],[Nama            Gramasi atau Jumlah Pack per CTN]]</f>
        <v>480ML</v>
      </c>
      <c r="BG20" s="7" t="s">
        <v>1060</v>
      </c>
      <c r="BH20" s="7" t="s">
        <v>377</v>
      </c>
      <c r="BI20" s="4" t="str">
        <f>IF(Table43[[#This Row],[SATUAN Fix Win]]&lt;&gt;"","KRT")</f>
        <v>KRT</v>
      </c>
      <c r="BJ20" s="4" t="str">
        <f>IF(Table43[[#This Row],[SATUAN Fix Win]]&lt;&gt;"","GD01")</f>
        <v>GD01</v>
      </c>
      <c r="BK20" s="4">
        <f>IF(Table43[[#This Row],[SATUAN Fix Win]]&lt;&gt;"",11611)</f>
        <v>11611</v>
      </c>
      <c r="BL20" s="4">
        <f>IF(Table43[[#This Row],[SATUAN Fix Win]]&lt;&gt;"",11612)</f>
        <v>11612</v>
      </c>
      <c r="BM20" s="52" t="s">
        <v>378</v>
      </c>
      <c r="BN20" s="4">
        <f>IF(Table43[[#This Row],[SATUAN Fix Win]]&lt;&gt;"",1)</f>
        <v>1</v>
      </c>
      <c r="BO20" s="4" t="s">
        <v>637</v>
      </c>
    </row>
    <row r="21" spans="1:70">
      <c r="A21" s="4" t="str">
        <f>CONCATENATE(Table43[[#This Row],[Kode BARANG Win2]],Table43[[#This Row],[No. Urut
Item Sama]])</f>
        <v>F40320010075101</v>
      </c>
      <c r="B21" s="7">
        <v>1</v>
      </c>
      <c r="C21" s="4">
        <v>15</v>
      </c>
      <c r="D21" s="27" t="s">
        <v>392</v>
      </c>
      <c r="E21" s="27" t="s">
        <v>627</v>
      </c>
      <c r="F21" s="27" t="s">
        <v>513</v>
      </c>
      <c r="G21" s="27">
        <v>24</v>
      </c>
      <c r="H21" s="54">
        <v>8992946534423</v>
      </c>
      <c r="I21" s="27" t="str">
        <f>Table43[[#This Row],[Nama Jenis Kemasan]]</f>
        <v>PACK</v>
      </c>
      <c r="J21" s="4" t="str">
        <f>TRIM(CONCATENATE(Table43[[#This Row],[Nama            KLP]]," ",Table43[[#This Row],[Nama            Sub KLP]]))</f>
        <v>GRDN OF NA EEM SABUN</v>
      </c>
      <c r="K21" s="4" t="str">
        <f>CONCATENATE(Table43[[#This Row],[kode  2 Digit                (hrf+No)]],Table43[[#This Row],[kode  2 Digit                (Nomor)]],Table43[[#This Row],[kode  1 Digit                (Nomor)]])</f>
        <v>F4032</v>
      </c>
      <c r="L21" s="4" t="str">
        <f>IF(AG21="",CONCATENATE(Q21,S21,U21,W21,Y21,AA21,AC21,AE21,Table43[[#This Row],[Tanda Kode Revisi]]),CONCATENATE(Q21,S21,U21,W21,Y21,AA21,AC21,AG21))</f>
        <v>F4032001007510</v>
      </c>
      <c r="M21" s="11">
        <f t="shared" si="0"/>
        <v>14</v>
      </c>
      <c r="N21" s="14" t="str">
        <f>IF(AF21&lt;&gt;"",TRIM(UPPER(CONCATENATE(P21," ",R21," ",T21," ",V21," ",X21," ",Z21," ","X"," ",Table43[[#This Row],[ISI/CTN]]," ",AF21," ",AB21," ",AD21," ",AH21))),TRIM(UPPER(CONCATENATE(P21," ",R21," ",T21," ",V21," ",X21," ",Z21," ","X"," ",Table43[[#This Row],[ISI/CTN]]," ",AB21," ",AD21," ",AH21))))</f>
        <v>GRDN OF NA EEM SABUN MIDNIGHT GRDN 75G X 24 PACK</v>
      </c>
      <c r="O21" s="11">
        <f t="shared" si="1"/>
        <v>48</v>
      </c>
      <c r="Q21" s="7" t="s">
        <v>662</v>
      </c>
      <c r="R21" s="4" t="s">
        <v>777</v>
      </c>
      <c r="S21" s="48" t="s">
        <v>752</v>
      </c>
      <c r="T21" s="49" t="s">
        <v>665</v>
      </c>
      <c r="U21" s="7">
        <v>2</v>
      </c>
      <c r="V21" s="49"/>
      <c r="W21" s="48" t="s">
        <v>370</v>
      </c>
      <c r="X21" s="4" t="s">
        <v>781</v>
      </c>
      <c r="Y21" s="50" t="s">
        <v>749</v>
      </c>
      <c r="Z21" s="4" t="s">
        <v>769</v>
      </c>
      <c r="AA21" s="50" t="s">
        <v>764</v>
      </c>
      <c r="AB21" s="4" t="s">
        <v>736</v>
      </c>
      <c r="AC21" s="7">
        <v>1</v>
      </c>
      <c r="AE21" s="7">
        <v>0</v>
      </c>
      <c r="AI21" s="7" t="s">
        <v>179</v>
      </c>
      <c r="AJ21" s="7">
        <v>1</v>
      </c>
      <c r="AL21" s="38">
        <v>7090.2252252252247</v>
      </c>
      <c r="AM21" s="39">
        <f>Table43[[#This Row],[Harga Beli Pcs
(-PPN)]]*Table43[[#This Row],[ISI/CTN]]</f>
        <v>170165.40540540538</v>
      </c>
      <c r="AN21" s="39">
        <f>Table43[[#This Row],[Harga Beli Pcs
(-PPN)]]*1.11</f>
        <v>7870.15</v>
      </c>
      <c r="AO21" s="39">
        <f>Table43[[#This Row],[Harga Beli Krt
(- PPN)]]*1.11</f>
        <v>188883.6</v>
      </c>
      <c r="AP21" s="39">
        <v>7657.6576576576563</v>
      </c>
      <c r="AQ21" s="39">
        <f>Table43[[#This Row],[Harga Jual Pcs GT
(-PPN)]]*Table43[[#This Row],[ISI/CTN]]</f>
        <v>183783.78378378376</v>
      </c>
      <c r="AR21" s="39">
        <f>Table43[[#This Row],[Harga Jual Pcs GT
(-PPN)]]*1.11</f>
        <v>8500</v>
      </c>
      <c r="AS21" s="39">
        <f>Table43[[#This Row],[Harga Jual Krt GT
(- PPN)]]*1.11</f>
        <v>204000</v>
      </c>
      <c r="AT21" s="39"/>
      <c r="AU21" s="39">
        <f>Table43[[#This Row],[Harga Jual Pcs MT
(-PPN)]]*Table43[[#This Row],[ISI/CTN]]</f>
        <v>0</v>
      </c>
      <c r="AV21" s="39">
        <f>Table43[[#This Row],[Harga Jual Pcs MT
(-PPN)]]*1.11</f>
        <v>0</v>
      </c>
      <c r="AW21" s="39">
        <f>Table43[[#This Row],[Harga Jual Pcs MT
(+PPN)]]*Table43[[#This Row],[ISI/CTN]]</f>
        <v>0</v>
      </c>
      <c r="AX21" s="47">
        <f>IFERROR((Table43[[#This Row],[Harga Jual Pcs GT
(-PPN)]]-Table43[[#This Row],[Harga Beli Pcs
(-PPN)]])/Table43[[#This Row],[Harga Jual Pcs GT
(-PPN)]],0)</f>
        <v>7.4099999999999902E-2</v>
      </c>
      <c r="AY21" s="51">
        <v>45848</v>
      </c>
      <c r="AZ21" s="7"/>
      <c r="BA21" s="7" t="str">
        <f ca="1">IF(TODAY()-Table43[[#This Row],[Efektif
Pembuatan]]&gt;60,"Lama","Baru")</f>
        <v>Lama</v>
      </c>
      <c r="BB21" s="7" t="str">
        <f ca="1">IF(TODAY()-Table43[[#This Row],[Efektif Naik Harga]]&lt;30,"Naik","Sama")</f>
        <v>Sama</v>
      </c>
      <c r="BC21" s="7" t="s">
        <v>185</v>
      </c>
      <c r="BD21" s="7" t="str">
        <f>IF(Table43[[#This Row],[Kode BARANG Win2]]&lt;&gt;"","IDR","")</f>
        <v>IDR</v>
      </c>
      <c r="BE21" s="7" t="str">
        <f>CONCATENATE(Table43[[#This Row],[kode  1 Digit
(Nomor)]],Table43[[#This Row],[kode  4 Digit                (Nomor)]])</f>
        <v>10075</v>
      </c>
      <c r="BF21" s="7" t="str">
        <f>Table43[[#This Row],[Nama            Gramasi atau Jumlah Pack per CTN]]</f>
        <v>75G</v>
      </c>
      <c r="BG21" s="7" t="s">
        <v>1060</v>
      </c>
      <c r="BH21" s="7" t="s">
        <v>377</v>
      </c>
      <c r="BI21" s="4" t="str">
        <f>IF(Table43[[#This Row],[SATUAN Fix Win]]&lt;&gt;"","KRT")</f>
        <v>KRT</v>
      </c>
      <c r="BJ21" s="4" t="str">
        <f>IF(Table43[[#This Row],[SATUAN Fix Win]]&lt;&gt;"","GD01")</f>
        <v>GD01</v>
      </c>
      <c r="BK21" s="4">
        <f>IF(Table43[[#This Row],[SATUAN Fix Win]]&lt;&gt;"",11611)</f>
        <v>11611</v>
      </c>
      <c r="BL21" s="4">
        <f>IF(Table43[[#This Row],[SATUAN Fix Win]]&lt;&gt;"",11612)</f>
        <v>11612</v>
      </c>
      <c r="BM21" s="52" t="s">
        <v>378</v>
      </c>
      <c r="BN21" s="4">
        <f>IF(Table43[[#This Row],[SATUAN Fix Win]]&lt;&gt;"",1)</f>
        <v>1</v>
      </c>
      <c r="BO21" s="4" t="s">
        <v>637</v>
      </c>
    </row>
    <row r="22" spans="1:70">
      <c r="A22" s="4" t="str">
        <f>CONCATENATE(Table43[[#This Row],[Kode BARANG Win2]],Table43[[#This Row],[No. Urut
Item Sama]])</f>
        <v>F40320010075201</v>
      </c>
      <c r="B22" s="7">
        <v>1</v>
      </c>
      <c r="C22" s="4">
        <v>16</v>
      </c>
      <c r="D22" s="27" t="s">
        <v>388</v>
      </c>
      <c r="E22" s="27" t="s">
        <v>627</v>
      </c>
      <c r="F22" s="27" t="s">
        <v>509</v>
      </c>
      <c r="G22" s="27">
        <v>72</v>
      </c>
      <c r="H22" s="54">
        <v>8992946533907</v>
      </c>
      <c r="I22" s="27" t="str">
        <f>Table43[[#This Row],[Nama Jenis Kemasan]]</f>
        <v>PCS</v>
      </c>
      <c r="J22" s="4" t="str">
        <f>TRIM(CONCATENATE(Table43[[#This Row],[Nama            KLP]]," ",Table43[[#This Row],[Nama            Sub KLP]]))</f>
        <v>GRDN OF NA EEM SABUN</v>
      </c>
      <c r="K22" s="4" t="str">
        <f>CONCATENATE(Table43[[#This Row],[kode  2 Digit                (hrf+No)]],Table43[[#This Row],[kode  2 Digit                (Nomor)]],Table43[[#This Row],[kode  1 Digit                (Nomor)]])</f>
        <v>F4032</v>
      </c>
      <c r="L22" s="4" t="str">
        <f>IF(AG22="",CONCATENATE(Q22,S22,U22,W22,Y22,AA22,AC22,AE22,Table43[[#This Row],[Tanda Kode Revisi]]),CONCATENATE(Q22,S22,U22,W22,Y22,AA22,AC22,AG22))</f>
        <v>F4032001007520</v>
      </c>
      <c r="M22" s="11">
        <f t="shared" si="0"/>
        <v>14</v>
      </c>
      <c r="N22" s="14" t="str">
        <f>IF(AF22&lt;&gt;"",TRIM(UPPER(CONCATENATE(P22," ",R22," ",T22," ",V22," ",X22," ",Z22," ","X"," ",Table43[[#This Row],[ISI/CTN]]," ",AF22," ",AB22," ",AD22," ",AH22))),TRIM(UPPER(CONCATENATE(P22," ",R22," ",T22," ",V22," ",X22," ",Z22," ","X"," ",Table43[[#This Row],[ISI/CTN]]," ",AB22," ",AD22," ",AH22))))</f>
        <v>GRDN OF NA EEM SABUN MIDNIGHT GRDN 75G X 72 PCS</v>
      </c>
      <c r="O22" s="11">
        <f t="shared" si="1"/>
        <v>47</v>
      </c>
      <c r="Q22" s="7" t="s">
        <v>662</v>
      </c>
      <c r="R22" s="4" t="s">
        <v>777</v>
      </c>
      <c r="S22" s="48" t="s">
        <v>752</v>
      </c>
      <c r="T22" s="49" t="s">
        <v>665</v>
      </c>
      <c r="U22" s="7">
        <v>2</v>
      </c>
      <c r="V22" s="49"/>
      <c r="W22" s="48" t="s">
        <v>370</v>
      </c>
      <c r="X22" s="4" t="s">
        <v>781</v>
      </c>
      <c r="Y22" s="50" t="s">
        <v>749</v>
      </c>
      <c r="Z22" s="4" t="s">
        <v>769</v>
      </c>
      <c r="AA22" s="50" t="s">
        <v>764</v>
      </c>
      <c r="AB22" s="4" t="s">
        <v>187</v>
      </c>
      <c r="AC22" s="7">
        <v>2</v>
      </c>
      <c r="AE22" s="7">
        <v>0</v>
      </c>
      <c r="AI22" s="7" t="s">
        <v>179</v>
      </c>
      <c r="AJ22" s="7">
        <v>1</v>
      </c>
      <c r="AL22" s="38">
        <v>2460.7252252252251</v>
      </c>
      <c r="AM22" s="39">
        <f>Table43[[#This Row],[Harga Beli Pcs
(-PPN)]]*Table43[[#This Row],[ISI/CTN]]</f>
        <v>177172.21621621621</v>
      </c>
      <c r="AN22" s="39">
        <f>Table43[[#This Row],[Harga Beli Pcs
(-PPN)]]*1.11</f>
        <v>2731.4050000000002</v>
      </c>
      <c r="AO22" s="39">
        <f>Table43[[#This Row],[Harga Beli Krt
(- PPN)]]*1.11</f>
        <v>196661.16</v>
      </c>
      <c r="AP22" s="39">
        <v>2657.6576576576572</v>
      </c>
      <c r="AQ22" s="39">
        <f>Table43[[#This Row],[Harga Jual Pcs GT
(-PPN)]]*Table43[[#This Row],[ISI/CTN]]</f>
        <v>191351.3513513513</v>
      </c>
      <c r="AR22" s="39">
        <f>Table43[[#This Row],[Harga Jual Pcs GT
(-PPN)]]*1.11</f>
        <v>2949.9999999999995</v>
      </c>
      <c r="AS22" s="39">
        <f>Table43[[#This Row],[Harga Jual Krt GT
(- PPN)]]*1.11</f>
        <v>212399.99999999997</v>
      </c>
      <c r="AT22" s="39"/>
      <c r="AU22" s="39">
        <f>Table43[[#This Row],[Harga Jual Pcs MT
(-PPN)]]*Table43[[#This Row],[ISI/CTN]]</f>
        <v>0</v>
      </c>
      <c r="AV22" s="39">
        <f>Table43[[#This Row],[Harga Jual Pcs MT
(-PPN)]]*1.11</f>
        <v>0</v>
      </c>
      <c r="AW22" s="39">
        <f>Table43[[#This Row],[Harga Jual Pcs MT
(+PPN)]]*Table43[[#This Row],[ISI/CTN]]</f>
        <v>0</v>
      </c>
      <c r="AX22" s="47">
        <f>IFERROR((Table43[[#This Row],[Harga Jual Pcs GT
(-PPN)]]-Table43[[#This Row],[Harga Beli Pcs
(-PPN)]])/Table43[[#This Row],[Harga Jual Pcs GT
(-PPN)]],0)</f>
        <v>7.4099999999999874E-2</v>
      </c>
      <c r="AY22" s="51">
        <v>45848</v>
      </c>
      <c r="AZ22" s="7"/>
      <c r="BA22" s="7" t="str">
        <f ca="1">IF(TODAY()-Table43[[#This Row],[Efektif
Pembuatan]]&gt;60,"Lama","Baru")</f>
        <v>Lama</v>
      </c>
      <c r="BB22" s="7" t="str">
        <f ca="1">IF(TODAY()-Table43[[#This Row],[Efektif Naik Harga]]&lt;30,"Naik","Sama")</f>
        <v>Sama</v>
      </c>
      <c r="BC22" s="7" t="s">
        <v>185</v>
      </c>
      <c r="BD22" s="7" t="str">
        <f>IF(Table43[[#This Row],[Kode BARANG Win2]]&lt;&gt;"","IDR","")</f>
        <v>IDR</v>
      </c>
      <c r="BE22" s="7" t="str">
        <f>CONCATENATE(Table43[[#This Row],[kode  1 Digit
(Nomor)]],Table43[[#This Row],[kode  4 Digit                (Nomor)]])</f>
        <v>10075</v>
      </c>
      <c r="BF22" s="7" t="str">
        <f>Table43[[#This Row],[Nama            Gramasi atau Jumlah Pack per CTN]]</f>
        <v>75G</v>
      </c>
      <c r="BG22" s="7" t="s">
        <v>1060</v>
      </c>
      <c r="BH22" s="7" t="s">
        <v>377</v>
      </c>
      <c r="BI22" s="4" t="str">
        <f>IF(Table43[[#This Row],[SATUAN Fix Win]]&lt;&gt;"","KRT")</f>
        <v>KRT</v>
      </c>
      <c r="BJ22" s="4" t="str">
        <f>IF(Table43[[#This Row],[SATUAN Fix Win]]&lt;&gt;"","GD01")</f>
        <v>GD01</v>
      </c>
      <c r="BK22" s="4">
        <f>IF(Table43[[#This Row],[SATUAN Fix Win]]&lt;&gt;"",11611)</f>
        <v>11611</v>
      </c>
      <c r="BL22" s="4">
        <f>IF(Table43[[#This Row],[SATUAN Fix Win]]&lt;&gt;"",11612)</f>
        <v>11612</v>
      </c>
      <c r="BM22" s="52" t="s">
        <v>378</v>
      </c>
      <c r="BN22" s="4">
        <f>IF(Table43[[#This Row],[SATUAN Fix Win]]&lt;&gt;"",1)</f>
        <v>1</v>
      </c>
      <c r="BO22" s="4" t="s">
        <v>637</v>
      </c>
    </row>
    <row r="23" spans="1:70">
      <c r="A23" s="4" t="str">
        <f>CONCATENATE(Table43[[#This Row],[Kode BARANG Win2]],Table43[[#This Row],[No. Urut
Item Sama]])</f>
        <v>F40320020075101</v>
      </c>
      <c r="B23" s="7">
        <v>1</v>
      </c>
      <c r="C23" s="4">
        <v>17</v>
      </c>
      <c r="D23" s="27" t="s">
        <v>391</v>
      </c>
      <c r="E23" s="27" t="s">
        <v>627</v>
      </c>
      <c r="F23" s="27" t="s">
        <v>512</v>
      </c>
      <c r="G23" s="27">
        <v>24</v>
      </c>
      <c r="H23" s="54">
        <v>8992946534416</v>
      </c>
      <c r="I23" s="27" t="str">
        <f>Table43[[#This Row],[Nama Jenis Kemasan]]</f>
        <v>PACK</v>
      </c>
      <c r="J23" s="4" t="str">
        <f>TRIM(CONCATENATE(Table43[[#This Row],[Nama            KLP]]," ",Table43[[#This Row],[Nama            Sub KLP]]))</f>
        <v>GRDN OF NA EEM SABUN</v>
      </c>
      <c r="K23" s="4" t="str">
        <f>CONCATENATE(Table43[[#This Row],[kode  2 Digit                (hrf+No)]],Table43[[#This Row],[kode  2 Digit                (Nomor)]],Table43[[#This Row],[kode  1 Digit                (Nomor)]])</f>
        <v>F4032</v>
      </c>
      <c r="L23" s="4" t="str">
        <f>IF(AG23="",CONCATENATE(Q23,S23,U23,W23,Y23,AA23,AC23,AE23,Table43[[#This Row],[Tanda Kode Revisi]]),CONCATENATE(Q23,S23,U23,W23,Y23,AA23,AC23,AG23))</f>
        <v>F4032002007510</v>
      </c>
      <c r="M23" s="11">
        <f t="shared" si="0"/>
        <v>14</v>
      </c>
      <c r="N23" s="14" t="str">
        <f>IF(AF23&lt;&gt;"",TRIM(UPPER(CONCATENATE(P23," ",R23," ",T23," ",V23," ",X23," ",Z23," ","X"," ",Table43[[#This Row],[ISI/CTN]]," ",AF23," ",AB23," ",AD23," ",AH23))),TRIM(UPPER(CONCATENATE(P23," ",R23," ",T23," ",V23," ",X23," ",Z23," ","X"," ",Table43[[#This Row],[ISI/CTN]]," ",AB23," ",AD23," ",AH23))))</f>
        <v>GRDN OF NA EEM SABUN ROYAL JASMINE 75G X 24 PACK</v>
      </c>
      <c r="O23" s="11">
        <f t="shared" si="1"/>
        <v>48</v>
      </c>
      <c r="Q23" s="7" t="s">
        <v>662</v>
      </c>
      <c r="R23" s="4" t="s">
        <v>777</v>
      </c>
      <c r="S23" s="48" t="s">
        <v>752</v>
      </c>
      <c r="T23" s="49" t="s">
        <v>665</v>
      </c>
      <c r="U23" s="7">
        <v>2</v>
      </c>
      <c r="V23" s="49"/>
      <c r="W23" s="48" t="s">
        <v>370</v>
      </c>
      <c r="X23" s="4" t="s">
        <v>676</v>
      </c>
      <c r="Y23" s="50" t="s">
        <v>751</v>
      </c>
      <c r="Z23" s="4" t="s">
        <v>769</v>
      </c>
      <c r="AA23" s="50" t="s">
        <v>764</v>
      </c>
      <c r="AB23" s="4" t="s">
        <v>736</v>
      </c>
      <c r="AC23" s="7">
        <v>1</v>
      </c>
      <c r="AE23" s="7">
        <v>0</v>
      </c>
      <c r="AI23" s="7" t="s">
        <v>179</v>
      </c>
      <c r="AJ23" s="7">
        <v>1</v>
      </c>
      <c r="AL23" s="38">
        <v>7090.2252252252247</v>
      </c>
      <c r="AM23" s="39">
        <f>Table43[[#This Row],[Harga Beli Pcs
(-PPN)]]*Table43[[#This Row],[ISI/CTN]]</f>
        <v>170165.40540540538</v>
      </c>
      <c r="AN23" s="39">
        <f>Table43[[#This Row],[Harga Beli Pcs
(-PPN)]]*1.11</f>
        <v>7870.15</v>
      </c>
      <c r="AO23" s="39">
        <f>Table43[[#This Row],[Harga Beli Krt
(- PPN)]]*1.11</f>
        <v>188883.6</v>
      </c>
      <c r="AP23" s="39">
        <v>7657.6576576576563</v>
      </c>
      <c r="AQ23" s="39">
        <f>Table43[[#This Row],[Harga Jual Pcs GT
(-PPN)]]*Table43[[#This Row],[ISI/CTN]]</f>
        <v>183783.78378378376</v>
      </c>
      <c r="AR23" s="39">
        <f>Table43[[#This Row],[Harga Jual Pcs GT
(-PPN)]]*1.11</f>
        <v>8500</v>
      </c>
      <c r="AS23" s="39">
        <f>Table43[[#This Row],[Harga Jual Krt GT
(- PPN)]]*1.11</f>
        <v>204000</v>
      </c>
      <c r="AT23" s="39"/>
      <c r="AU23" s="39">
        <f>Table43[[#This Row],[Harga Jual Pcs MT
(-PPN)]]*Table43[[#This Row],[ISI/CTN]]</f>
        <v>0</v>
      </c>
      <c r="AV23" s="39">
        <f>Table43[[#This Row],[Harga Jual Pcs MT
(-PPN)]]*1.11</f>
        <v>0</v>
      </c>
      <c r="AW23" s="39">
        <f>Table43[[#This Row],[Harga Jual Pcs MT
(+PPN)]]*Table43[[#This Row],[ISI/CTN]]</f>
        <v>0</v>
      </c>
      <c r="AX23" s="47">
        <f>IFERROR((Table43[[#This Row],[Harga Jual Pcs GT
(-PPN)]]-Table43[[#This Row],[Harga Beli Pcs
(-PPN)]])/Table43[[#This Row],[Harga Jual Pcs GT
(-PPN)]],0)</f>
        <v>7.4099999999999902E-2</v>
      </c>
      <c r="AY23" s="51">
        <v>45848</v>
      </c>
      <c r="AZ23" s="7"/>
      <c r="BA23" s="7" t="str">
        <f ca="1">IF(TODAY()-Table43[[#This Row],[Efektif
Pembuatan]]&gt;60,"Lama","Baru")</f>
        <v>Lama</v>
      </c>
      <c r="BB23" s="7" t="str">
        <f ca="1">IF(TODAY()-Table43[[#This Row],[Efektif Naik Harga]]&lt;30,"Naik","Sama")</f>
        <v>Sama</v>
      </c>
      <c r="BC23" s="7" t="s">
        <v>185</v>
      </c>
      <c r="BD23" s="7" t="str">
        <f>IF(Table43[[#This Row],[Kode BARANG Win2]]&lt;&gt;"","IDR","")</f>
        <v>IDR</v>
      </c>
      <c r="BE23" s="7" t="str">
        <f>CONCATENATE(Table43[[#This Row],[kode  1 Digit
(Nomor)]],Table43[[#This Row],[kode  4 Digit                (Nomor)]])</f>
        <v>10075</v>
      </c>
      <c r="BF23" s="7" t="str">
        <f>Table43[[#This Row],[Nama            Gramasi atau Jumlah Pack per CTN]]</f>
        <v>75G</v>
      </c>
      <c r="BG23" s="7" t="s">
        <v>1060</v>
      </c>
      <c r="BH23" s="7" t="s">
        <v>377</v>
      </c>
      <c r="BI23" s="4" t="str">
        <f>IF(Table43[[#This Row],[SATUAN Fix Win]]&lt;&gt;"","KRT")</f>
        <v>KRT</v>
      </c>
      <c r="BJ23" s="4" t="str">
        <f>IF(Table43[[#This Row],[SATUAN Fix Win]]&lt;&gt;"","GD01")</f>
        <v>GD01</v>
      </c>
      <c r="BK23" s="4">
        <f>IF(Table43[[#This Row],[SATUAN Fix Win]]&lt;&gt;"",11611)</f>
        <v>11611</v>
      </c>
      <c r="BL23" s="4">
        <f>IF(Table43[[#This Row],[SATUAN Fix Win]]&lt;&gt;"",11612)</f>
        <v>11612</v>
      </c>
      <c r="BM23" s="52" t="s">
        <v>378</v>
      </c>
      <c r="BN23" s="4">
        <f>IF(Table43[[#This Row],[SATUAN Fix Win]]&lt;&gt;"",1)</f>
        <v>1</v>
      </c>
      <c r="BO23" s="4" t="s">
        <v>637</v>
      </c>
    </row>
    <row r="24" spans="1:70">
      <c r="A24" s="4" t="str">
        <f>CONCATENATE(Table43[[#This Row],[Kode BARANG Win2]],Table43[[#This Row],[No. Urut
Item Sama]])</f>
        <v>F40320020075201</v>
      </c>
      <c r="B24" s="7">
        <v>1</v>
      </c>
      <c r="C24" s="4">
        <v>18</v>
      </c>
      <c r="D24" s="27" t="s">
        <v>389</v>
      </c>
      <c r="E24" s="27" t="s">
        <v>627</v>
      </c>
      <c r="F24" s="27" t="s">
        <v>510</v>
      </c>
      <c r="G24" s="27">
        <v>72</v>
      </c>
      <c r="H24" s="54" t="s">
        <v>641</v>
      </c>
      <c r="I24" s="27" t="str">
        <f>Table43[[#This Row],[Nama Jenis Kemasan]]</f>
        <v>PCS</v>
      </c>
      <c r="J24" s="4" t="str">
        <f>TRIM(CONCATENATE(Table43[[#This Row],[Nama            KLP]]," ",Table43[[#This Row],[Nama            Sub KLP]]))</f>
        <v>GRDN OF NA EEM SABUN</v>
      </c>
      <c r="K24" s="4" t="str">
        <f>CONCATENATE(Table43[[#This Row],[kode  2 Digit                (hrf+No)]],Table43[[#This Row],[kode  2 Digit                (Nomor)]],Table43[[#This Row],[kode  1 Digit                (Nomor)]])</f>
        <v>F4032</v>
      </c>
      <c r="L24" s="4" t="str">
        <f>IF(AG24="",CONCATENATE(Q24,S24,U24,W24,Y24,AA24,AC24,AE24,Table43[[#This Row],[Tanda Kode Revisi]]),CONCATENATE(Q24,S24,U24,W24,Y24,AA24,AC24,AG24))</f>
        <v>F4032002007520</v>
      </c>
      <c r="M24" s="11">
        <f t="shared" si="0"/>
        <v>14</v>
      </c>
      <c r="N24" s="14" t="str">
        <f>IF(AF24&lt;&gt;"",TRIM(UPPER(CONCATENATE(P24," ",R24," ",T24," ",V24," ",X24," ",Z24," ","X"," ",Table43[[#This Row],[ISI/CTN]]," ",AF24," ",AB24," ",AD24," ",AH24))),TRIM(UPPER(CONCATENATE(P24," ",R24," ",T24," ",V24," ",X24," ",Z24," ","X"," ",Table43[[#This Row],[ISI/CTN]]," ",AB24," ",AD24," ",AH24))))</f>
        <v>GRDN OF NA EEM SABUN ROYAL JASMINE 75G X 72 PCS</v>
      </c>
      <c r="O24" s="11">
        <f t="shared" si="1"/>
        <v>47</v>
      </c>
      <c r="Q24" s="7" t="s">
        <v>662</v>
      </c>
      <c r="R24" s="4" t="s">
        <v>777</v>
      </c>
      <c r="S24" s="48" t="s">
        <v>752</v>
      </c>
      <c r="T24" s="49" t="s">
        <v>665</v>
      </c>
      <c r="U24" s="7">
        <v>2</v>
      </c>
      <c r="V24" s="49"/>
      <c r="W24" s="48" t="s">
        <v>370</v>
      </c>
      <c r="X24" s="4" t="s">
        <v>676</v>
      </c>
      <c r="Y24" s="50" t="s">
        <v>751</v>
      </c>
      <c r="Z24" s="4" t="s">
        <v>769</v>
      </c>
      <c r="AA24" s="50" t="s">
        <v>764</v>
      </c>
      <c r="AB24" s="4" t="s">
        <v>187</v>
      </c>
      <c r="AC24" s="7">
        <v>2</v>
      </c>
      <c r="AE24" s="7">
        <v>0</v>
      </c>
      <c r="AI24" s="7" t="s">
        <v>179</v>
      </c>
      <c r="AJ24" s="7">
        <v>1</v>
      </c>
      <c r="AL24" s="38">
        <v>2460.7252252252251</v>
      </c>
      <c r="AM24" s="39">
        <f>Table43[[#This Row],[Harga Beli Pcs
(-PPN)]]*Table43[[#This Row],[ISI/CTN]]</f>
        <v>177172.21621621621</v>
      </c>
      <c r="AN24" s="39">
        <f>Table43[[#This Row],[Harga Beli Pcs
(-PPN)]]*1.11</f>
        <v>2731.4050000000002</v>
      </c>
      <c r="AO24" s="39">
        <f>Table43[[#This Row],[Harga Beli Krt
(- PPN)]]*1.11</f>
        <v>196661.16</v>
      </c>
      <c r="AP24" s="39">
        <v>2657.6576576576572</v>
      </c>
      <c r="AQ24" s="39">
        <f>Table43[[#This Row],[Harga Jual Pcs GT
(-PPN)]]*Table43[[#This Row],[ISI/CTN]]</f>
        <v>191351.3513513513</v>
      </c>
      <c r="AR24" s="39">
        <f>Table43[[#This Row],[Harga Jual Pcs GT
(-PPN)]]*1.11</f>
        <v>2949.9999999999995</v>
      </c>
      <c r="AS24" s="39">
        <f>Table43[[#This Row],[Harga Jual Krt GT
(- PPN)]]*1.11</f>
        <v>212399.99999999997</v>
      </c>
      <c r="AT24" s="39"/>
      <c r="AU24" s="39">
        <f>Table43[[#This Row],[Harga Jual Pcs MT
(-PPN)]]*Table43[[#This Row],[ISI/CTN]]</f>
        <v>0</v>
      </c>
      <c r="AV24" s="39">
        <f>Table43[[#This Row],[Harga Jual Pcs MT
(-PPN)]]*1.11</f>
        <v>0</v>
      </c>
      <c r="AW24" s="39">
        <f>Table43[[#This Row],[Harga Jual Pcs MT
(+PPN)]]*Table43[[#This Row],[ISI/CTN]]</f>
        <v>0</v>
      </c>
      <c r="AX24" s="47">
        <f>IFERROR((Table43[[#This Row],[Harga Jual Pcs GT
(-PPN)]]-Table43[[#This Row],[Harga Beli Pcs
(-PPN)]])/Table43[[#This Row],[Harga Jual Pcs GT
(-PPN)]],0)</f>
        <v>7.4099999999999874E-2</v>
      </c>
      <c r="AY24" s="51">
        <v>45848</v>
      </c>
      <c r="AZ24" s="7"/>
      <c r="BA24" s="7" t="str">
        <f ca="1">IF(TODAY()-Table43[[#This Row],[Efektif
Pembuatan]]&gt;60,"Lama","Baru")</f>
        <v>Lama</v>
      </c>
      <c r="BB24" s="7" t="str">
        <f ca="1">IF(TODAY()-Table43[[#This Row],[Efektif Naik Harga]]&lt;30,"Naik","Sama")</f>
        <v>Sama</v>
      </c>
      <c r="BC24" s="7" t="s">
        <v>185</v>
      </c>
      <c r="BD24" s="7" t="str">
        <f>IF(Table43[[#This Row],[Kode BARANG Win2]]&lt;&gt;"","IDR","")</f>
        <v>IDR</v>
      </c>
      <c r="BE24" s="7" t="str">
        <f>CONCATENATE(Table43[[#This Row],[kode  1 Digit
(Nomor)]],Table43[[#This Row],[kode  4 Digit                (Nomor)]])</f>
        <v>10075</v>
      </c>
      <c r="BF24" s="7" t="str">
        <f>Table43[[#This Row],[Nama            Gramasi atau Jumlah Pack per CTN]]</f>
        <v>75G</v>
      </c>
      <c r="BG24" s="7" t="s">
        <v>1060</v>
      </c>
      <c r="BH24" s="7" t="s">
        <v>377</v>
      </c>
      <c r="BI24" s="4" t="str">
        <f>IF(Table43[[#This Row],[SATUAN Fix Win]]&lt;&gt;"","KRT")</f>
        <v>KRT</v>
      </c>
      <c r="BJ24" s="4" t="str">
        <f>IF(Table43[[#This Row],[SATUAN Fix Win]]&lt;&gt;"","GD01")</f>
        <v>GD01</v>
      </c>
      <c r="BK24" s="4">
        <f>IF(Table43[[#This Row],[SATUAN Fix Win]]&lt;&gt;"",11611)</f>
        <v>11611</v>
      </c>
      <c r="BL24" s="4">
        <f>IF(Table43[[#This Row],[SATUAN Fix Win]]&lt;&gt;"",11612)</f>
        <v>11612</v>
      </c>
      <c r="BM24" s="52" t="s">
        <v>378</v>
      </c>
      <c r="BN24" s="4">
        <f>IF(Table43[[#This Row],[SATUAN Fix Win]]&lt;&gt;"",1)</f>
        <v>1</v>
      </c>
      <c r="BO24" s="4" t="s">
        <v>637</v>
      </c>
    </row>
    <row r="25" spans="1:70">
      <c r="A25" s="4" t="str">
        <f>CONCATENATE(Table43[[#This Row],[Kode BARANG Win2]],Table43[[#This Row],[No. Urut
Item Sama]])</f>
        <v>F40320030075101</v>
      </c>
      <c r="B25" s="7">
        <v>1</v>
      </c>
      <c r="C25" s="4">
        <v>19</v>
      </c>
      <c r="D25" s="27" t="s">
        <v>390</v>
      </c>
      <c r="E25" s="27" t="s">
        <v>627</v>
      </c>
      <c r="F25" s="27" t="s">
        <v>511</v>
      </c>
      <c r="G25" s="27">
        <v>24</v>
      </c>
      <c r="H25" s="54">
        <v>8992946534409</v>
      </c>
      <c r="I25" s="27" t="str">
        <f>Table43[[#This Row],[Nama Jenis Kemasan]]</f>
        <v>PACK</v>
      </c>
      <c r="J25" s="4" t="str">
        <f>TRIM(CONCATENATE(Table43[[#This Row],[Nama            KLP]]," ",Table43[[#This Row],[Nama            Sub KLP]]))</f>
        <v>GRDN OF NA EEM SABUN</v>
      </c>
      <c r="K25" s="4" t="str">
        <f>CONCATENATE(Table43[[#This Row],[kode  2 Digit                (hrf+No)]],Table43[[#This Row],[kode  2 Digit                (Nomor)]],Table43[[#This Row],[kode  1 Digit                (Nomor)]])</f>
        <v>F4032</v>
      </c>
      <c r="L25" s="4" t="str">
        <f>IF(AG25="",CONCATENATE(Q25,S25,U25,W25,Y25,AA25,AC25,AE25,Table43[[#This Row],[Tanda Kode Revisi]]),CONCATENATE(Q25,S25,U25,W25,Y25,AA25,AC25,AG25))</f>
        <v>F4032003007510</v>
      </c>
      <c r="M25" s="11">
        <f t="shared" si="0"/>
        <v>14</v>
      </c>
      <c r="N25" s="14" t="str">
        <f>IF(AF25&lt;&gt;"",TRIM(UPPER(CONCATENATE(P25," ",R25," ",T25," ",V25," ",X25," ",Z25," ","X"," ",Table43[[#This Row],[ISI/CTN]]," ",AF25," ",AB25," ",AD25," ",AH25))),TRIM(UPPER(CONCATENATE(P25," ",R25," ",T25," ",V25," ",X25," ",Z25," ","X"," ",Table43[[#This Row],[ISI/CTN]]," ",AB25," ",AD25," ",AH25))))</f>
        <v>GRDN OF NA EEM SABUN TAIFI ROSE 75G X 24 PACK</v>
      </c>
      <c r="O25" s="11">
        <f t="shared" si="1"/>
        <v>45</v>
      </c>
      <c r="Q25" s="7" t="s">
        <v>662</v>
      </c>
      <c r="R25" s="4" t="s">
        <v>777</v>
      </c>
      <c r="S25" s="48" t="s">
        <v>752</v>
      </c>
      <c r="T25" s="49" t="s">
        <v>665</v>
      </c>
      <c r="U25" s="7">
        <v>2</v>
      </c>
      <c r="V25" s="49"/>
      <c r="W25" s="48" t="s">
        <v>370</v>
      </c>
      <c r="X25" s="4" t="s">
        <v>674</v>
      </c>
      <c r="Y25" s="50" t="s">
        <v>752</v>
      </c>
      <c r="Z25" s="4" t="s">
        <v>769</v>
      </c>
      <c r="AA25" s="50" t="s">
        <v>764</v>
      </c>
      <c r="AB25" s="4" t="s">
        <v>736</v>
      </c>
      <c r="AC25" s="7">
        <v>1</v>
      </c>
      <c r="AE25" s="7">
        <v>0</v>
      </c>
      <c r="AI25" s="7" t="s">
        <v>179</v>
      </c>
      <c r="AJ25" s="7">
        <v>1</v>
      </c>
      <c r="AL25" s="38">
        <v>7090.2252252252247</v>
      </c>
      <c r="AM25" s="39">
        <f>Table43[[#This Row],[Harga Beli Pcs
(-PPN)]]*Table43[[#This Row],[ISI/CTN]]</f>
        <v>170165.40540540538</v>
      </c>
      <c r="AN25" s="39">
        <f>Table43[[#This Row],[Harga Beli Pcs
(-PPN)]]*1.11</f>
        <v>7870.15</v>
      </c>
      <c r="AO25" s="39">
        <f>Table43[[#This Row],[Harga Beli Krt
(- PPN)]]*1.11</f>
        <v>188883.6</v>
      </c>
      <c r="AP25" s="39">
        <v>7657.6576576576563</v>
      </c>
      <c r="AQ25" s="39">
        <f>Table43[[#This Row],[Harga Jual Pcs GT
(-PPN)]]*Table43[[#This Row],[ISI/CTN]]</f>
        <v>183783.78378378376</v>
      </c>
      <c r="AR25" s="39">
        <f>Table43[[#This Row],[Harga Jual Pcs GT
(-PPN)]]*1.11</f>
        <v>8500</v>
      </c>
      <c r="AS25" s="39">
        <f>Table43[[#This Row],[Harga Jual Krt GT
(- PPN)]]*1.11</f>
        <v>204000</v>
      </c>
      <c r="AT25" s="39"/>
      <c r="AU25" s="39">
        <f>Table43[[#This Row],[Harga Jual Pcs MT
(-PPN)]]*Table43[[#This Row],[ISI/CTN]]</f>
        <v>0</v>
      </c>
      <c r="AV25" s="39">
        <f>Table43[[#This Row],[Harga Jual Pcs MT
(-PPN)]]*1.11</f>
        <v>0</v>
      </c>
      <c r="AW25" s="39">
        <f>Table43[[#This Row],[Harga Jual Pcs MT
(+PPN)]]*Table43[[#This Row],[ISI/CTN]]</f>
        <v>0</v>
      </c>
      <c r="AX25" s="47">
        <f>IFERROR((Table43[[#This Row],[Harga Jual Pcs GT
(-PPN)]]-Table43[[#This Row],[Harga Beli Pcs
(-PPN)]])/Table43[[#This Row],[Harga Jual Pcs GT
(-PPN)]],0)</f>
        <v>7.4099999999999902E-2</v>
      </c>
      <c r="AY25" s="51">
        <v>45848</v>
      </c>
      <c r="AZ25" s="7"/>
      <c r="BA25" s="7" t="str">
        <f ca="1">IF(TODAY()-Table43[[#This Row],[Efektif
Pembuatan]]&gt;60,"Lama","Baru")</f>
        <v>Lama</v>
      </c>
      <c r="BB25" s="7" t="str">
        <f ca="1">IF(TODAY()-Table43[[#This Row],[Efektif Naik Harga]]&lt;30,"Naik","Sama")</f>
        <v>Sama</v>
      </c>
      <c r="BC25" s="7" t="s">
        <v>185</v>
      </c>
      <c r="BD25" s="7" t="str">
        <f>IF(Table43[[#This Row],[Kode BARANG Win2]]&lt;&gt;"","IDR","")</f>
        <v>IDR</v>
      </c>
      <c r="BE25" s="7" t="str">
        <f>CONCATENATE(Table43[[#This Row],[kode  1 Digit
(Nomor)]],Table43[[#This Row],[kode  4 Digit                (Nomor)]])</f>
        <v>10075</v>
      </c>
      <c r="BF25" s="7" t="str">
        <f>Table43[[#This Row],[Nama            Gramasi atau Jumlah Pack per CTN]]</f>
        <v>75G</v>
      </c>
      <c r="BG25" s="7" t="s">
        <v>1060</v>
      </c>
      <c r="BH25" s="7" t="s">
        <v>377</v>
      </c>
      <c r="BI25" s="4" t="str">
        <f>IF(Table43[[#This Row],[SATUAN Fix Win]]&lt;&gt;"","KRT")</f>
        <v>KRT</v>
      </c>
      <c r="BJ25" s="4" t="str">
        <f>IF(Table43[[#This Row],[SATUAN Fix Win]]&lt;&gt;"","GD01")</f>
        <v>GD01</v>
      </c>
      <c r="BK25" s="4">
        <f>IF(Table43[[#This Row],[SATUAN Fix Win]]&lt;&gt;"",11611)</f>
        <v>11611</v>
      </c>
      <c r="BL25" s="4">
        <f>IF(Table43[[#This Row],[SATUAN Fix Win]]&lt;&gt;"",11612)</f>
        <v>11612</v>
      </c>
      <c r="BM25" s="52" t="s">
        <v>378</v>
      </c>
      <c r="BN25" s="4">
        <f>IF(Table43[[#This Row],[SATUAN Fix Win]]&lt;&gt;"",1)</f>
        <v>1</v>
      </c>
      <c r="BO25" s="4" t="s">
        <v>637</v>
      </c>
    </row>
    <row r="26" spans="1:70">
      <c r="A26" s="4" t="str">
        <f>CONCATENATE(Table43[[#This Row],[Kode BARANG Win2]],Table43[[#This Row],[No. Urut
Item Sama]])</f>
        <v>F40320030075201</v>
      </c>
      <c r="B26" s="7">
        <v>1</v>
      </c>
      <c r="C26" s="4">
        <v>20</v>
      </c>
      <c r="D26" s="27" t="s">
        <v>387</v>
      </c>
      <c r="E26" s="27" t="s">
        <v>627</v>
      </c>
      <c r="F26" s="27" t="s">
        <v>508</v>
      </c>
      <c r="G26" s="27">
        <v>72</v>
      </c>
      <c r="H26" s="54">
        <v>8992946533901</v>
      </c>
      <c r="I26" s="27" t="str">
        <f>Table43[[#This Row],[Nama Jenis Kemasan]]</f>
        <v>PCS</v>
      </c>
      <c r="J26" s="4" t="str">
        <f>TRIM(CONCATENATE(Table43[[#This Row],[Nama            KLP]]," ",Table43[[#This Row],[Nama            Sub KLP]]))</f>
        <v>GRDN OF NA EEM SABUN</v>
      </c>
      <c r="K26" s="4" t="str">
        <f>CONCATENATE(Table43[[#This Row],[kode  2 Digit                (hrf+No)]],Table43[[#This Row],[kode  2 Digit                (Nomor)]],Table43[[#This Row],[kode  1 Digit                (Nomor)]])</f>
        <v>F4032</v>
      </c>
      <c r="L26" s="4" t="str">
        <f>IF(AG26="",CONCATENATE(Q26,S26,U26,W26,Y26,AA26,AC26,AE26,Table43[[#This Row],[Tanda Kode Revisi]]),CONCATENATE(Q26,S26,U26,W26,Y26,AA26,AC26,AG26))</f>
        <v>F4032003007520</v>
      </c>
      <c r="M26" s="11">
        <f t="shared" si="0"/>
        <v>14</v>
      </c>
      <c r="N26" s="14" t="str">
        <f>IF(AF26&lt;&gt;"",TRIM(UPPER(CONCATENATE(P26," ",R26," ",T26," ",V26," ",X26," ",Z26," ","X"," ",Table43[[#This Row],[ISI/CTN]]," ",AF26," ",AB26," ",AD26," ",AH26))),TRIM(UPPER(CONCATENATE(P26," ",R26," ",T26," ",V26," ",X26," ",Z26," ","X"," ",Table43[[#This Row],[ISI/CTN]]," ",AB26," ",AD26," ",AH26))))</f>
        <v>GRDN OF NA EEM SABUN TAIFI ROSE 75G X 72 PCS</v>
      </c>
      <c r="O26" s="11">
        <f t="shared" si="1"/>
        <v>44</v>
      </c>
      <c r="Q26" s="7" t="s">
        <v>662</v>
      </c>
      <c r="R26" s="4" t="s">
        <v>777</v>
      </c>
      <c r="S26" s="48" t="s">
        <v>752</v>
      </c>
      <c r="T26" s="49" t="s">
        <v>665</v>
      </c>
      <c r="U26" s="7">
        <v>2</v>
      </c>
      <c r="V26" s="49"/>
      <c r="W26" s="48" t="s">
        <v>370</v>
      </c>
      <c r="X26" s="4" t="s">
        <v>674</v>
      </c>
      <c r="Y26" s="50" t="s">
        <v>752</v>
      </c>
      <c r="Z26" s="4" t="s">
        <v>769</v>
      </c>
      <c r="AA26" s="50" t="s">
        <v>764</v>
      </c>
      <c r="AB26" s="4" t="s">
        <v>187</v>
      </c>
      <c r="AC26" s="7">
        <v>2</v>
      </c>
      <c r="AE26" s="7">
        <v>0</v>
      </c>
      <c r="AI26" s="7" t="s">
        <v>179</v>
      </c>
      <c r="AJ26" s="7">
        <v>1</v>
      </c>
      <c r="AL26" s="38">
        <v>2460.7252252252251</v>
      </c>
      <c r="AM26" s="39">
        <f>Table43[[#This Row],[Harga Beli Pcs
(-PPN)]]*Table43[[#This Row],[ISI/CTN]]</f>
        <v>177172.21621621621</v>
      </c>
      <c r="AN26" s="39">
        <f>Table43[[#This Row],[Harga Beli Pcs
(-PPN)]]*1.11</f>
        <v>2731.4050000000002</v>
      </c>
      <c r="AO26" s="39">
        <f>Table43[[#This Row],[Harga Beli Krt
(- PPN)]]*1.11</f>
        <v>196661.16</v>
      </c>
      <c r="AP26" s="39">
        <v>2657.6576576576572</v>
      </c>
      <c r="AQ26" s="39">
        <f>Table43[[#This Row],[Harga Jual Pcs GT
(-PPN)]]*Table43[[#This Row],[ISI/CTN]]</f>
        <v>191351.3513513513</v>
      </c>
      <c r="AR26" s="39">
        <f>Table43[[#This Row],[Harga Jual Pcs GT
(-PPN)]]*1.11</f>
        <v>2949.9999999999995</v>
      </c>
      <c r="AS26" s="39">
        <f>Table43[[#This Row],[Harga Jual Krt GT
(- PPN)]]*1.11</f>
        <v>212399.99999999997</v>
      </c>
      <c r="AT26" s="39"/>
      <c r="AU26" s="39">
        <f>Table43[[#This Row],[Harga Jual Pcs MT
(-PPN)]]*Table43[[#This Row],[ISI/CTN]]</f>
        <v>0</v>
      </c>
      <c r="AV26" s="39">
        <f>Table43[[#This Row],[Harga Jual Pcs MT
(-PPN)]]*1.11</f>
        <v>0</v>
      </c>
      <c r="AW26" s="39">
        <f>Table43[[#This Row],[Harga Jual Pcs MT
(+PPN)]]*Table43[[#This Row],[ISI/CTN]]</f>
        <v>0</v>
      </c>
      <c r="AX26" s="47">
        <f>IFERROR((Table43[[#This Row],[Harga Jual Pcs GT
(-PPN)]]-Table43[[#This Row],[Harga Beli Pcs
(-PPN)]])/Table43[[#This Row],[Harga Jual Pcs GT
(-PPN)]],0)</f>
        <v>7.4099999999999874E-2</v>
      </c>
      <c r="AY26" s="51">
        <v>45848</v>
      </c>
      <c r="AZ26" s="7"/>
      <c r="BA26" s="7" t="str">
        <f ca="1">IF(TODAY()-Table43[[#This Row],[Efektif
Pembuatan]]&gt;60,"Lama","Baru")</f>
        <v>Lama</v>
      </c>
      <c r="BB26" s="7" t="str">
        <f ca="1">IF(TODAY()-Table43[[#This Row],[Efektif Naik Harga]]&lt;30,"Naik","Sama")</f>
        <v>Sama</v>
      </c>
      <c r="BC26" s="7" t="s">
        <v>185</v>
      </c>
      <c r="BD26" s="7" t="str">
        <f>IF(Table43[[#This Row],[Kode BARANG Win2]]&lt;&gt;"","IDR","")</f>
        <v>IDR</v>
      </c>
      <c r="BE26" s="7" t="str">
        <f>CONCATENATE(Table43[[#This Row],[kode  1 Digit
(Nomor)]],Table43[[#This Row],[kode  4 Digit                (Nomor)]])</f>
        <v>10075</v>
      </c>
      <c r="BF26" s="7" t="str">
        <f>Table43[[#This Row],[Nama            Gramasi atau Jumlah Pack per CTN]]</f>
        <v>75G</v>
      </c>
      <c r="BG26" s="7" t="s">
        <v>1060</v>
      </c>
      <c r="BH26" s="7" t="s">
        <v>377</v>
      </c>
      <c r="BI26" s="4" t="str">
        <f>IF(Table43[[#This Row],[SATUAN Fix Win]]&lt;&gt;"","KRT")</f>
        <v>KRT</v>
      </c>
      <c r="BJ26" s="4" t="str">
        <f>IF(Table43[[#This Row],[SATUAN Fix Win]]&lt;&gt;"","GD01")</f>
        <v>GD01</v>
      </c>
      <c r="BK26" s="4">
        <f>IF(Table43[[#This Row],[SATUAN Fix Win]]&lt;&gt;"",11611)</f>
        <v>11611</v>
      </c>
      <c r="BL26" s="4">
        <f>IF(Table43[[#This Row],[SATUAN Fix Win]]&lt;&gt;"",11612)</f>
        <v>11612</v>
      </c>
      <c r="BM26" s="52" t="s">
        <v>378</v>
      </c>
      <c r="BN26" s="4">
        <f>IF(Table43[[#This Row],[SATUAN Fix Win]]&lt;&gt;"",1)</f>
        <v>1</v>
      </c>
      <c r="BO26" s="4" t="s">
        <v>637</v>
      </c>
    </row>
    <row r="27" spans="1:70">
      <c r="A27" s="4" t="str">
        <f>CONCATENATE(Table43[[#This Row],[Kode BARANG Win2]],Table43[[#This Row],[No. Urut
Item Sama]])</f>
        <v>F40410010200101</v>
      </c>
      <c r="B27" s="7">
        <v>1</v>
      </c>
      <c r="C27" s="4">
        <v>21</v>
      </c>
      <c r="D27" s="27" t="s">
        <v>486</v>
      </c>
      <c r="E27" s="27" t="s">
        <v>633</v>
      </c>
      <c r="F27" s="27" t="s">
        <v>607</v>
      </c>
      <c r="G27" s="27">
        <v>48</v>
      </c>
      <c r="H27" s="54">
        <v>8992946534584</v>
      </c>
      <c r="I27" s="27" t="str">
        <f>Table43[[#This Row],[Nama Jenis Kemasan]]</f>
        <v>BTL</v>
      </c>
      <c r="J27" s="4" t="str">
        <f>TRIM(CONCATENATE(Table43[[#This Row],[Nama            KLP]]," ",Table43[[#This Row],[Nama            Sub KLP]]))</f>
        <v>GRDN GLOW BODY LTN</v>
      </c>
      <c r="K27" s="4" t="str">
        <f>CONCATENATE(Table43[[#This Row],[kode  2 Digit                (hrf+No)]],Table43[[#This Row],[kode  2 Digit                (Nomor)]],Table43[[#This Row],[kode  1 Digit                (Nomor)]])</f>
        <v>F4041</v>
      </c>
      <c r="L27" s="4" t="str">
        <f>IF(AG27="",CONCATENATE(Q27,S27,U27,W27,Y27,AA27,AC27,AE27,Table43[[#This Row],[Tanda Kode Revisi]]),CONCATENATE(Q27,S27,U27,W27,Y27,AA27,AC27,AG27))</f>
        <v>F4041001020010</v>
      </c>
      <c r="M27" s="11">
        <f t="shared" si="0"/>
        <v>14</v>
      </c>
      <c r="N27" s="14" t="str">
        <f>IF(AF27&lt;&gt;"",TRIM(UPPER(CONCATENATE(P27," ",R27," ",T27," ",V27," ",X27," ",Z27," ","X"," ",Table43[[#This Row],[ISI/CTN]]," ",AF27," ",AB27," ",AD27," ",AH27))),TRIM(UPPER(CONCATENATE(P27," ",R27," ",T27," ",V27," ",X27," ",Z27," ","X"," ",Table43[[#This Row],[ISI/CTN]]," ",AB27," ",AD27," ",AH27))))</f>
        <v>GRDN GLOW BODY LTN MIDNIGHT GRDN 200ML X 48 BTL</v>
      </c>
      <c r="O27" s="11">
        <f t="shared" si="1"/>
        <v>47</v>
      </c>
      <c r="Q27" s="7" t="s">
        <v>662</v>
      </c>
      <c r="R27" s="4" t="s">
        <v>778</v>
      </c>
      <c r="S27" s="48" t="s">
        <v>753</v>
      </c>
      <c r="T27" s="49" t="s">
        <v>779</v>
      </c>
      <c r="U27" s="7">
        <v>1</v>
      </c>
      <c r="V27" s="49"/>
      <c r="W27" s="48" t="s">
        <v>370</v>
      </c>
      <c r="X27" s="4" t="s">
        <v>781</v>
      </c>
      <c r="Y27" s="50" t="s">
        <v>749</v>
      </c>
      <c r="Z27" s="4" t="s">
        <v>685</v>
      </c>
      <c r="AA27" s="50" t="s">
        <v>745</v>
      </c>
      <c r="AB27" s="4" t="s">
        <v>705</v>
      </c>
      <c r="AC27" s="7">
        <v>1</v>
      </c>
      <c r="AE27" s="7">
        <v>0</v>
      </c>
      <c r="AI27" s="7" t="s">
        <v>178</v>
      </c>
      <c r="AJ27" s="7">
        <v>2</v>
      </c>
      <c r="AL27" s="38">
        <v>12887.527027027025</v>
      </c>
      <c r="AM27" s="39">
        <f>Table43[[#This Row],[Harga Beli Pcs
(-PPN)]]*Table43[[#This Row],[ISI/CTN]]</f>
        <v>618601.29729729716</v>
      </c>
      <c r="AN27" s="39">
        <f>Table43[[#This Row],[Harga Beli Pcs
(-PPN)]]*1.11</f>
        <v>14305.154999999999</v>
      </c>
      <c r="AO27" s="39">
        <f>Table43[[#This Row],[Harga Beli Krt
(- PPN)]]*1.11</f>
        <v>686647.44</v>
      </c>
      <c r="AP27" s="39">
        <v>13918.918918918918</v>
      </c>
      <c r="AQ27" s="39">
        <f>Table43[[#This Row],[Harga Jual Pcs GT
(-PPN)]]*Table43[[#This Row],[ISI/CTN]]</f>
        <v>668108.10810810805</v>
      </c>
      <c r="AR27" s="39">
        <f>Table43[[#This Row],[Harga Jual Pcs GT
(-PPN)]]*1.11</f>
        <v>15450</v>
      </c>
      <c r="AS27" s="39">
        <f>Table43[[#This Row],[Harga Jual Krt GT
(- PPN)]]*1.11</f>
        <v>741600</v>
      </c>
      <c r="AT27" s="39"/>
      <c r="AU27" s="39">
        <f>Table43[[#This Row],[Harga Jual Pcs MT
(-PPN)]]*Table43[[#This Row],[ISI/CTN]]</f>
        <v>0</v>
      </c>
      <c r="AV27" s="39">
        <f>Table43[[#This Row],[Harga Jual Pcs MT
(-PPN)]]*1.11</f>
        <v>0</v>
      </c>
      <c r="AW27" s="39">
        <f>Table43[[#This Row],[Harga Jual Pcs MT
(+PPN)]]*Table43[[#This Row],[ISI/CTN]]</f>
        <v>0</v>
      </c>
      <c r="AX27" s="47">
        <f>IFERROR((Table43[[#This Row],[Harga Jual Pcs GT
(-PPN)]]-Table43[[#This Row],[Harga Beli Pcs
(-PPN)]])/Table43[[#This Row],[Harga Jual Pcs GT
(-PPN)]],0)</f>
        <v>7.410000000000011E-2</v>
      </c>
      <c r="AY27" s="51">
        <v>45848</v>
      </c>
      <c r="AZ27" s="7"/>
      <c r="BA27" s="7" t="str">
        <f ca="1">IF(TODAY()-Table43[[#This Row],[Efektif
Pembuatan]]&gt;60,"Lama","Baru")</f>
        <v>Lama</v>
      </c>
      <c r="BB27" s="7" t="str">
        <f ca="1">IF(TODAY()-Table43[[#This Row],[Efektif Naik Harga]]&lt;30,"Naik","Sama")</f>
        <v>Sama</v>
      </c>
      <c r="BC27" s="7" t="s">
        <v>185</v>
      </c>
      <c r="BD27" s="7" t="str">
        <f>IF(Table43[[#This Row],[Kode BARANG Win2]]&lt;&gt;"","IDR","")</f>
        <v>IDR</v>
      </c>
      <c r="BE27" s="7" t="str">
        <f>CONCATENATE(Table43[[#This Row],[kode  1 Digit
(Nomor)]],Table43[[#This Row],[kode  4 Digit                (Nomor)]])</f>
        <v>20200</v>
      </c>
      <c r="BF27" s="7" t="str">
        <f>Table43[[#This Row],[Nama            Gramasi atau Jumlah Pack per CTN]]</f>
        <v>200ML</v>
      </c>
      <c r="BG27" s="7" t="s">
        <v>1060</v>
      </c>
      <c r="BH27" s="7" t="s">
        <v>377</v>
      </c>
      <c r="BI27" s="4" t="str">
        <f>IF(Table43[[#This Row],[SATUAN Fix Win]]&lt;&gt;"","KRT")</f>
        <v>KRT</v>
      </c>
      <c r="BJ27" s="4" t="str">
        <f>IF(Table43[[#This Row],[SATUAN Fix Win]]&lt;&gt;"","GD01")</f>
        <v>GD01</v>
      </c>
      <c r="BK27" s="4">
        <f>IF(Table43[[#This Row],[SATUAN Fix Win]]&lt;&gt;"",11611)</f>
        <v>11611</v>
      </c>
      <c r="BL27" s="4">
        <f>IF(Table43[[#This Row],[SATUAN Fix Win]]&lt;&gt;"",11612)</f>
        <v>11612</v>
      </c>
      <c r="BM27" s="52" t="s">
        <v>378</v>
      </c>
      <c r="BN27" s="4">
        <f>IF(Table43[[#This Row],[SATUAN Fix Win]]&lt;&gt;"",1)</f>
        <v>1</v>
      </c>
      <c r="BO27" s="4" t="s">
        <v>637</v>
      </c>
    </row>
    <row r="28" spans="1:70">
      <c r="A28" s="4" t="str">
        <f>CONCATENATE(Table43[[#This Row],[Kode BARANG Win2]],Table43[[#This Row],[No. Urut
Item Sama]])</f>
        <v>F40410020200101</v>
      </c>
      <c r="B28" s="7">
        <v>1</v>
      </c>
      <c r="C28" s="4">
        <v>22</v>
      </c>
      <c r="D28" s="27" t="s">
        <v>485</v>
      </c>
      <c r="E28" s="27" t="s">
        <v>633</v>
      </c>
      <c r="F28" s="27" t="s">
        <v>606</v>
      </c>
      <c r="G28" s="27">
        <v>48</v>
      </c>
      <c r="H28" s="54">
        <v>8992946534591</v>
      </c>
      <c r="I28" s="27" t="str">
        <f>Table43[[#This Row],[Nama Jenis Kemasan]]</f>
        <v>BTL</v>
      </c>
      <c r="J28" s="4" t="str">
        <f>TRIM(CONCATENATE(Table43[[#This Row],[Nama            KLP]]," ",Table43[[#This Row],[Nama            Sub KLP]]))</f>
        <v>GRDN GLOW BODY LTN</v>
      </c>
      <c r="K28" s="4" t="str">
        <f>CONCATENATE(Table43[[#This Row],[kode  2 Digit                (hrf+No)]],Table43[[#This Row],[kode  2 Digit                (Nomor)]],Table43[[#This Row],[kode  1 Digit                (Nomor)]])</f>
        <v>F4041</v>
      </c>
      <c r="L28" s="4" t="str">
        <f>IF(AG28="",CONCATENATE(Q28,S28,U28,W28,Y28,AA28,AC28,AE28,Table43[[#This Row],[Tanda Kode Revisi]]),CONCATENATE(Q28,S28,U28,W28,Y28,AA28,AC28,AG28))</f>
        <v>F4041002020010</v>
      </c>
      <c r="M28" s="11">
        <f t="shared" si="0"/>
        <v>14</v>
      </c>
      <c r="N28" s="14" t="str">
        <f>IF(AF28&lt;&gt;"",TRIM(UPPER(CONCATENATE(P28," ",R28," ",T28," ",V28," ",X28," ",Z28," ","X"," ",Table43[[#This Row],[ISI/CTN]]," ",AF28," ",AB28," ",AD28," ",AH28))),TRIM(UPPER(CONCATENATE(P28," ",R28," ",T28," ",V28," ",X28," ",Z28," ","X"," ",Table43[[#This Row],[ISI/CTN]]," ",AB28," ",AD28," ",AH28))))</f>
        <v>GRDN GLOW BODY LTN RYL JASMINE 200ML X 48 BTL</v>
      </c>
      <c r="O28" s="11">
        <f t="shared" si="1"/>
        <v>45</v>
      </c>
      <c r="Q28" s="7" t="s">
        <v>662</v>
      </c>
      <c r="R28" s="4" t="s">
        <v>778</v>
      </c>
      <c r="S28" s="48" t="s">
        <v>753</v>
      </c>
      <c r="T28" s="49" t="s">
        <v>779</v>
      </c>
      <c r="U28" s="7">
        <v>1</v>
      </c>
      <c r="V28" s="49"/>
      <c r="W28" s="48" t="s">
        <v>370</v>
      </c>
      <c r="X28" s="4" t="s">
        <v>787</v>
      </c>
      <c r="Y28" s="50" t="s">
        <v>751</v>
      </c>
      <c r="Z28" s="4" t="s">
        <v>685</v>
      </c>
      <c r="AA28" s="50" t="s">
        <v>745</v>
      </c>
      <c r="AB28" s="4" t="s">
        <v>705</v>
      </c>
      <c r="AC28" s="7">
        <v>1</v>
      </c>
      <c r="AE28" s="7">
        <v>0</v>
      </c>
      <c r="AI28" s="7" t="s">
        <v>178</v>
      </c>
      <c r="AJ28" s="7">
        <v>2</v>
      </c>
      <c r="AL28" s="38">
        <v>12887.527027027025</v>
      </c>
      <c r="AM28" s="39">
        <f>Table43[[#This Row],[Harga Beli Pcs
(-PPN)]]*Table43[[#This Row],[ISI/CTN]]</f>
        <v>618601.29729729716</v>
      </c>
      <c r="AN28" s="39">
        <f>Table43[[#This Row],[Harga Beli Pcs
(-PPN)]]*1.11</f>
        <v>14305.154999999999</v>
      </c>
      <c r="AO28" s="39">
        <f>Table43[[#This Row],[Harga Beli Krt
(- PPN)]]*1.11</f>
        <v>686647.44</v>
      </c>
      <c r="AP28" s="39">
        <v>13918.918918918918</v>
      </c>
      <c r="AQ28" s="39">
        <f>Table43[[#This Row],[Harga Jual Pcs GT
(-PPN)]]*Table43[[#This Row],[ISI/CTN]]</f>
        <v>668108.10810810805</v>
      </c>
      <c r="AR28" s="39">
        <f>Table43[[#This Row],[Harga Jual Pcs GT
(-PPN)]]*1.11</f>
        <v>15450</v>
      </c>
      <c r="AS28" s="39">
        <f>Table43[[#This Row],[Harga Jual Krt GT
(- PPN)]]*1.11</f>
        <v>741600</v>
      </c>
      <c r="AT28" s="39"/>
      <c r="AU28" s="39">
        <f>Table43[[#This Row],[Harga Jual Pcs MT
(-PPN)]]*Table43[[#This Row],[ISI/CTN]]</f>
        <v>0</v>
      </c>
      <c r="AV28" s="39">
        <f>Table43[[#This Row],[Harga Jual Pcs MT
(-PPN)]]*1.11</f>
        <v>0</v>
      </c>
      <c r="AW28" s="39">
        <f>Table43[[#This Row],[Harga Jual Pcs MT
(+PPN)]]*Table43[[#This Row],[ISI/CTN]]</f>
        <v>0</v>
      </c>
      <c r="AX28" s="47">
        <f>IFERROR((Table43[[#This Row],[Harga Jual Pcs GT
(-PPN)]]-Table43[[#This Row],[Harga Beli Pcs
(-PPN)]])/Table43[[#This Row],[Harga Jual Pcs GT
(-PPN)]],0)</f>
        <v>7.410000000000011E-2</v>
      </c>
      <c r="AY28" s="51">
        <v>45848</v>
      </c>
      <c r="AZ28" s="7"/>
      <c r="BA28" s="7" t="str">
        <f ca="1">IF(TODAY()-Table43[[#This Row],[Efektif
Pembuatan]]&gt;60,"Lama","Baru")</f>
        <v>Lama</v>
      </c>
      <c r="BB28" s="7" t="str">
        <f ca="1">IF(TODAY()-Table43[[#This Row],[Efektif Naik Harga]]&lt;30,"Naik","Sama")</f>
        <v>Sama</v>
      </c>
      <c r="BC28" s="7" t="s">
        <v>185</v>
      </c>
      <c r="BD28" s="7" t="str">
        <f>IF(Table43[[#This Row],[Kode BARANG Win2]]&lt;&gt;"","IDR","")</f>
        <v>IDR</v>
      </c>
      <c r="BE28" s="7" t="str">
        <f>CONCATENATE(Table43[[#This Row],[kode  1 Digit
(Nomor)]],Table43[[#This Row],[kode  4 Digit                (Nomor)]])</f>
        <v>20200</v>
      </c>
      <c r="BF28" s="7" t="str">
        <f>Table43[[#This Row],[Nama            Gramasi atau Jumlah Pack per CTN]]</f>
        <v>200ML</v>
      </c>
      <c r="BG28" s="7" t="s">
        <v>1060</v>
      </c>
      <c r="BH28" s="7" t="s">
        <v>377</v>
      </c>
      <c r="BI28" s="4" t="str">
        <f>IF(Table43[[#This Row],[SATUAN Fix Win]]&lt;&gt;"","KRT")</f>
        <v>KRT</v>
      </c>
      <c r="BJ28" s="4" t="str">
        <f>IF(Table43[[#This Row],[SATUAN Fix Win]]&lt;&gt;"","GD01")</f>
        <v>GD01</v>
      </c>
      <c r="BK28" s="4">
        <f>IF(Table43[[#This Row],[SATUAN Fix Win]]&lt;&gt;"",11611)</f>
        <v>11611</v>
      </c>
      <c r="BL28" s="4">
        <f>IF(Table43[[#This Row],[SATUAN Fix Win]]&lt;&gt;"",11612)</f>
        <v>11612</v>
      </c>
      <c r="BM28" s="52" t="s">
        <v>378</v>
      </c>
      <c r="BN28" s="4">
        <f>IF(Table43[[#This Row],[SATUAN Fix Win]]&lt;&gt;"",1)</f>
        <v>1</v>
      </c>
      <c r="BO28" s="4" t="s">
        <v>637</v>
      </c>
    </row>
    <row r="29" spans="1:70">
      <c r="A29" s="4" t="str">
        <f>CONCATENATE(Table43[[#This Row],[Kode BARANG Win2]],Table43[[#This Row],[No. Urut
Item Sama]])</f>
        <v>F40410020009201</v>
      </c>
      <c r="B29" s="7">
        <v>1</v>
      </c>
      <c r="C29" s="4">
        <v>23</v>
      </c>
      <c r="D29" s="73" t="s">
        <v>1090</v>
      </c>
      <c r="E29" s="27" t="s">
        <v>633</v>
      </c>
      <c r="F29" s="27" t="s">
        <v>605</v>
      </c>
      <c r="G29" s="27">
        <v>48</v>
      </c>
      <c r="H29" s="54">
        <v>8992946534706</v>
      </c>
      <c r="I29" s="27" t="str">
        <f>Table43[[#This Row],[Nama Jenis Kemasan]]</f>
        <v>SCH</v>
      </c>
      <c r="J29" s="4" t="str">
        <f>TRIM(CONCATENATE(Table43[[#This Row],[Nama            KLP]]," ",Table43[[#This Row],[Nama            Sub KLP]]))</f>
        <v>GRDN GLOW BODY LTN</v>
      </c>
      <c r="K29" s="4" t="str">
        <f>CONCATENATE(Table43[[#This Row],[kode  2 Digit                (hrf+No)]],Table43[[#This Row],[kode  2 Digit                (Nomor)]],Table43[[#This Row],[kode  1 Digit                (Nomor)]])</f>
        <v>F4041</v>
      </c>
      <c r="L29" s="4" t="str">
        <f>IF(AG29="",CONCATENATE(Q29,S29,U29,W29,Y29,AA29,AC29,AE29,Table43[[#This Row],[Tanda Kode Revisi]]),CONCATENATE(Q29,S29,U29,W29,Y29,AA29,AC29,AG29))</f>
        <v>F4041002000920</v>
      </c>
      <c r="M29" s="11">
        <f>LEN(L29)</f>
        <v>14</v>
      </c>
      <c r="N29" s="14" t="str">
        <f>IF(AF29&lt;&gt;"",TRIM(UPPER(CONCATENATE(P29," ",R29," ",T29," ",V29," ",X29," ",Z29," ","X"," ",Table43[[#This Row],[ISI/CTN]]," ",AF29," ",AB29," ",AD29," ",AH29))),TRIM(UPPER(CONCATENATE(P29," ",R29," ",T29," ",V29," ",X29," ",Z29," ","X"," ",Table43[[#This Row],[ISI/CTN]]," ",AB29," ",AD29," ",AH29))))</f>
        <v>GRDN GLOW BODY LTN RYL JASMINE 9ML X 48 SCH</v>
      </c>
      <c r="O29" s="11">
        <f>LEN(N29)</f>
        <v>43</v>
      </c>
      <c r="Q29" s="7" t="s">
        <v>662</v>
      </c>
      <c r="R29" s="4" t="s">
        <v>778</v>
      </c>
      <c r="S29" s="48" t="s">
        <v>753</v>
      </c>
      <c r="T29" s="49" t="s">
        <v>779</v>
      </c>
      <c r="U29" s="7">
        <v>1</v>
      </c>
      <c r="V29" s="49"/>
      <c r="W29" s="48" t="s">
        <v>370</v>
      </c>
      <c r="X29" s="4" t="s">
        <v>787</v>
      </c>
      <c r="Y29" s="50" t="s">
        <v>751</v>
      </c>
      <c r="Z29" s="4" t="s">
        <v>684</v>
      </c>
      <c r="AA29" s="50" t="s">
        <v>766</v>
      </c>
      <c r="AB29" s="4" t="s">
        <v>737</v>
      </c>
      <c r="AC29" s="7">
        <v>2</v>
      </c>
      <c r="AE29" s="7">
        <v>0</v>
      </c>
      <c r="AI29" s="7" t="s">
        <v>178</v>
      </c>
      <c r="AJ29" s="7">
        <v>2</v>
      </c>
      <c r="AL29" s="38"/>
      <c r="AM29" s="39">
        <f>Table43[[#This Row],[Harga Beli Pcs
(-PPN)]]*Table43[[#This Row],[ISI/CTN]]</f>
        <v>0</v>
      </c>
      <c r="AN29" s="39">
        <f>Table43[[#This Row],[Harga Beli Pcs
(-PPN)]]*1.11</f>
        <v>0</v>
      </c>
      <c r="AO29" s="39">
        <f>Table43[[#This Row],[Harga Beli Krt
(- PPN)]]*1.11</f>
        <v>0</v>
      </c>
      <c r="AP29" s="39"/>
      <c r="AQ29" s="39">
        <f>Table43[[#This Row],[Harga Jual Pcs GT
(-PPN)]]*Table43[[#This Row],[ISI/CTN]]</f>
        <v>0</v>
      </c>
      <c r="AR29" s="39">
        <f>Table43[[#This Row],[Harga Jual Pcs GT
(-PPN)]]*1.11</f>
        <v>0</v>
      </c>
      <c r="AS29" s="39">
        <f>Table43[[#This Row],[Harga Jual Krt GT
(- PPN)]]*1.11</f>
        <v>0</v>
      </c>
      <c r="AT29" s="39"/>
      <c r="AU29" s="39">
        <f>Table43[[#This Row],[Harga Jual Pcs MT
(-PPN)]]*Table43[[#This Row],[ISI/CTN]]</f>
        <v>0</v>
      </c>
      <c r="AV29" s="39">
        <f>Table43[[#This Row],[Harga Jual Pcs MT
(-PPN)]]*1.11</f>
        <v>0</v>
      </c>
      <c r="AW29" s="39">
        <f>Table43[[#This Row],[Harga Jual Pcs MT
(+PPN)]]*Table43[[#This Row],[ISI/CTN]]</f>
        <v>0</v>
      </c>
      <c r="AX29" s="47">
        <f>IFERROR((Table43[[#This Row],[Harga Jual Pcs GT
(-PPN)]]-Table43[[#This Row],[Harga Beli Pcs
(-PPN)]])/Table43[[#This Row],[Harga Jual Pcs GT
(-PPN)]],0)</f>
        <v>0</v>
      </c>
      <c r="AY29" s="51"/>
      <c r="AZ29" s="7"/>
      <c r="BA29" s="7" t="str">
        <f ca="1">IF(TODAY()-Table43[[#This Row],[Efektif
Pembuatan]]&gt;60,"Lama","Baru")</f>
        <v>Lama</v>
      </c>
      <c r="BB29" s="7" t="str">
        <f ca="1">IF(TODAY()-Table43[[#This Row],[Efektif Naik Harga]]&lt;30,"Naik","Sama")</f>
        <v>Sama</v>
      </c>
      <c r="BC29" s="7"/>
      <c r="BD29" s="7" t="str">
        <f>IF(Table43[[#This Row],[Kode BARANG Win2]]&lt;&gt;"","IDR","")</f>
        <v>IDR</v>
      </c>
      <c r="BE29" s="7" t="str">
        <f>CONCATENATE(Table43[[#This Row],[kode  1 Digit
(Nomor)]],Table43[[#This Row],[kode  4 Digit                (Nomor)]])</f>
        <v>20009</v>
      </c>
      <c r="BF29" s="7" t="str">
        <f>Table43[[#This Row],[Nama            Gramasi atau Jumlah Pack per CTN]]</f>
        <v>9ML</v>
      </c>
      <c r="BG29" s="7"/>
      <c r="BH29" s="7"/>
      <c r="BI29" s="4" t="str">
        <f>IF(Table43[[#This Row],[SATUAN Fix Win]]&lt;&gt;"","KRT")</f>
        <v>KRT</v>
      </c>
      <c r="BJ29" s="4" t="str">
        <f>IF(Table43[[#This Row],[SATUAN Fix Win]]&lt;&gt;"","GD01")</f>
        <v>GD01</v>
      </c>
      <c r="BK29" s="4">
        <f>IF(Table43[[#This Row],[SATUAN Fix Win]]&lt;&gt;"",11611)</f>
        <v>11611</v>
      </c>
      <c r="BL29" s="4">
        <f>IF(Table43[[#This Row],[SATUAN Fix Win]]&lt;&gt;"",11612)</f>
        <v>11612</v>
      </c>
      <c r="BM29" s="52"/>
      <c r="BN29" s="4">
        <f>IF(Table43[[#This Row],[SATUAN Fix Win]]&lt;&gt;"",1)</f>
        <v>1</v>
      </c>
    </row>
    <row r="30" spans="1:70">
      <c r="A30" s="4" t="str">
        <f>CONCATENATE(Table43[[#This Row],[Kode BARANG Win2]],Table43[[#This Row],[No. Urut
Item Sama]])</f>
        <v>F40410020009202</v>
      </c>
      <c r="B30" s="7">
        <v>2</v>
      </c>
      <c r="C30" s="4">
        <v>24</v>
      </c>
      <c r="D30" s="27" t="s">
        <v>484</v>
      </c>
      <c r="E30" s="27" t="s">
        <v>633</v>
      </c>
      <c r="F30" s="27" t="s">
        <v>605</v>
      </c>
      <c r="G30" s="27">
        <v>48</v>
      </c>
      <c r="H30" s="54">
        <v>8992946534706</v>
      </c>
      <c r="I30" s="27" t="str">
        <f>Table43[[#This Row],[Nama Jenis Kemasan]]</f>
        <v>SCH</v>
      </c>
      <c r="J30" s="4" t="str">
        <f>TRIM(CONCATENATE(Table43[[#This Row],[Nama            KLP]]," ",Table43[[#This Row],[Nama            Sub KLP]]))</f>
        <v>GRDN GLOW BODY LTN</v>
      </c>
      <c r="K30" s="4" t="str">
        <f>CONCATENATE(Table43[[#This Row],[kode  2 Digit                (hrf+No)]],Table43[[#This Row],[kode  2 Digit                (Nomor)]],Table43[[#This Row],[kode  1 Digit                (Nomor)]])</f>
        <v>F4041</v>
      </c>
      <c r="L30" s="4" t="str">
        <f>IF(AG30="",CONCATENATE(Q30,S30,U30,W30,Y30,AA30,AC30,AE30,Table43[[#This Row],[Tanda Kode Revisi]]),CONCATENATE(Q30,S30,U30,W30,Y30,AA30,AC30,AG30))</f>
        <v>F4041002000920</v>
      </c>
      <c r="M30" s="11">
        <f t="shared" si="0"/>
        <v>14</v>
      </c>
      <c r="N30" s="14" t="str">
        <f>IF(AF30&lt;&gt;"",TRIM(UPPER(CONCATENATE(P30," ",R30," ",T30," ",V30," ",X30," ",Z30," ","X"," ",Table43[[#This Row],[ISI/CTN]]," ",AF30," ",AB30," ",AD30," ",AH30))),TRIM(UPPER(CONCATENATE(P30," ",R30," ",T30," ",V30," ",X30," ",Z30," ","X"," ",Table43[[#This Row],[ISI/CTN]]," ",AB30," ",AD30," ",AH30))))</f>
        <v>GRDN GLOW BODY LTN RYL JASMINE 9ML X 48 SCH</v>
      </c>
      <c r="O30" s="11">
        <f t="shared" si="1"/>
        <v>43</v>
      </c>
      <c r="Q30" s="7" t="s">
        <v>662</v>
      </c>
      <c r="R30" s="4" t="s">
        <v>778</v>
      </c>
      <c r="S30" s="48" t="s">
        <v>753</v>
      </c>
      <c r="T30" s="49" t="s">
        <v>779</v>
      </c>
      <c r="U30" s="7">
        <v>1</v>
      </c>
      <c r="V30" s="49"/>
      <c r="W30" s="48" t="s">
        <v>370</v>
      </c>
      <c r="X30" s="4" t="s">
        <v>787</v>
      </c>
      <c r="Y30" s="50" t="s">
        <v>751</v>
      </c>
      <c r="Z30" s="4" t="s">
        <v>684</v>
      </c>
      <c r="AA30" s="50" t="s">
        <v>766</v>
      </c>
      <c r="AB30" s="4" t="s">
        <v>737</v>
      </c>
      <c r="AC30" s="7">
        <v>2</v>
      </c>
      <c r="AE30" s="7">
        <v>0</v>
      </c>
      <c r="AI30" s="7" t="s">
        <v>178</v>
      </c>
      <c r="AJ30" s="7">
        <v>2</v>
      </c>
      <c r="AL30" s="38">
        <v>5839.0090090090089</v>
      </c>
      <c r="AM30" s="39">
        <f>Table43[[#This Row],[Harga Beli Pcs
(-PPN)]]*Table43[[#This Row],[ISI/CTN]]</f>
        <v>280272.43243243243</v>
      </c>
      <c r="AN30" s="39">
        <f>Table43[[#This Row],[Harga Beli Pcs
(-PPN)]]*1.11</f>
        <v>6481.3</v>
      </c>
      <c r="AO30" s="39">
        <f>Table43[[#This Row],[Harga Beli Krt
(- PPN)]]*1.11</f>
        <v>311102.40000000002</v>
      </c>
      <c r="AP30" s="39">
        <v>6306.3063063063055</v>
      </c>
      <c r="AQ30" s="39">
        <f>Table43[[#This Row],[Harga Jual Pcs GT
(-PPN)]]*Table43[[#This Row],[ISI/CTN]]</f>
        <v>302702.70270270266</v>
      </c>
      <c r="AR30" s="39">
        <f>Table43[[#This Row],[Harga Jual Pcs GT
(-PPN)]]*1.11</f>
        <v>7000</v>
      </c>
      <c r="AS30" s="39">
        <f>Table43[[#This Row],[Harga Jual Krt GT
(- PPN)]]*1.11</f>
        <v>336000</v>
      </c>
      <c r="AT30" s="39"/>
      <c r="AU30" s="39">
        <f>Table43[[#This Row],[Harga Jual Pcs MT
(-PPN)]]*Table43[[#This Row],[ISI/CTN]]</f>
        <v>0</v>
      </c>
      <c r="AV30" s="39">
        <f>Table43[[#This Row],[Harga Jual Pcs MT
(-PPN)]]*1.11</f>
        <v>0</v>
      </c>
      <c r="AW30" s="39">
        <f>Table43[[#This Row],[Harga Jual Pcs MT
(+PPN)]]*Table43[[#This Row],[ISI/CTN]]</f>
        <v>0</v>
      </c>
      <c r="AX30" s="47">
        <f>IFERROR((Table43[[#This Row],[Harga Jual Pcs GT
(-PPN)]]-Table43[[#This Row],[Harga Beli Pcs
(-PPN)]])/Table43[[#This Row],[Harga Jual Pcs GT
(-PPN)]],0)</f>
        <v>7.4099999999999902E-2</v>
      </c>
      <c r="AY30" s="51">
        <v>45848</v>
      </c>
      <c r="AZ30" s="7"/>
      <c r="BA30" s="7" t="str">
        <f ca="1">IF(TODAY()-Table43[[#This Row],[Efektif
Pembuatan]]&gt;60,"Lama","Baru")</f>
        <v>Lama</v>
      </c>
      <c r="BB30" s="7" t="str">
        <f ca="1">IF(TODAY()-Table43[[#This Row],[Efektif Naik Harga]]&lt;30,"Naik","Sama")</f>
        <v>Sama</v>
      </c>
      <c r="BC30" s="7" t="s">
        <v>185</v>
      </c>
      <c r="BD30" s="7" t="str">
        <f>IF(Table43[[#This Row],[Kode BARANG Win2]]&lt;&gt;"","IDR","")</f>
        <v>IDR</v>
      </c>
      <c r="BE30" s="7" t="str">
        <f>CONCATENATE(Table43[[#This Row],[kode  1 Digit
(Nomor)]],Table43[[#This Row],[kode  4 Digit                (Nomor)]])</f>
        <v>20009</v>
      </c>
      <c r="BF30" s="7" t="str">
        <f>Table43[[#This Row],[Nama            Gramasi atau Jumlah Pack per CTN]]</f>
        <v>9ML</v>
      </c>
      <c r="BG30" s="7" t="s">
        <v>1060</v>
      </c>
      <c r="BH30" s="7" t="s">
        <v>377</v>
      </c>
      <c r="BI30" s="4" t="str">
        <f>IF(Table43[[#This Row],[SATUAN Fix Win]]&lt;&gt;"","KRT")</f>
        <v>KRT</v>
      </c>
      <c r="BJ30" s="4" t="str">
        <f>IF(Table43[[#This Row],[SATUAN Fix Win]]&lt;&gt;"","GD01")</f>
        <v>GD01</v>
      </c>
      <c r="BK30" s="4">
        <f>IF(Table43[[#This Row],[SATUAN Fix Win]]&lt;&gt;"",11611)</f>
        <v>11611</v>
      </c>
      <c r="BL30" s="4">
        <f>IF(Table43[[#This Row],[SATUAN Fix Win]]&lt;&gt;"",11612)</f>
        <v>11612</v>
      </c>
      <c r="BM30" s="52" t="s">
        <v>378</v>
      </c>
      <c r="BN30" s="4">
        <f>IF(Table43[[#This Row],[SATUAN Fix Win]]&lt;&gt;"",1)</f>
        <v>1</v>
      </c>
      <c r="BO30" s="4" t="s">
        <v>637</v>
      </c>
    </row>
    <row r="31" spans="1:70" s="105" customFormat="1">
      <c r="A31" s="91" t="str">
        <f>CONCATENATE(Table43[[#This Row],[Kode BARANG Win2]],Table43[[#This Row],[No. Urut
Item Sama]])</f>
        <v>F40410020009303</v>
      </c>
      <c r="B31" s="92">
        <v>3</v>
      </c>
      <c r="C31" s="91"/>
      <c r="D31" s="93" t="s">
        <v>484</v>
      </c>
      <c r="E31" s="93" t="s">
        <v>633</v>
      </c>
      <c r="F31" s="93" t="s">
        <v>605</v>
      </c>
      <c r="G31" s="93" t="s">
        <v>1235</v>
      </c>
      <c r="H31" s="107">
        <v>8992946535229</v>
      </c>
      <c r="I31" s="93" t="str">
        <f>Table43[[#This Row],[Nama Jenis Kemasan]]</f>
        <v>PCSX10</v>
      </c>
      <c r="J31" s="91" t="str">
        <f>TRIM(CONCATENATE(Table43[[#This Row],[Nama            KLP]]," ",Table43[[#This Row],[Nama            Sub KLP]]))</f>
        <v>GARDENIA GLOW BODY LTN</v>
      </c>
      <c r="K31" s="91" t="str">
        <f>CONCATENATE(Table43[[#This Row],[kode  2 Digit                (hrf+No)]],Table43[[#This Row],[kode  2 Digit                (Nomor)]],Table43[[#This Row],[kode  1 Digit                (Nomor)]])</f>
        <v>F4041</v>
      </c>
      <c r="L31" s="91" t="str">
        <f>IF(AG31="",CONCATENATE(Q31,S31,U31,W31,Y31,AA31,AC31,AE31,Table43[[#This Row],[Tanda Kode Revisi]]),CONCATENATE(Q31,S31,U31,W31,Y31,AA31,AC31,AG31))</f>
        <v>F4041002000930</v>
      </c>
      <c r="M31" s="95">
        <f>LEN(L31)</f>
        <v>14</v>
      </c>
      <c r="N31" s="96" t="str">
        <f>IF(AF31&lt;&gt;"",TRIM(UPPER(CONCATENATE(P31," ",R31," ",T31," ",V31," ",X31," ",Z31," ","X"," ",Table43[[#This Row],[ISI/CTN]]," ",AF31," ",AB31," ",AD31," ",AH31))),TRIM(UPPER(CONCATENATE(P31," ",R31," ",T31," ",V31," ",X31," ",Z31," ","X"," ",Table43[[#This Row],[ISI/CTN]]," ",AB31," ",AD31," ",AH31))))</f>
        <v>GARDENIA GLOW BODY LTN RYL JASMINE 9ML X 48 RCG PCSX10</v>
      </c>
      <c r="O31" s="95">
        <f>LEN(N31)</f>
        <v>54</v>
      </c>
      <c r="P31" s="91"/>
      <c r="Q31" s="92" t="s">
        <v>662</v>
      </c>
      <c r="R31" s="91" t="s">
        <v>633</v>
      </c>
      <c r="S31" s="97" t="s">
        <v>753</v>
      </c>
      <c r="T31" s="98" t="s">
        <v>779</v>
      </c>
      <c r="U31" s="92">
        <v>1</v>
      </c>
      <c r="V31" s="98"/>
      <c r="W31" s="97" t="s">
        <v>370</v>
      </c>
      <c r="X31" s="91" t="s">
        <v>787</v>
      </c>
      <c r="Y31" s="99" t="s">
        <v>751</v>
      </c>
      <c r="Z31" s="91" t="s">
        <v>684</v>
      </c>
      <c r="AA31" s="99" t="s">
        <v>766</v>
      </c>
      <c r="AB31" s="91" t="s">
        <v>1234</v>
      </c>
      <c r="AC31" s="92">
        <v>3</v>
      </c>
      <c r="AD31" s="91"/>
      <c r="AE31" s="92">
        <v>0</v>
      </c>
      <c r="AF31" s="92"/>
      <c r="AG31" s="92"/>
      <c r="AH31" s="92"/>
      <c r="AI31" s="92"/>
      <c r="AJ31" s="92"/>
      <c r="AK31" s="92"/>
      <c r="AL31" s="100"/>
      <c r="AM31" s="101" t="e">
        <f>Table43[[#This Row],[Harga Beli Pcs
(-PPN)]]*Table43[[#This Row],[ISI/CTN]]</f>
        <v>#VALUE!</v>
      </c>
      <c r="AN31" s="101">
        <f>Table43[[#This Row],[Harga Beli Pcs
(-PPN)]]*1.11</f>
        <v>0</v>
      </c>
      <c r="AO31" s="101" t="e">
        <f>Table43[[#This Row],[Harga Beli Krt
(- PPN)]]*1.11</f>
        <v>#VALUE!</v>
      </c>
      <c r="AP31" s="101"/>
      <c r="AQ31" s="101" t="e">
        <f>Table43[[#This Row],[Harga Jual Pcs GT
(-PPN)]]*Table43[[#This Row],[ISI/CTN]]</f>
        <v>#VALUE!</v>
      </c>
      <c r="AR31" s="101">
        <f>Table43[[#This Row],[Harga Jual Pcs GT
(-PPN)]]*1.11</f>
        <v>0</v>
      </c>
      <c r="AS31" s="101" t="e">
        <f>Table43[[#This Row],[Harga Jual Krt GT
(- PPN)]]*1.11</f>
        <v>#VALUE!</v>
      </c>
      <c r="AT31" s="101"/>
      <c r="AU31" s="101" t="e">
        <f>Table43[[#This Row],[Harga Jual Pcs MT
(-PPN)]]*Table43[[#This Row],[ISI/CTN]]</f>
        <v>#VALUE!</v>
      </c>
      <c r="AV31" s="101">
        <f>Table43[[#This Row],[Harga Jual Pcs MT
(-PPN)]]*1.11</f>
        <v>0</v>
      </c>
      <c r="AW31" s="101" t="e">
        <f>Table43[[#This Row],[Harga Jual Pcs MT
(+PPN)]]*Table43[[#This Row],[ISI/CTN]]</f>
        <v>#VALUE!</v>
      </c>
      <c r="AX31" s="102">
        <f>IFERROR((Table43[[#This Row],[Harga Jual Pcs GT
(-PPN)]]-Table43[[#This Row],[Harga Beli Pcs
(-PPN)]])/Table43[[#This Row],[Harga Jual Pcs GT
(-PPN)]],0)</f>
        <v>0</v>
      </c>
      <c r="AY31" s="103"/>
      <c r="AZ31" s="92"/>
      <c r="BA31" s="92" t="str">
        <f ca="1">IF(TODAY()-Table43[[#This Row],[Efektif
Pembuatan]]&gt;60,"Lama","Baru")</f>
        <v>Lama</v>
      </c>
      <c r="BB31" s="92" t="str">
        <f ca="1">IF(TODAY()-Table43[[#This Row],[Efektif Naik Harga]]&lt;30,"Naik","Sama")</f>
        <v>Sama</v>
      </c>
      <c r="BC31" s="92"/>
      <c r="BD31" s="92" t="str">
        <f>IF(Table43[[#This Row],[Kode BARANG Win2]]&lt;&gt;"","IDR","")</f>
        <v>IDR</v>
      </c>
      <c r="BE31" s="92" t="str">
        <f>CONCATENATE(Table43[[#This Row],[kode  1 Digit
(Nomor)]],Table43[[#This Row],[kode  4 Digit                (Nomor)]])</f>
        <v>0009</v>
      </c>
      <c r="BF31" s="92" t="str">
        <f>Table43[[#This Row],[Nama            Gramasi atau Jumlah Pack per CTN]]</f>
        <v>9ML</v>
      </c>
      <c r="BG31" s="92"/>
      <c r="BH31" s="92"/>
      <c r="BI31" s="91" t="str">
        <f>IF(Table43[[#This Row],[SATUAN Fix Win]]&lt;&gt;"","KRT")</f>
        <v>KRT</v>
      </c>
      <c r="BJ31" s="91" t="str">
        <f>IF(Table43[[#This Row],[SATUAN Fix Win]]&lt;&gt;"","GD01")</f>
        <v>GD01</v>
      </c>
      <c r="BK31" s="91">
        <f>IF(Table43[[#This Row],[SATUAN Fix Win]]&lt;&gt;"",11611)</f>
        <v>11611</v>
      </c>
      <c r="BL31" s="91">
        <f>IF(Table43[[#This Row],[SATUAN Fix Win]]&lt;&gt;"",11612)</f>
        <v>11612</v>
      </c>
      <c r="BM31" s="104"/>
      <c r="BN31" s="91">
        <f>IF(Table43[[#This Row],[SATUAN Fix Win]]&lt;&gt;"",1)</f>
        <v>1</v>
      </c>
      <c r="BO31" s="91"/>
      <c r="BP31" s="91"/>
      <c r="BQ31" s="91"/>
      <c r="BR31" s="91"/>
    </row>
    <row r="32" spans="1:70">
      <c r="A32" s="4" t="str">
        <f>CONCATENATE(Table43[[#This Row],[Kode BARANG Win2]],Table43[[#This Row],[No. Urut
Item Sama]])</f>
        <v>F40410030200101</v>
      </c>
      <c r="B32" s="7">
        <v>1</v>
      </c>
      <c r="C32" s="4">
        <v>25</v>
      </c>
      <c r="D32" s="27" t="s">
        <v>483</v>
      </c>
      <c r="E32" s="27" t="s">
        <v>633</v>
      </c>
      <c r="F32" s="27" t="s">
        <v>604</v>
      </c>
      <c r="G32" s="27">
        <v>48</v>
      </c>
      <c r="H32" s="54">
        <v>8992946534577</v>
      </c>
      <c r="I32" s="27" t="str">
        <f>Table43[[#This Row],[Nama Jenis Kemasan]]</f>
        <v xml:space="preserve">BTL </v>
      </c>
      <c r="J32" s="4" t="str">
        <f>TRIM(CONCATENATE(Table43[[#This Row],[Nama            KLP]]," ",Table43[[#This Row],[Nama            Sub KLP]]))</f>
        <v>GRDN GLOW BODY LTN</v>
      </c>
      <c r="K32" s="4" t="str">
        <f>CONCATENATE(Table43[[#This Row],[kode  2 Digit                (hrf+No)]],Table43[[#This Row],[kode  2 Digit                (Nomor)]],Table43[[#This Row],[kode  1 Digit                (Nomor)]])</f>
        <v>F4041</v>
      </c>
      <c r="L32" s="4" t="str">
        <f>IF(AG32="",CONCATENATE(Q32,S32,U32,W32,Y32,AA32,AC32,AE32,Table43[[#This Row],[Tanda Kode Revisi]]),CONCATENATE(Q32,S32,U32,W32,Y32,AA32,AC32,AG32))</f>
        <v>F4041003020010</v>
      </c>
      <c r="M32" s="11">
        <f t="shared" si="0"/>
        <v>14</v>
      </c>
      <c r="N32" s="14" t="str">
        <f>IF(AF32&lt;&gt;"",TRIM(UPPER(CONCATENATE(P32," ",R32," ",T32," ",V32," ",X32," ",Z32," ","X"," ",Table43[[#This Row],[ISI/CTN]]," ",AF32," ",AB32," ",AD32," ",AH32))),TRIM(UPPER(CONCATENATE(P32," ",R32," ",T32," ",V32," ",X32," ",Z32," ","X"," ",Table43[[#This Row],[ISI/CTN]]," ",AB32," ",AD32," ",AH32))))</f>
        <v>GRDN GLOW BODY LTN TAIFI ROSE 200ML X 48 BTL</v>
      </c>
      <c r="O32" s="11">
        <f t="shared" si="1"/>
        <v>44</v>
      </c>
      <c r="Q32" s="7" t="s">
        <v>662</v>
      </c>
      <c r="R32" s="4" t="s">
        <v>778</v>
      </c>
      <c r="S32" s="48" t="s">
        <v>753</v>
      </c>
      <c r="T32" s="49" t="s">
        <v>779</v>
      </c>
      <c r="U32" s="7">
        <v>1</v>
      </c>
      <c r="V32" s="49"/>
      <c r="W32" s="48" t="s">
        <v>370</v>
      </c>
      <c r="X32" s="4" t="s">
        <v>674</v>
      </c>
      <c r="Y32" s="50" t="s">
        <v>752</v>
      </c>
      <c r="Z32" s="4" t="s">
        <v>685</v>
      </c>
      <c r="AA32" s="50" t="s">
        <v>745</v>
      </c>
      <c r="AB32" s="4" t="s">
        <v>731</v>
      </c>
      <c r="AC32" s="7">
        <v>1</v>
      </c>
      <c r="AE32" s="7">
        <v>0</v>
      </c>
      <c r="AI32" s="7" t="s">
        <v>178</v>
      </c>
      <c r="AJ32" s="7">
        <v>2</v>
      </c>
      <c r="AL32" s="38">
        <v>12887.527027027025</v>
      </c>
      <c r="AM32" s="39">
        <f>Table43[[#This Row],[Harga Beli Pcs
(-PPN)]]*Table43[[#This Row],[ISI/CTN]]</f>
        <v>618601.29729729716</v>
      </c>
      <c r="AN32" s="39">
        <f>Table43[[#This Row],[Harga Beli Pcs
(-PPN)]]*1.11</f>
        <v>14305.154999999999</v>
      </c>
      <c r="AO32" s="39">
        <f>Table43[[#This Row],[Harga Beli Krt
(- PPN)]]*1.11</f>
        <v>686647.44</v>
      </c>
      <c r="AP32" s="39">
        <v>13918.918918918918</v>
      </c>
      <c r="AQ32" s="39">
        <f>Table43[[#This Row],[Harga Jual Pcs GT
(-PPN)]]*Table43[[#This Row],[ISI/CTN]]</f>
        <v>668108.10810810805</v>
      </c>
      <c r="AR32" s="39">
        <f>Table43[[#This Row],[Harga Jual Pcs GT
(-PPN)]]*1.11</f>
        <v>15450</v>
      </c>
      <c r="AS32" s="39">
        <f>Table43[[#This Row],[Harga Jual Krt GT
(- PPN)]]*1.11</f>
        <v>741600</v>
      </c>
      <c r="AT32" s="39"/>
      <c r="AU32" s="39">
        <f>Table43[[#This Row],[Harga Jual Pcs MT
(-PPN)]]*Table43[[#This Row],[ISI/CTN]]</f>
        <v>0</v>
      </c>
      <c r="AV32" s="39">
        <f>Table43[[#This Row],[Harga Jual Pcs MT
(-PPN)]]*1.11</f>
        <v>0</v>
      </c>
      <c r="AW32" s="39">
        <f>Table43[[#This Row],[Harga Jual Pcs MT
(+PPN)]]*Table43[[#This Row],[ISI/CTN]]</f>
        <v>0</v>
      </c>
      <c r="AX32" s="47">
        <f>IFERROR((Table43[[#This Row],[Harga Jual Pcs GT
(-PPN)]]-Table43[[#This Row],[Harga Beli Pcs
(-PPN)]])/Table43[[#This Row],[Harga Jual Pcs GT
(-PPN)]],0)</f>
        <v>7.410000000000011E-2</v>
      </c>
      <c r="AY32" s="51">
        <v>45848</v>
      </c>
      <c r="AZ32" s="7"/>
      <c r="BA32" s="7" t="str">
        <f ca="1">IF(TODAY()-Table43[[#This Row],[Efektif
Pembuatan]]&gt;60,"Lama","Baru")</f>
        <v>Lama</v>
      </c>
      <c r="BB32" s="7" t="str">
        <f ca="1">IF(TODAY()-Table43[[#This Row],[Efektif Naik Harga]]&lt;30,"Naik","Sama")</f>
        <v>Sama</v>
      </c>
      <c r="BC32" s="7" t="s">
        <v>185</v>
      </c>
      <c r="BD32" s="7" t="str">
        <f>IF(Table43[[#This Row],[Kode BARANG Win2]]&lt;&gt;"","IDR","")</f>
        <v>IDR</v>
      </c>
      <c r="BE32" s="7" t="str">
        <f>CONCATENATE(Table43[[#This Row],[kode  1 Digit
(Nomor)]],Table43[[#This Row],[kode  4 Digit                (Nomor)]])</f>
        <v>20200</v>
      </c>
      <c r="BF32" s="7" t="str">
        <f>Table43[[#This Row],[Nama            Gramasi atau Jumlah Pack per CTN]]</f>
        <v>200ML</v>
      </c>
      <c r="BG32" s="7" t="s">
        <v>1060</v>
      </c>
      <c r="BH32" s="7" t="s">
        <v>377</v>
      </c>
      <c r="BI32" s="4" t="str">
        <f>IF(Table43[[#This Row],[SATUAN Fix Win]]&lt;&gt;"","KRT")</f>
        <v>KRT</v>
      </c>
      <c r="BJ32" s="4" t="str">
        <f>IF(Table43[[#This Row],[SATUAN Fix Win]]&lt;&gt;"","GD01")</f>
        <v>GD01</v>
      </c>
      <c r="BK32" s="4">
        <f>IF(Table43[[#This Row],[SATUAN Fix Win]]&lt;&gt;"",11611)</f>
        <v>11611</v>
      </c>
      <c r="BL32" s="4">
        <f>IF(Table43[[#This Row],[SATUAN Fix Win]]&lt;&gt;"",11612)</f>
        <v>11612</v>
      </c>
      <c r="BM32" s="52" t="s">
        <v>378</v>
      </c>
      <c r="BN32" s="4">
        <f>IF(Table43[[#This Row],[SATUAN Fix Win]]&lt;&gt;"",1)</f>
        <v>1</v>
      </c>
      <c r="BO32" s="4" t="s">
        <v>637</v>
      </c>
    </row>
    <row r="33" spans="1:70">
      <c r="A33" s="4" t="str">
        <f>CONCATENATE(Table43[[#This Row],[Kode BARANG Win2]],Table43[[#This Row],[No. Urut
Item Sama]])</f>
        <v>F40410030009201</v>
      </c>
      <c r="B33" s="7">
        <v>1</v>
      </c>
      <c r="C33" s="4">
        <v>26</v>
      </c>
      <c r="D33" s="27" t="s">
        <v>482</v>
      </c>
      <c r="E33" s="27" t="s">
        <v>633</v>
      </c>
      <c r="F33" s="27" t="s">
        <v>603</v>
      </c>
      <c r="G33" s="27">
        <v>48</v>
      </c>
      <c r="H33" s="54">
        <v>8992946534713</v>
      </c>
      <c r="I33" s="27" t="str">
        <f>Table43[[#This Row],[Nama Jenis Kemasan]]</f>
        <v>SCH</v>
      </c>
      <c r="J33" s="4" t="str">
        <f>TRIM(CONCATENATE(Table43[[#This Row],[Nama            KLP]]," ",Table43[[#This Row],[Nama            Sub KLP]]))</f>
        <v>GRDN GLOW BODY LTN</v>
      </c>
      <c r="K33" s="4" t="str">
        <f>CONCATENATE(Table43[[#This Row],[kode  2 Digit                (hrf+No)]],Table43[[#This Row],[kode  2 Digit                (Nomor)]],Table43[[#This Row],[kode  1 Digit                (Nomor)]])</f>
        <v>F4041</v>
      </c>
      <c r="L33" s="4" t="str">
        <f>IF(AG33="",CONCATENATE(Q33,S33,U33,W33,Y33,AA33,AC33,AE33,Table43[[#This Row],[Tanda Kode Revisi]]),CONCATENATE(Q33,S33,U33,W33,Y33,AA33,AC33,AG33))</f>
        <v>F4041003000920</v>
      </c>
      <c r="M33" s="11">
        <f t="shared" si="0"/>
        <v>14</v>
      </c>
      <c r="N33" s="14" t="str">
        <f>IF(AF33&lt;&gt;"",TRIM(UPPER(CONCATENATE(P33," ",R33," ",T33," ",V33," ",X33," ",Z33," ","X"," ",Table43[[#This Row],[ISI/CTN]]," ",AF33," ",AB33," ",AD33," ",AH33))),TRIM(UPPER(CONCATENATE(P33," ",R33," ",T33," ",V33," ",X33," ",Z33," ","X"," ",Table43[[#This Row],[ISI/CTN]]," ",AB33," ",AD33," ",AH33))))</f>
        <v>GRDN GLOW BODY LTN TAIFI ROSE 9ML X 48 SCH</v>
      </c>
      <c r="O33" s="11">
        <f t="shared" si="1"/>
        <v>42</v>
      </c>
      <c r="Q33" s="7" t="s">
        <v>662</v>
      </c>
      <c r="R33" s="4" t="s">
        <v>778</v>
      </c>
      <c r="S33" s="48" t="s">
        <v>753</v>
      </c>
      <c r="T33" s="49" t="s">
        <v>779</v>
      </c>
      <c r="U33" s="7">
        <v>1</v>
      </c>
      <c r="V33" s="49"/>
      <c r="W33" s="48" t="s">
        <v>370</v>
      </c>
      <c r="X33" s="4" t="s">
        <v>674</v>
      </c>
      <c r="Y33" s="50" t="s">
        <v>752</v>
      </c>
      <c r="Z33" s="4" t="s">
        <v>684</v>
      </c>
      <c r="AA33" s="50" t="s">
        <v>766</v>
      </c>
      <c r="AB33" s="4" t="s">
        <v>737</v>
      </c>
      <c r="AC33" s="7">
        <v>2</v>
      </c>
      <c r="AE33" s="7">
        <v>0</v>
      </c>
      <c r="AI33" s="7" t="s">
        <v>178</v>
      </c>
      <c r="AJ33" s="7">
        <v>2</v>
      </c>
      <c r="AL33" s="38">
        <v>5839.0090090090089</v>
      </c>
      <c r="AM33" s="39">
        <f>Table43[[#This Row],[Harga Beli Pcs
(-PPN)]]*Table43[[#This Row],[ISI/CTN]]</f>
        <v>280272.43243243243</v>
      </c>
      <c r="AN33" s="39">
        <f>Table43[[#This Row],[Harga Beli Pcs
(-PPN)]]*1.11</f>
        <v>6481.3</v>
      </c>
      <c r="AO33" s="39">
        <f>Table43[[#This Row],[Harga Beli Krt
(- PPN)]]*1.11</f>
        <v>311102.40000000002</v>
      </c>
      <c r="AP33" s="39">
        <v>6306.3063063063055</v>
      </c>
      <c r="AQ33" s="39">
        <f>Table43[[#This Row],[Harga Jual Pcs GT
(-PPN)]]*Table43[[#This Row],[ISI/CTN]]</f>
        <v>302702.70270270266</v>
      </c>
      <c r="AR33" s="39">
        <f>Table43[[#This Row],[Harga Jual Pcs GT
(-PPN)]]*1.11</f>
        <v>7000</v>
      </c>
      <c r="AS33" s="39">
        <f>Table43[[#This Row],[Harga Jual Krt GT
(- PPN)]]*1.11</f>
        <v>336000</v>
      </c>
      <c r="AT33" s="39"/>
      <c r="AU33" s="39">
        <f>Table43[[#This Row],[Harga Jual Pcs MT
(-PPN)]]*Table43[[#This Row],[ISI/CTN]]</f>
        <v>0</v>
      </c>
      <c r="AV33" s="39">
        <f>Table43[[#This Row],[Harga Jual Pcs MT
(-PPN)]]*1.11</f>
        <v>0</v>
      </c>
      <c r="AW33" s="39">
        <f>Table43[[#This Row],[Harga Jual Pcs MT
(+PPN)]]*Table43[[#This Row],[ISI/CTN]]</f>
        <v>0</v>
      </c>
      <c r="AX33" s="47">
        <f>IFERROR((Table43[[#This Row],[Harga Jual Pcs GT
(-PPN)]]-Table43[[#This Row],[Harga Beli Pcs
(-PPN)]])/Table43[[#This Row],[Harga Jual Pcs GT
(-PPN)]],0)</f>
        <v>7.4099999999999902E-2</v>
      </c>
      <c r="AY33" s="51">
        <v>45848</v>
      </c>
      <c r="AZ33" s="7"/>
      <c r="BA33" s="7" t="str">
        <f ca="1">IF(TODAY()-Table43[[#This Row],[Efektif
Pembuatan]]&gt;60,"Lama","Baru")</f>
        <v>Lama</v>
      </c>
      <c r="BB33" s="7" t="str">
        <f ca="1">IF(TODAY()-Table43[[#This Row],[Efektif Naik Harga]]&lt;30,"Naik","Sama")</f>
        <v>Sama</v>
      </c>
      <c r="BC33" s="7" t="s">
        <v>185</v>
      </c>
      <c r="BD33" s="7" t="str">
        <f>IF(Table43[[#This Row],[Kode BARANG Win2]]&lt;&gt;"","IDR","")</f>
        <v>IDR</v>
      </c>
      <c r="BE33" s="7" t="str">
        <f>CONCATENATE(Table43[[#This Row],[kode  1 Digit
(Nomor)]],Table43[[#This Row],[kode  4 Digit                (Nomor)]])</f>
        <v>20009</v>
      </c>
      <c r="BF33" s="7" t="str">
        <f>Table43[[#This Row],[Nama            Gramasi atau Jumlah Pack per CTN]]</f>
        <v>9ML</v>
      </c>
      <c r="BG33" s="7" t="s">
        <v>1060</v>
      </c>
      <c r="BH33" s="7" t="s">
        <v>377</v>
      </c>
      <c r="BI33" s="4" t="str">
        <f>IF(Table43[[#This Row],[SATUAN Fix Win]]&lt;&gt;"","KRT")</f>
        <v>KRT</v>
      </c>
      <c r="BJ33" s="4" t="str">
        <f>IF(Table43[[#This Row],[SATUAN Fix Win]]&lt;&gt;"","GD01")</f>
        <v>GD01</v>
      </c>
      <c r="BK33" s="4">
        <f>IF(Table43[[#This Row],[SATUAN Fix Win]]&lt;&gt;"",11611)</f>
        <v>11611</v>
      </c>
      <c r="BL33" s="4">
        <f>IF(Table43[[#This Row],[SATUAN Fix Win]]&lt;&gt;"",11612)</f>
        <v>11612</v>
      </c>
      <c r="BM33" s="52" t="s">
        <v>378</v>
      </c>
      <c r="BN33" s="4">
        <f>IF(Table43[[#This Row],[SATUAN Fix Win]]&lt;&gt;"",1)</f>
        <v>1</v>
      </c>
      <c r="BO33" s="4" t="s">
        <v>637</v>
      </c>
    </row>
    <row r="34" spans="1:70" s="105" customFormat="1">
      <c r="A34" s="91" t="str">
        <f>CONCATENATE(Table43[[#This Row],[Kode BARANG Win2]],Table43[[#This Row],[No. Urut
Item Sama]])</f>
        <v>F40410030009302</v>
      </c>
      <c r="B34" s="92">
        <v>2</v>
      </c>
      <c r="C34" s="91"/>
      <c r="D34" s="93" t="s">
        <v>482</v>
      </c>
      <c r="E34" s="93" t="s">
        <v>633</v>
      </c>
      <c r="F34" s="93" t="s">
        <v>603</v>
      </c>
      <c r="G34" s="93" t="s">
        <v>1235</v>
      </c>
      <c r="H34" s="107">
        <v>8992946535236</v>
      </c>
      <c r="I34" s="93" t="str">
        <f>Table43[[#This Row],[Nama Jenis Kemasan]]</f>
        <v>PCSX10</v>
      </c>
      <c r="J34" s="91" t="s">
        <v>1236</v>
      </c>
      <c r="K34" s="91" t="str">
        <f>CONCATENATE(Table43[[#This Row],[kode  2 Digit                (hrf+No)]],Table43[[#This Row],[kode  2 Digit                (Nomor)]],Table43[[#This Row],[kode  1 Digit                (Nomor)]])</f>
        <v>F4041</v>
      </c>
      <c r="L34" s="91" t="str">
        <f>IF(AG34="",CONCATENATE(Q34,S34,U34,W34,Y34,AA34,AC34,AE34,Table43[[#This Row],[Tanda Kode Revisi]]),CONCATENATE(Q34,S34,U34,W34,Y34,AA34,AC34,AG34))</f>
        <v>F4041003000930</v>
      </c>
      <c r="M34" s="95">
        <f>LEN(L34)</f>
        <v>14</v>
      </c>
      <c r="N34" s="96" t="str">
        <f>IF(AF34&lt;&gt;"",TRIM(UPPER(CONCATENATE(P34," ",R34," ",T34," ",V34," ",X34," ",Z34," ","X"," ",Table43[[#This Row],[ISI/CTN]]," ",AF34," ",AB34," ",AD34," ",AH34))),TRIM(UPPER(CONCATENATE(P34," ",R34," ",T34," ",V34," ",X34," ",Z34," ","X"," ",Table43[[#This Row],[ISI/CTN]]," ",AB34," ",AD34," ",AH34))))</f>
        <v>GRDN GLOW BODY LTN TAIFI ROSE 9ML X 48 RCG PCSX10</v>
      </c>
      <c r="O34" s="95">
        <f>LEN(N34)</f>
        <v>49</v>
      </c>
      <c r="P34" s="91"/>
      <c r="Q34" s="92" t="s">
        <v>662</v>
      </c>
      <c r="R34" s="91" t="s">
        <v>778</v>
      </c>
      <c r="S34" s="97" t="s">
        <v>753</v>
      </c>
      <c r="T34" s="98" t="s">
        <v>779</v>
      </c>
      <c r="U34" s="92">
        <v>1</v>
      </c>
      <c r="V34" s="98"/>
      <c r="W34" s="97" t="s">
        <v>370</v>
      </c>
      <c r="X34" s="91" t="s">
        <v>674</v>
      </c>
      <c r="Y34" s="99" t="s">
        <v>752</v>
      </c>
      <c r="Z34" s="91" t="s">
        <v>684</v>
      </c>
      <c r="AA34" s="99" t="s">
        <v>766</v>
      </c>
      <c r="AB34" s="91" t="s">
        <v>1234</v>
      </c>
      <c r="AC34" s="92">
        <v>3</v>
      </c>
      <c r="AD34" s="91"/>
      <c r="AE34" s="92">
        <v>0</v>
      </c>
      <c r="AF34" s="92"/>
      <c r="AG34" s="92"/>
      <c r="AH34" s="92"/>
      <c r="AI34" s="92"/>
      <c r="AJ34" s="92"/>
      <c r="AK34" s="92"/>
      <c r="AL34" s="100"/>
      <c r="AM34" s="101" t="e">
        <f>Table43[[#This Row],[Harga Beli Pcs
(-PPN)]]*Table43[[#This Row],[ISI/CTN]]</f>
        <v>#VALUE!</v>
      </c>
      <c r="AN34" s="101">
        <f>Table43[[#This Row],[Harga Beli Pcs
(-PPN)]]*1.11</f>
        <v>0</v>
      </c>
      <c r="AO34" s="101" t="e">
        <f>Table43[[#This Row],[Harga Beli Krt
(- PPN)]]*1.11</f>
        <v>#VALUE!</v>
      </c>
      <c r="AP34" s="101"/>
      <c r="AQ34" s="101" t="e">
        <f>Table43[[#This Row],[Harga Jual Pcs GT
(-PPN)]]*Table43[[#This Row],[ISI/CTN]]</f>
        <v>#VALUE!</v>
      </c>
      <c r="AR34" s="101">
        <f>Table43[[#This Row],[Harga Jual Pcs GT
(-PPN)]]*1.11</f>
        <v>0</v>
      </c>
      <c r="AS34" s="101" t="e">
        <f>Table43[[#This Row],[Harga Jual Krt GT
(- PPN)]]*1.11</f>
        <v>#VALUE!</v>
      </c>
      <c r="AT34" s="101"/>
      <c r="AU34" s="101" t="e">
        <f>Table43[[#This Row],[Harga Jual Pcs MT
(-PPN)]]*Table43[[#This Row],[ISI/CTN]]</f>
        <v>#VALUE!</v>
      </c>
      <c r="AV34" s="101">
        <f>Table43[[#This Row],[Harga Jual Pcs MT
(-PPN)]]*1.11</f>
        <v>0</v>
      </c>
      <c r="AW34" s="101" t="e">
        <f>Table43[[#This Row],[Harga Jual Pcs MT
(+PPN)]]*Table43[[#This Row],[ISI/CTN]]</f>
        <v>#VALUE!</v>
      </c>
      <c r="AX34" s="102">
        <f>IFERROR((Table43[[#This Row],[Harga Jual Pcs GT
(-PPN)]]-Table43[[#This Row],[Harga Beli Pcs
(-PPN)]])/Table43[[#This Row],[Harga Jual Pcs GT
(-PPN)]],0)</f>
        <v>0</v>
      </c>
      <c r="AY34" s="103"/>
      <c r="AZ34" s="92"/>
      <c r="BA34" s="92" t="str">
        <f ca="1">IF(TODAY()-Table43[[#This Row],[Efektif
Pembuatan]]&gt;60,"Lama","Baru")</f>
        <v>Lama</v>
      </c>
      <c r="BB34" s="92" t="str">
        <f ca="1">IF(TODAY()-Table43[[#This Row],[Efektif Naik Harga]]&lt;30,"Naik","Sama")</f>
        <v>Sama</v>
      </c>
      <c r="BC34" s="92"/>
      <c r="BD34" s="92" t="str">
        <f>IF(Table43[[#This Row],[Kode BARANG Win2]]&lt;&gt;"","IDR","")</f>
        <v>IDR</v>
      </c>
      <c r="BE34" s="92" t="str">
        <f>CONCATENATE(Table43[[#This Row],[kode  1 Digit
(Nomor)]],Table43[[#This Row],[kode  4 Digit                (Nomor)]])</f>
        <v>0009</v>
      </c>
      <c r="BF34" s="92" t="str">
        <f>Table43[[#This Row],[Nama            Gramasi atau Jumlah Pack per CTN]]</f>
        <v>9ML</v>
      </c>
      <c r="BG34" s="92"/>
      <c r="BH34" s="92"/>
      <c r="BI34" s="91" t="str">
        <f>IF(Table43[[#This Row],[SATUAN Fix Win]]&lt;&gt;"","KRT")</f>
        <v>KRT</v>
      </c>
      <c r="BJ34" s="91" t="str">
        <f>IF(Table43[[#This Row],[SATUAN Fix Win]]&lt;&gt;"","GD01")</f>
        <v>GD01</v>
      </c>
      <c r="BK34" s="91">
        <f>IF(Table43[[#This Row],[SATUAN Fix Win]]&lt;&gt;"",11611)</f>
        <v>11611</v>
      </c>
      <c r="BL34" s="91">
        <f>IF(Table43[[#This Row],[SATUAN Fix Win]]&lt;&gt;"",11612)</f>
        <v>11612</v>
      </c>
      <c r="BM34" s="104"/>
      <c r="BN34" s="91">
        <f>IF(Table43[[#This Row],[SATUAN Fix Win]]&lt;&gt;"",1)</f>
        <v>1</v>
      </c>
      <c r="BO34" s="91"/>
      <c r="BP34" s="91"/>
      <c r="BQ34" s="91"/>
      <c r="BR34" s="91"/>
    </row>
    <row r="35" spans="1:70">
      <c r="A35" s="4" t="str">
        <f>CONCATENATE(Table43[[#This Row],[Kode BARANG Win2]],Table43[[#This Row],[No. Urut
Item Sama]])</f>
        <v>F40510010360111</v>
      </c>
      <c r="B35" s="7">
        <v>1</v>
      </c>
      <c r="C35" s="4">
        <v>27</v>
      </c>
      <c r="D35" s="27" t="s">
        <v>469</v>
      </c>
      <c r="E35" s="27" t="s">
        <v>630</v>
      </c>
      <c r="F35" s="27" t="s">
        <v>590</v>
      </c>
      <c r="G35" s="27">
        <v>24</v>
      </c>
      <c r="H35" s="54">
        <v>8992946534881</v>
      </c>
      <c r="I35" s="27" t="str">
        <f>Table43[[#This Row],[Nama Jenis Kemasan]]</f>
        <v>TUBE</v>
      </c>
      <c r="J35" s="4" t="str">
        <f>TRIM(CONCATENATE(Table43[[#This Row],[Nama            KLP]]," ",Table43[[#This Row],[Nama            Sub KLP]]))</f>
        <v>PINK SKIN BCL</v>
      </c>
      <c r="K35" s="4" t="str">
        <f>CONCATENATE(Table43[[#This Row],[kode  2 Digit                (hrf+No)]],Table43[[#This Row],[kode  2 Digit                (Nomor)]],Table43[[#This Row],[kode  1 Digit                (Nomor)]])</f>
        <v>F4051</v>
      </c>
      <c r="L35" s="4" t="str">
        <f>IF(AG35="",CONCATENATE(Q35,S35,U35,W35,Y35,AA35,AC35,AE35,Table43[[#This Row],[Tanda Kode Revisi]]),CONCATENATE(Q35,S35,U35,W35,Y35,AA35,AC35,AG35))</f>
        <v>F4051001036011</v>
      </c>
      <c r="M35" s="11">
        <f t="shared" si="0"/>
        <v>14</v>
      </c>
      <c r="N35" s="14" t="str">
        <f>IF(AF35&lt;&gt;"",TRIM(UPPER(CONCATENATE(P35," ",R35," ",T35," ",V35," ",X35," ",Z35," ","X"," ",Table43[[#This Row],[ISI/CTN]]," ",AF35," ",AB35," ",AD35," ",AH35))),TRIM(UPPER(CONCATENATE(P35," ",R35," ",T35," ",V35," ",X35," ",Z35," ","X"," ",Table43[[#This Row],[ISI/CTN]]," ",AB35," ",AD35," ",AH35))))</f>
        <v>PINK SKIN BCL SHINING STAR 360ML X 24 TUBE 30%</v>
      </c>
      <c r="O35" s="11">
        <f t="shared" si="1"/>
        <v>46</v>
      </c>
      <c r="Q35" s="7" t="s">
        <v>662</v>
      </c>
      <c r="R35" s="4" t="s">
        <v>686</v>
      </c>
      <c r="S35" s="48" t="s">
        <v>754</v>
      </c>
      <c r="T35" s="49" t="s">
        <v>775</v>
      </c>
      <c r="U35" s="7">
        <v>1</v>
      </c>
      <c r="V35" s="49"/>
      <c r="W35" s="48" t="s">
        <v>370</v>
      </c>
      <c r="X35" s="4" t="s">
        <v>678</v>
      </c>
      <c r="Y35" s="50" t="s">
        <v>749</v>
      </c>
      <c r="Z35" s="4" t="s">
        <v>691</v>
      </c>
      <c r="AA35" s="50" t="s">
        <v>760</v>
      </c>
      <c r="AB35" s="4" t="s">
        <v>732</v>
      </c>
      <c r="AC35" s="7">
        <v>1</v>
      </c>
      <c r="AD35" s="52" t="s">
        <v>729</v>
      </c>
      <c r="AE35" s="7">
        <v>1</v>
      </c>
      <c r="AI35" s="7" t="s">
        <v>178</v>
      </c>
      <c r="AJ35" s="7">
        <v>2</v>
      </c>
      <c r="AL35" s="38">
        <v>40038.918918918913</v>
      </c>
      <c r="AM35" s="39">
        <f>Table43[[#This Row],[Harga Beli Pcs
(-PPN)]]*Table43[[#This Row],[ISI/CTN]]</f>
        <v>960934.05405405397</v>
      </c>
      <c r="AN35" s="39">
        <f>Table43[[#This Row],[Harga Beli Pcs
(-PPN)]]*1.11</f>
        <v>44443.199999999997</v>
      </c>
      <c r="AO35" s="39">
        <f>Table43[[#This Row],[Harga Beli Krt
(- PPN)]]*1.11</f>
        <v>1066636.8</v>
      </c>
      <c r="AP35" s="39">
        <v>43243.24324324324</v>
      </c>
      <c r="AQ35" s="39">
        <f>Table43[[#This Row],[Harga Jual Pcs GT
(-PPN)]]*Table43[[#This Row],[ISI/CTN]]</f>
        <v>1037837.8378378378</v>
      </c>
      <c r="AR35" s="39">
        <f>Table43[[#This Row],[Harga Jual Pcs GT
(-PPN)]]*1.11</f>
        <v>48000</v>
      </c>
      <c r="AS35" s="39">
        <f>Table43[[#This Row],[Harga Jual Krt GT
(- PPN)]]*1.11</f>
        <v>1152000</v>
      </c>
      <c r="AT35" s="39"/>
      <c r="AU35" s="39">
        <f>Table43[[#This Row],[Harga Jual Pcs MT
(-PPN)]]*Table43[[#This Row],[ISI/CTN]]</f>
        <v>0</v>
      </c>
      <c r="AV35" s="39">
        <f>Table43[[#This Row],[Harga Jual Pcs MT
(-PPN)]]*1.11</f>
        <v>0</v>
      </c>
      <c r="AW35" s="39">
        <f>Table43[[#This Row],[Harga Jual Pcs MT
(+PPN)]]*Table43[[#This Row],[ISI/CTN]]</f>
        <v>0</v>
      </c>
      <c r="AX35" s="47">
        <f>IFERROR((Table43[[#This Row],[Harga Jual Pcs GT
(-PPN)]]-Table43[[#This Row],[Harga Beli Pcs
(-PPN)]])/Table43[[#This Row],[Harga Jual Pcs GT
(-PPN)]],0)</f>
        <v>7.4100000000000069E-2</v>
      </c>
      <c r="AY35" s="51">
        <v>45848</v>
      </c>
      <c r="AZ35" s="7"/>
      <c r="BA35" s="7" t="str">
        <f ca="1">IF(TODAY()-Table43[[#This Row],[Efektif
Pembuatan]]&gt;60,"Lama","Baru")</f>
        <v>Lama</v>
      </c>
      <c r="BB35" s="7" t="str">
        <f ca="1">IF(TODAY()-Table43[[#This Row],[Efektif Naik Harga]]&lt;30,"Naik","Sama")</f>
        <v>Sama</v>
      </c>
      <c r="BC35" s="7" t="s">
        <v>185</v>
      </c>
      <c r="BD35" s="7" t="str">
        <f>IF(Table43[[#This Row],[Kode BARANG Win2]]&lt;&gt;"","IDR","")</f>
        <v>IDR</v>
      </c>
      <c r="BE35" s="7" t="str">
        <f>CONCATENATE(Table43[[#This Row],[kode  1 Digit
(Nomor)]],Table43[[#This Row],[kode  4 Digit                (Nomor)]])</f>
        <v>20360</v>
      </c>
      <c r="BF35" s="7" t="str">
        <f>Table43[[#This Row],[Nama            Gramasi atau Jumlah Pack per CTN]]</f>
        <v>360ML</v>
      </c>
      <c r="BG35" s="7" t="s">
        <v>1060</v>
      </c>
      <c r="BH35" s="7" t="s">
        <v>377</v>
      </c>
      <c r="BI35" s="4" t="str">
        <f>IF(Table43[[#This Row],[SATUAN Fix Win]]&lt;&gt;"","KRT")</f>
        <v>KRT</v>
      </c>
      <c r="BJ35" s="4" t="str">
        <f>IF(Table43[[#This Row],[SATUAN Fix Win]]&lt;&gt;"","GD01")</f>
        <v>GD01</v>
      </c>
      <c r="BK35" s="4">
        <f>IF(Table43[[#This Row],[SATUAN Fix Win]]&lt;&gt;"",11611)</f>
        <v>11611</v>
      </c>
      <c r="BL35" s="4">
        <f>IF(Table43[[#This Row],[SATUAN Fix Win]]&lt;&gt;"",11612)</f>
        <v>11612</v>
      </c>
      <c r="BM35" s="52" t="s">
        <v>378</v>
      </c>
      <c r="BN35" s="4">
        <f>IF(Table43[[#This Row],[SATUAN Fix Win]]&lt;&gt;"",1)</f>
        <v>1</v>
      </c>
      <c r="BO35" s="4" t="s">
        <v>637</v>
      </c>
    </row>
    <row r="36" spans="1:70">
      <c r="A36" s="4" t="str">
        <f>CONCATENATE(Table43[[#This Row],[Kode BARANG Win2]],Table43[[#This Row],[No. Urut
Item Sama]])</f>
        <v>F40520010180101</v>
      </c>
      <c r="B36" s="7">
        <v>1</v>
      </c>
      <c r="C36" s="4">
        <v>28</v>
      </c>
      <c r="D36" s="27" t="s">
        <v>417</v>
      </c>
      <c r="E36" s="27" t="s">
        <v>630</v>
      </c>
      <c r="F36" s="27" t="s">
        <v>538</v>
      </c>
      <c r="G36" s="27">
        <v>48</v>
      </c>
      <c r="H36" s="54" t="s">
        <v>645</v>
      </c>
      <c r="I36" s="27" t="str">
        <f>Table43[[#This Row],[Nama Jenis Kemasan]]</f>
        <v>TUBE</v>
      </c>
      <c r="J36" s="4" t="str">
        <f>TRIM(CONCATENATE(Table43[[#This Row],[Nama            KLP]]," ",Table43[[#This Row],[Nama            Sub KLP]]))</f>
        <v>PINK SKIN PARFUME LTN</v>
      </c>
      <c r="K36" s="4" t="str">
        <f>CONCATENATE(Table43[[#This Row],[kode  2 Digit                (hrf+No)]],Table43[[#This Row],[kode  2 Digit                (Nomor)]],Table43[[#This Row],[kode  1 Digit                (Nomor)]])</f>
        <v>F4052</v>
      </c>
      <c r="L36" s="4" t="str">
        <f>IF(AG36="",CONCATENATE(Q36,S36,U36,W36,Y36,AA36,AC36,AE36,Table43[[#This Row],[Tanda Kode Revisi]]),CONCATENATE(Q36,S36,U36,W36,Y36,AA36,AC36,AG36))</f>
        <v>F4052001018010</v>
      </c>
      <c r="M36" s="11">
        <f t="shared" si="0"/>
        <v>14</v>
      </c>
      <c r="N36" s="14" t="str">
        <f>IF(AF36&lt;&gt;"",TRIM(UPPER(CONCATENATE(P36," ",R36," ",T36," ",V36," ",X36," ",Z36," ","X"," ",Table43[[#This Row],[ISI/CTN]]," ",AF36," ",AB36," ",AD36," ",AH36))),TRIM(UPPER(CONCATENATE(P36," ",R36," ",T36," ",V36," ",X36," ",Z36," ","X"," ",Table43[[#This Row],[ISI/CTN]]," ",AB36," ",AD36," ",AH36))))</f>
        <v>PINK SKIN PARFUME LTN FIRST LOVE 180ML X 48 TUBE</v>
      </c>
      <c r="O36" s="11">
        <f t="shared" si="1"/>
        <v>48</v>
      </c>
      <c r="Q36" s="7" t="s">
        <v>662</v>
      </c>
      <c r="R36" s="4" t="s">
        <v>686</v>
      </c>
      <c r="S36" s="48" t="s">
        <v>754</v>
      </c>
      <c r="T36" s="49" t="s">
        <v>687</v>
      </c>
      <c r="U36" s="7">
        <v>2</v>
      </c>
      <c r="V36" s="49"/>
      <c r="W36" s="48" t="s">
        <v>370</v>
      </c>
      <c r="X36" s="4" t="s">
        <v>677</v>
      </c>
      <c r="Y36" s="50" t="s">
        <v>749</v>
      </c>
      <c r="Z36" s="4" t="s">
        <v>688</v>
      </c>
      <c r="AA36" s="50" t="s">
        <v>744</v>
      </c>
      <c r="AB36" s="4" t="s">
        <v>732</v>
      </c>
      <c r="AC36" s="7">
        <v>1</v>
      </c>
      <c r="AE36" s="7">
        <v>0</v>
      </c>
      <c r="AI36" s="7" t="s">
        <v>178</v>
      </c>
      <c r="AJ36" s="7">
        <v>2</v>
      </c>
      <c r="AL36" s="38">
        <v>40038.918918918913</v>
      </c>
      <c r="AM36" s="39">
        <f>Table43[[#This Row],[Harga Beli Pcs
(-PPN)]]*Table43[[#This Row],[ISI/CTN]]</f>
        <v>1921868.1081081079</v>
      </c>
      <c r="AN36" s="39">
        <f>Table43[[#This Row],[Harga Beli Pcs
(-PPN)]]*1.11</f>
        <v>44443.199999999997</v>
      </c>
      <c r="AO36" s="39">
        <f>Table43[[#This Row],[Harga Beli Krt
(- PPN)]]*1.11</f>
        <v>2133273.6000000001</v>
      </c>
      <c r="AP36" s="39">
        <v>43243.24324324324</v>
      </c>
      <c r="AQ36" s="39">
        <f>Table43[[#This Row],[Harga Jual Pcs GT
(-PPN)]]*Table43[[#This Row],[ISI/CTN]]</f>
        <v>2075675.6756756755</v>
      </c>
      <c r="AR36" s="39">
        <f>Table43[[#This Row],[Harga Jual Pcs GT
(-PPN)]]*1.11</f>
        <v>48000</v>
      </c>
      <c r="AS36" s="39">
        <f>Table43[[#This Row],[Harga Jual Krt GT
(- PPN)]]*1.11</f>
        <v>2304000</v>
      </c>
      <c r="AT36" s="39"/>
      <c r="AU36" s="39">
        <f>Table43[[#This Row],[Harga Jual Pcs MT
(-PPN)]]*Table43[[#This Row],[ISI/CTN]]</f>
        <v>0</v>
      </c>
      <c r="AV36" s="39">
        <f>Table43[[#This Row],[Harga Jual Pcs MT
(-PPN)]]*1.11</f>
        <v>0</v>
      </c>
      <c r="AW36" s="39">
        <f>Table43[[#This Row],[Harga Jual Pcs MT
(+PPN)]]*Table43[[#This Row],[ISI/CTN]]</f>
        <v>0</v>
      </c>
      <c r="AX36" s="47">
        <f>IFERROR((Table43[[#This Row],[Harga Jual Pcs GT
(-PPN)]]-Table43[[#This Row],[Harga Beli Pcs
(-PPN)]])/Table43[[#This Row],[Harga Jual Pcs GT
(-PPN)]],0)</f>
        <v>7.4100000000000069E-2</v>
      </c>
      <c r="AY36" s="51">
        <v>45848</v>
      </c>
      <c r="AZ36" s="7"/>
      <c r="BA36" s="7" t="str">
        <f ca="1">IF(TODAY()-Table43[[#This Row],[Efektif
Pembuatan]]&gt;60,"Lama","Baru")</f>
        <v>Lama</v>
      </c>
      <c r="BB36" s="7" t="str">
        <f ca="1">IF(TODAY()-Table43[[#This Row],[Efektif Naik Harga]]&lt;30,"Naik","Sama")</f>
        <v>Sama</v>
      </c>
      <c r="BC36" s="7" t="s">
        <v>185</v>
      </c>
      <c r="BD36" s="7" t="str">
        <f>IF(Table43[[#This Row],[Kode BARANG Win2]]&lt;&gt;"","IDR","")</f>
        <v>IDR</v>
      </c>
      <c r="BE36" s="7" t="str">
        <f>CONCATENATE(Table43[[#This Row],[kode  1 Digit
(Nomor)]],Table43[[#This Row],[kode  4 Digit                (Nomor)]])</f>
        <v>20180</v>
      </c>
      <c r="BF36" s="7" t="str">
        <f>Table43[[#This Row],[Nama            Gramasi atau Jumlah Pack per CTN]]</f>
        <v>180ML</v>
      </c>
      <c r="BG36" s="7" t="s">
        <v>1060</v>
      </c>
      <c r="BH36" s="7" t="s">
        <v>377</v>
      </c>
      <c r="BI36" s="4" t="str">
        <f>IF(Table43[[#This Row],[SATUAN Fix Win]]&lt;&gt;"","KRT")</f>
        <v>KRT</v>
      </c>
      <c r="BJ36" s="4" t="str">
        <f>IF(Table43[[#This Row],[SATUAN Fix Win]]&lt;&gt;"","GD01")</f>
        <v>GD01</v>
      </c>
      <c r="BK36" s="4">
        <f>IF(Table43[[#This Row],[SATUAN Fix Win]]&lt;&gt;"",11611)</f>
        <v>11611</v>
      </c>
      <c r="BL36" s="4">
        <f>IF(Table43[[#This Row],[SATUAN Fix Win]]&lt;&gt;"",11612)</f>
        <v>11612</v>
      </c>
      <c r="BM36" s="52" t="s">
        <v>378</v>
      </c>
      <c r="BN36" s="4">
        <f>IF(Table43[[#This Row],[SATUAN Fix Win]]&lt;&gt;"",1)</f>
        <v>1</v>
      </c>
      <c r="BO36" s="4" t="s">
        <v>637</v>
      </c>
    </row>
    <row r="37" spans="1:70">
      <c r="A37" s="4" t="str">
        <f>CONCATENATE(Table43[[#This Row],[Kode BARANG Win2]],Table43[[#This Row],[No. Urut
Item Sama]])</f>
        <v>F40520010070101</v>
      </c>
      <c r="B37" s="7">
        <v>1</v>
      </c>
      <c r="C37" s="4">
        <v>29</v>
      </c>
      <c r="D37" s="27" t="s">
        <v>421</v>
      </c>
      <c r="E37" s="27" t="s">
        <v>630</v>
      </c>
      <c r="F37" s="27" t="s">
        <v>542</v>
      </c>
      <c r="G37" s="27">
        <v>48</v>
      </c>
      <c r="H37" s="54">
        <v>8992946534805</v>
      </c>
      <c r="I37" s="27" t="str">
        <f>Table43[[#This Row],[Nama Jenis Kemasan]]</f>
        <v>TUBE</v>
      </c>
      <c r="J37" s="4" t="str">
        <f>TRIM(CONCATENATE(Table43[[#This Row],[Nama            KLP]]," ",Table43[[#This Row],[Nama            Sub KLP]]))</f>
        <v>PINK SKIN PARFUME LTN</v>
      </c>
      <c r="K37" s="4" t="str">
        <f>CONCATENATE(Table43[[#This Row],[kode  2 Digit                (hrf+No)]],Table43[[#This Row],[kode  2 Digit                (Nomor)]],Table43[[#This Row],[kode  1 Digit                (Nomor)]])</f>
        <v>F4052</v>
      </c>
      <c r="L37" s="4" t="str">
        <f>IF(AG37="",CONCATENATE(Q37,S37,U37,W37,Y37,AA37,AC37,AE37,Table43[[#This Row],[Tanda Kode Revisi]]),CONCATENATE(Q37,S37,U37,W37,Y37,AA37,AC37,AG37))</f>
        <v>F4052001007010</v>
      </c>
      <c r="M37" s="11">
        <f t="shared" si="0"/>
        <v>14</v>
      </c>
      <c r="N37" s="14" t="str">
        <f>IF(AF37&lt;&gt;"",TRIM(UPPER(CONCATENATE(P37," ",R37," ",T37," ",V37," ",X37," ",Z37," ","X"," ",Table43[[#This Row],[ISI/CTN]]," ",AF37," ",AB37," ",AD37," ",AH37))),TRIM(UPPER(CONCATENATE(P37," ",R37," ",T37," ",V37," ",X37," ",Z37," ","X"," ",Table43[[#This Row],[ISI/CTN]]," ",AB37," ",AD37," ",AH37))))</f>
        <v>PINK SKIN PARFUME LTN FIRST LOVE 70ML X 48 TUBE</v>
      </c>
      <c r="O37" s="11">
        <f t="shared" si="1"/>
        <v>47</v>
      </c>
      <c r="Q37" s="7" t="s">
        <v>662</v>
      </c>
      <c r="R37" s="4" t="s">
        <v>686</v>
      </c>
      <c r="S37" s="48" t="s">
        <v>754</v>
      </c>
      <c r="T37" s="49" t="s">
        <v>687</v>
      </c>
      <c r="U37" s="7">
        <v>2</v>
      </c>
      <c r="V37" s="49"/>
      <c r="W37" s="48" t="s">
        <v>370</v>
      </c>
      <c r="X37" s="4" t="s">
        <v>677</v>
      </c>
      <c r="Y37" s="50" t="s">
        <v>749</v>
      </c>
      <c r="Z37" s="4" t="s">
        <v>689</v>
      </c>
      <c r="AA37" s="50" t="s">
        <v>738</v>
      </c>
      <c r="AB37" s="4" t="s">
        <v>732</v>
      </c>
      <c r="AC37" s="7">
        <v>1</v>
      </c>
      <c r="AE37" s="7">
        <v>0</v>
      </c>
      <c r="AI37" s="7" t="s">
        <v>178</v>
      </c>
      <c r="AJ37" s="7">
        <v>2</v>
      </c>
      <c r="AL37" s="38">
        <v>20019.459459459456</v>
      </c>
      <c r="AM37" s="39">
        <f>Table43[[#This Row],[Harga Beli Pcs
(-PPN)]]*Table43[[#This Row],[ISI/CTN]]</f>
        <v>960934.05405405397</v>
      </c>
      <c r="AN37" s="39">
        <f>Table43[[#This Row],[Harga Beli Pcs
(-PPN)]]*1.11</f>
        <v>22221.599999999999</v>
      </c>
      <c r="AO37" s="39">
        <f>Table43[[#This Row],[Harga Beli Krt
(- PPN)]]*1.11</f>
        <v>1066636.8</v>
      </c>
      <c r="AP37" s="39">
        <v>21621.62162162162</v>
      </c>
      <c r="AQ37" s="39">
        <f>Table43[[#This Row],[Harga Jual Pcs GT
(-PPN)]]*Table43[[#This Row],[ISI/CTN]]</f>
        <v>1037837.8378378378</v>
      </c>
      <c r="AR37" s="39">
        <f>Table43[[#This Row],[Harga Jual Pcs GT
(-PPN)]]*1.11</f>
        <v>24000</v>
      </c>
      <c r="AS37" s="39">
        <f>Table43[[#This Row],[Harga Jual Krt GT
(- PPN)]]*1.11</f>
        <v>1152000</v>
      </c>
      <c r="AT37" s="39"/>
      <c r="AU37" s="39">
        <f>Table43[[#This Row],[Harga Jual Pcs MT
(-PPN)]]*Table43[[#This Row],[ISI/CTN]]</f>
        <v>0</v>
      </c>
      <c r="AV37" s="39">
        <f>Table43[[#This Row],[Harga Jual Pcs MT
(-PPN)]]*1.11</f>
        <v>0</v>
      </c>
      <c r="AW37" s="39">
        <f>Table43[[#This Row],[Harga Jual Pcs MT
(+PPN)]]*Table43[[#This Row],[ISI/CTN]]</f>
        <v>0</v>
      </c>
      <c r="AX37" s="47">
        <f>IFERROR((Table43[[#This Row],[Harga Jual Pcs GT
(-PPN)]]-Table43[[#This Row],[Harga Beli Pcs
(-PPN)]])/Table43[[#This Row],[Harga Jual Pcs GT
(-PPN)]],0)</f>
        <v>7.4100000000000069E-2</v>
      </c>
      <c r="AY37" s="51">
        <v>45848</v>
      </c>
      <c r="AZ37" s="7"/>
      <c r="BA37" s="7" t="str">
        <f ca="1">IF(TODAY()-Table43[[#This Row],[Efektif
Pembuatan]]&gt;60,"Lama","Baru")</f>
        <v>Lama</v>
      </c>
      <c r="BB37" s="7" t="str">
        <f ca="1">IF(TODAY()-Table43[[#This Row],[Efektif Naik Harga]]&lt;30,"Naik","Sama")</f>
        <v>Sama</v>
      </c>
      <c r="BC37" s="7" t="s">
        <v>185</v>
      </c>
      <c r="BD37" s="7" t="str">
        <f>IF(Table43[[#This Row],[Kode BARANG Win2]]&lt;&gt;"","IDR","")</f>
        <v>IDR</v>
      </c>
      <c r="BE37" s="7" t="str">
        <f>CONCATENATE(Table43[[#This Row],[kode  1 Digit
(Nomor)]],Table43[[#This Row],[kode  4 Digit                (Nomor)]])</f>
        <v>20070</v>
      </c>
      <c r="BF37" s="7" t="str">
        <f>Table43[[#This Row],[Nama            Gramasi atau Jumlah Pack per CTN]]</f>
        <v>70ML</v>
      </c>
      <c r="BG37" s="7" t="s">
        <v>1060</v>
      </c>
      <c r="BH37" s="7" t="s">
        <v>377</v>
      </c>
      <c r="BI37" s="4" t="str">
        <f>IF(Table43[[#This Row],[SATUAN Fix Win]]&lt;&gt;"","KRT")</f>
        <v>KRT</v>
      </c>
      <c r="BJ37" s="4" t="str">
        <f>IF(Table43[[#This Row],[SATUAN Fix Win]]&lt;&gt;"","GD01")</f>
        <v>GD01</v>
      </c>
      <c r="BK37" s="4">
        <f>IF(Table43[[#This Row],[SATUAN Fix Win]]&lt;&gt;"",11611)</f>
        <v>11611</v>
      </c>
      <c r="BL37" s="4">
        <f>IF(Table43[[#This Row],[SATUAN Fix Win]]&lt;&gt;"",11612)</f>
        <v>11612</v>
      </c>
      <c r="BM37" s="52" t="s">
        <v>378</v>
      </c>
      <c r="BN37" s="4">
        <f>IF(Table43[[#This Row],[SATUAN Fix Win]]&lt;&gt;"",1)</f>
        <v>1</v>
      </c>
      <c r="BO37" s="4" t="s">
        <v>637</v>
      </c>
    </row>
    <row r="38" spans="1:70">
      <c r="A38" s="4" t="str">
        <f>CONCATENATE(Table43[[#This Row],[Kode BARANG Win2]],Table43[[#This Row],[No. Urut
Item Sama]])</f>
        <v>F40520020180101</v>
      </c>
      <c r="B38" s="7">
        <v>1</v>
      </c>
      <c r="C38" s="4">
        <v>30</v>
      </c>
      <c r="D38" s="27" t="s">
        <v>420</v>
      </c>
      <c r="E38" s="27" t="s">
        <v>630</v>
      </c>
      <c r="F38" s="27" t="s">
        <v>541</v>
      </c>
      <c r="G38" s="27">
        <v>48</v>
      </c>
      <c r="H38" s="54" t="s">
        <v>648</v>
      </c>
      <c r="I38" s="27" t="str">
        <f>Table43[[#This Row],[Nama Jenis Kemasan]]</f>
        <v>TUBE</v>
      </c>
      <c r="J38" s="4" t="str">
        <f>TRIM(CONCATENATE(Table43[[#This Row],[Nama            KLP]]," ",Table43[[#This Row],[Nama            Sub KLP]]))</f>
        <v>PINK SKIN PARFUME LTN</v>
      </c>
      <c r="K38" s="4" t="str">
        <f>CONCATENATE(Table43[[#This Row],[kode  2 Digit                (hrf+No)]],Table43[[#This Row],[kode  2 Digit                (Nomor)]],Table43[[#This Row],[kode  1 Digit                (Nomor)]])</f>
        <v>F4052</v>
      </c>
      <c r="L38" s="4" t="str">
        <f>IF(AG38="",CONCATENATE(Q38,S38,U38,W38,Y38,AA38,AC38,AE38,Table43[[#This Row],[Tanda Kode Revisi]]),CONCATENATE(Q38,S38,U38,W38,Y38,AA38,AC38,AG38))</f>
        <v>F4052002018010</v>
      </c>
      <c r="M38" s="11">
        <f t="shared" si="0"/>
        <v>14</v>
      </c>
      <c r="N38" s="14" t="str">
        <f>IF(AF38&lt;&gt;"",TRIM(UPPER(CONCATENATE(P38," ",R38," ",T38," ",V38," ",X38," ",Z38," ","X"," ",Table43[[#This Row],[ISI/CTN]]," ",AF38," ",AB38," ",AD38," ",AH38))),TRIM(UPPER(CONCATENATE(P38," ",R38," ",T38," ",V38," ",X38," ",Z38," ","X"," ",Table43[[#This Row],[ISI/CTN]]," ",AB38," ",AD38," ",AH38))))</f>
        <v>PINK SKIN PARFUME LTN FORGET ME NT 180ML X 48 TUBE</v>
      </c>
      <c r="O38" s="11">
        <f t="shared" si="1"/>
        <v>50</v>
      </c>
      <c r="Q38" s="7" t="s">
        <v>662</v>
      </c>
      <c r="R38" s="4" t="s">
        <v>686</v>
      </c>
      <c r="S38" s="48" t="s">
        <v>754</v>
      </c>
      <c r="T38" s="49" t="s">
        <v>687</v>
      </c>
      <c r="U38" s="7">
        <v>2</v>
      </c>
      <c r="V38" s="49"/>
      <c r="W38" s="48" t="s">
        <v>370</v>
      </c>
      <c r="X38" s="4" t="s">
        <v>786</v>
      </c>
      <c r="Y38" s="50" t="s">
        <v>751</v>
      </c>
      <c r="Z38" s="4" t="s">
        <v>688</v>
      </c>
      <c r="AA38" s="50" t="s">
        <v>744</v>
      </c>
      <c r="AB38" s="4" t="s">
        <v>732</v>
      </c>
      <c r="AC38" s="7">
        <v>1</v>
      </c>
      <c r="AE38" s="7">
        <v>0</v>
      </c>
      <c r="AI38" s="7" t="s">
        <v>178</v>
      </c>
      <c r="AJ38" s="7">
        <v>2</v>
      </c>
      <c r="AL38" s="38">
        <v>40038.918918918913</v>
      </c>
      <c r="AM38" s="39">
        <f>Table43[[#This Row],[Harga Beli Pcs
(-PPN)]]*Table43[[#This Row],[ISI/CTN]]</f>
        <v>1921868.1081081079</v>
      </c>
      <c r="AN38" s="39">
        <f>Table43[[#This Row],[Harga Beli Pcs
(-PPN)]]*1.11</f>
        <v>44443.199999999997</v>
      </c>
      <c r="AO38" s="39">
        <f>Table43[[#This Row],[Harga Beli Krt
(- PPN)]]*1.11</f>
        <v>2133273.6000000001</v>
      </c>
      <c r="AP38" s="39">
        <v>43243.24324324324</v>
      </c>
      <c r="AQ38" s="39">
        <f>Table43[[#This Row],[Harga Jual Pcs GT
(-PPN)]]*Table43[[#This Row],[ISI/CTN]]</f>
        <v>2075675.6756756755</v>
      </c>
      <c r="AR38" s="39">
        <f>Table43[[#This Row],[Harga Jual Pcs GT
(-PPN)]]*1.11</f>
        <v>48000</v>
      </c>
      <c r="AS38" s="39">
        <f>Table43[[#This Row],[Harga Jual Krt GT
(- PPN)]]*1.11</f>
        <v>2304000</v>
      </c>
      <c r="AT38" s="39"/>
      <c r="AU38" s="39">
        <f>Table43[[#This Row],[Harga Jual Pcs MT
(-PPN)]]*Table43[[#This Row],[ISI/CTN]]</f>
        <v>0</v>
      </c>
      <c r="AV38" s="39">
        <f>Table43[[#This Row],[Harga Jual Pcs MT
(-PPN)]]*1.11</f>
        <v>0</v>
      </c>
      <c r="AW38" s="39">
        <f>Table43[[#This Row],[Harga Jual Pcs MT
(+PPN)]]*Table43[[#This Row],[ISI/CTN]]</f>
        <v>0</v>
      </c>
      <c r="AX38" s="47">
        <f>IFERROR((Table43[[#This Row],[Harga Jual Pcs GT
(-PPN)]]-Table43[[#This Row],[Harga Beli Pcs
(-PPN)]])/Table43[[#This Row],[Harga Jual Pcs GT
(-PPN)]],0)</f>
        <v>7.4100000000000069E-2</v>
      </c>
      <c r="AY38" s="51">
        <v>45848</v>
      </c>
      <c r="AZ38" s="7"/>
      <c r="BA38" s="7" t="str">
        <f ca="1">IF(TODAY()-Table43[[#This Row],[Efektif
Pembuatan]]&gt;60,"Lama","Baru")</f>
        <v>Lama</v>
      </c>
      <c r="BB38" s="7" t="str">
        <f ca="1">IF(TODAY()-Table43[[#This Row],[Efektif Naik Harga]]&lt;30,"Naik","Sama")</f>
        <v>Sama</v>
      </c>
      <c r="BC38" s="7" t="s">
        <v>185</v>
      </c>
      <c r="BD38" s="7" t="str">
        <f>IF(Table43[[#This Row],[Kode BARANG Win2]]&lt;&gt;"","IDR","")</f>
        <v>IDR</v>
      </c>
      <c r="BE38" s="7" t="str">
        <f>CONCATENATE(Table43[[#This Row],[kode  1 Digit
(Nomor)]],Table43[[#This Row],[kode  4 Digit                (Nomor)]])</f>
        <v>20180</v>
      </c>
      <c r="BF38" s="7" t="str">
        <f>Table43[[#This Row],[Nama            Gramasi atau Jumlah Pack per CTN]]</f>
        <v>180ML</v>
      </c>
      <c r="BG38" s="7" t="s">
        <v>1060</v>
      </c>
      <c r="BH38" s="7" t="s">
        <v>377</v>
      </c>
      <c r="BI38" s="4" t="str">
        <f>IF(Table43[[#This Row],[SATUAN Fix Win]]&lt;&gt;"","KRT")</f>
        <v>KRT</v>
      </c>
      <c r="BJ38" s="4" t="str">
        <f>IF(Table43[[#This Row],[SATUAN Fix Win]]&lt;&gt;"","GD01")</f>
        <v>GD01</v>
      </c>
      <c r="BK38" s="4">
        <f>IF(Table43[[#This Row],[SATUAN Fix Win]]&lt;&gt;"",11611)</f>
        <v>11611</v>
      </c>
      <c r="BL38" s="4">
        <f>IF(Table43[[#This Row],[SATUAN Fix Win]]&lt;&gt;"",11612)</f>
        <v>11612</v>
      </c>
      <c r="BM38" s="52" t="s">
        <v>378</v>
      </c>
      <c r="BN38" s="4">
        <f>IF(Table43[[#This Row],[SATUAN Fix Win]]&lt;&gt;"",1)</f>
        <v>1</v>
      </c>
      <c r="BO38" s="4" t="s">
        <v>637</v>
      </c>
    </row>
    <row r="39" spans="1:70">
      <c r="A39" s="4" t="str">
        <f>CONCATENATE(Table43[[#This Row],[Kode BARANG Win2]],Table43[[#This Row],[No. Urut
Item Sama]])</f>
        <v>F40520020070101</v>
      </c>
      <c r="B39" s="7">
        <v>1</v>
      </c>
      <c r="C39" s="4">
        <v>31</v>
      </c>
      <c r="D39" s="27" t="s">
        <v>424</v>
      </c>
      <c r="E39" s="27" t="s">
        <v>630</v>
      </c>
      <c r="F39" s="27" t="s">
        <v>545</v>
      </c>
      <c r="G39" s="27">
        <v>48</v>
      </c>
      <c r="H39" s="54">
        <v>8992946534829</v>
      </c>
      <c r="I39" s="27" t="str">
        <f>Table43[[#This Row],[Nama Jenis Kemasan]]</f>
        <v>TUBE</v>
      </c>
      <c r="J39" s="4" t="str">
        <f>TRIM(CONCATENATE(Table43[[#This Row],[Nama            KLP]]," ",Table43[[#This Row],[Nama            Sub KLP]]))</f>
        <v>PINK SKIN PARFUME LTN</v>
      </c>
      <c r="K39" s="4" t="str">
        <f>CONCATENATE(Table43[[#This Row],[kode  2 Digit                (hrf+No)]],Table43[[#This Row],[kode  2 Digit                (Nomor)]],Table43[[#This Row],[kode  1 Digit                (Nomor)]])</f>
        <v>F4052</v>
      </c>
      <c r="L39" s="4" t="str">
        <f>IF(AG39="",CONCATENATE(Q39,S39,U39,W39,Y39,AA39,AC39,AE39,Table43[[#This Row],[Tanda Kode Revisi]]),CONCATENATE(Q39,S39,U39,W39,Y39,AA39,AC39,AG39))</f>
        <v>F4052002007010</v>
      </c>
      <c r="M39" s="11">
        <f t="shared" si="0"/>
        <v>14</v>
      </c>
      <c r="N39" s="14" t="str">
        <f>IF(AF39&lt;&gt;"",TRIM(UPPER(CONCATENATE(P39," ",R39," ",T39," ",V39," ",X39," ",Z39," ","X"," ",Table43[[#This Row],[ISI/CTN]]," ",AF39," ",AB39," ",AD39," ",AH39))),TRIM(UPPER(CONCATENATE(P39," ",R39," ",T39," ",V39," ",X39," ",Z39," ","X"," ",Table43[[#This Row],[ISI/CTN]]," ",AB39," ",AD39," ",AH39))))</f>
        <v>PINK SKIN PARFUME LTN FORGET ME NT 70ML X 48 TUBE</v>
      </c>
      <c r="O39" s="11">
        <f t="shared" si="1"/>
        <v>49</v>
      </c>
      <c r="Q39" s="7" t="s">
        <v>662</v>
      </c>
      <c r="R39" s="4" t="s">
        <v>686</v>
      </c>
      <c r="S39" s="48" t="s">
        <v>754</v>
      </c>
      <c r="T39" s="49" t="s">
        <v>687</v>
      </c>
      <c r="U39" s="7">
        <v>2</v>
      </c>
      <c r="V39" s="49"/>
      <c r="W39" s="48" t="s">
        <v>370</v>
      </c>
      <c r="X39" s="4" t="s">
        <v>786</v>
      </c>
      <c r="Y39" s="50" t="s">
        <v>751</v>
      </c>
      <c r="Z39" s="4" t="s">
        <v>689</v>
      </c>
      <c r="AA39" s="50" t="s">
        <v>738</v>
      </c>
      <c r="AB39" s="4" t="s">
        <v>732</v>
      </c>
      <c r="AC39" s="7">
        <v>1</v>
      </c>
      <c r="AE39" s="7">
        <v>0</v>
      </c>
      <c r="AI39" s="7" t="s">
        <v>178</v>
      </c>
      <c r="AJ39" s="7">
        <v>2</v>
      </c>
      <c r="AL39" s="38">
        <v>20019.459459459456</v>
      </c>
      <c r="AM39" s="39">
        <f>Table43[[#This Row],[Harga Beli Pcs
(-PPN)]]*Table43[[#This Row],[ISI/CTN]]</f>
        <v>960934.05405405397</v>
      </c>
      <c r="AN39" s="39">
        <f>Table43[[#This Row],[Harga Beli Pcs
(-PPN)]]*1.11</f>
        <v>22221.599999999999</v>
      </c>
      <c r="AO39" s="39">
        <f>Table43[[#This Row],[Harga Beli Krt
(- PPN)]]*1.11</f>
        <v>1066636.8</v>
      </c>
      <c r="AP39" s="39">
        <v>21621.62162162162</v>
      </c>
      <c r="AQ39" s="39">
        <f>Table43[[#This Row],[Harga Jual Pcs GT
(-PPN)]]*Table43[[#This Row],[ISI/CTN]]</f>
        <v>1037837.8378378378</v>
      </c>
      <c r="AR39" s="39">
        <f>Table43[[#This Row],[Harga Jual Pcs GT
(-PPN)]]*1.11</f>
        <v>24000</v>
      </c>
      <c r="AS39" s="39">
        <f>Table43[[#This Row],[Harga Jual Krt GT
(- PPN)]]*1.11</f>
        <v>1152000</v>
      </c>
      <c r="AT39" s="39"/>
      <c r="AU39" s="39">
        <f>Table43[[#This Row],[Harga Jual Pcs MT
(-PPN)]]*Table43[[#This Row],[ISI/CTN]]</f>
        <v>0</v>
      </c>
      <c r="AV39" s="39">
        <f>Table43[[#This Row],[Harga Jual Pcs MT
(-PPN)]]*1.11</f>
        <v>0</v>
      </c>
      <c r="AW39" s="39">
        <f>Table43[[#This Row],[Harga Jual Pcs MT
(+PPN)]]*Table43[[#This Row],[ISI/CTN]]</f>
        <v>0</v>
      </c>
      <c r="AX39" s="47">
        <f>IFERROR((Table43[[#This Row],[Harga Jual Pcs GT
(-PPN)]]-Table43[[#This Row],[Harga Beli Pcs
(-PPN)]])/Table43[[#This Row],[Harga Jual Pcs GT
(-PPN)]],0)</f>
        <v>7.4100000000000069E-2</v>
      </c>
      <c r="AY39" s="51">
        <v>45848</v>
      </c>
      <c r="AZ39" s="7"/>
      <c r="BA39" s="7" t="str">
        <f ca="1">IF(TODAY()-Table43[[#This Row],[Efektif
Pembuatan]]&gt;60,"Lama","Baru")</f>
        <v>Lama</v>
      </c>
      <c r="BB39" s="7" t="str">
        <f ca="1">IF(TODAY()-Table43[[#This Row],[Efektif Naik Harga]]&lt;30,"Naik","Sama")</f>
        <v>Sama</v>
      </c>
      <c r="BC39" s="7" t="s">
        <v>185</v>
      </c>
      <c r="BD39" s="7" t="str">
        <f>IF(Table43[[#This Row],[Kode BARANG Win2]]&lt;&gt;"","IDR","")</f>
        <v>IDR</v>
      </c>
      <c r="BE39" s="7" t="str">
        <f>CONCATENATE(Table43[[#This Row],[kode  1 Digit
(Nomor)]],Table43[[#This Row],[kode  4 Digit                (Nomor)]])</f>
        <v>20070</v>
      </c>
      <c r="BF39" s="7" t="str">
        <f>Table43[[#This Row],[Nama            Gramasi atau Jumlah Pack per CTN]]</f>
        <v>70ML</v>
      </c>
      <c r="BG39" s="7" t="s">
        <v>1060</v>
      </c>
      <c r="BH39" s="7" t="s">
        <v>377</v>
      </c>
      <c r="BI39" s="4" t="str">
        <f>IF(Table43[[#This Row],[SATUAN Fix Win]]&lt;&gt;"","KRT")</f>
        <v>KRT</v>
      </c>
      <c r="BJ39" s="4" t="str">
        <f>IF(Table43[[#This Row],[SATUAN Fix Win]]&lt;&gt;"","GD01")</f>
        <v>GD01</v>
      </c>
      <c r="BK39" s="4">
        <f>IF(Table43[[#This Row],[SATUAN Fix Win]]&lt;&gt;"",11611)</f>
        <v>11611</v>
      </c>
      <c r="BL39" s="4">
        <f>IF(Table43[[#This Row],[SATUAN Fix Win]]&lt;&gt;"",11612)</f>
        <v>11612</v>
      </c>
      <c r="BM39" s="52" t="s">
        <v>378</v>
      </c>
      <c r="BN39" s="4">
        <f>IF(Table43[[#This Row],[SATUAN Fix Win]]&lt;&gt;"",1)</f>
        <v>1</v>
      </c>
      <c r="BO39" s="4" t="s">
        <v>637</v>
      </c>
    </row>
    <row r="40" spans="1:70">
      <c r="A40" s="4" t="str">
        <f>CONCATENATE(Table43[[#This Row],[Kode BARANG Win2]],Table43[[#This Row],[No. Urut
Item Sama]])</f>
        <v>F40520030180101</v>
      </c>
      <c r="B40" s="7">
        <v>1</v>
      </c>
      <c r="C40" s="4">
        <v>32</v>
      </c>
      <c r="D40" s="27" t="s">
        <v>418</v>
      </c>
      <c r="E40" s="27" t="s">
        <v>630</v>
      </c>
      <c r="F40" s="27" t="s">
        <v>539</v>
      </c>
      <c r="G40" s="27">
        <v>48</v>
      </c>
      <c r="H40" s="54" t="s">
        <v>646</v>
      </c>
      <c r="I40" s="27" t="str">
        <f>Table43[[#This Row],[Nama Jenis Kemasan]]</f>
        <v>TUBE</v>
      </c>
      <c r="J40" s="4" t="str">
        <f>TRIM(CONCATENATE(Table43[[#This Row],[Nama            KLP]]," ",Table43[[#This Row],[Nama            Sub KLP]]))</f>
        <v>PINK SKIN PARFUME LTN</v>
      </c>
      <c r="K40" s="4" t="str">
        <f>CONCATENATE(Table43[[#This Row],[kode  2 Digit                (hrf+No)]],Table43[[#This Row],[kode  2 Digit                (Nomor)]],Table43[[#This Row],[kode  1 Digit                (Nomor)]])</f>
        <v>F4052</v>
      </c>
      <c r="L40" s="4" t="str">
        <f>IF(AG40="",CONCATENATE(Q40,S40,U40,W40,Y40,AA40,AC40,AE40,Table43[[#This Row],[Tanda Kode Revisi]]),CONCATENATE(Q40,S40,U40,W40,Y40,AA40,AC40,AG40))</f>
        <v>F4052003018010</v>
      </c>
      <c r="M40" s="11">
        <f t="shared" si="0"/>
        <v>14</v>
      </c>
      <c r="N40" s="14" t="str">
        <f>IF(AF40&lt;&gt;"",TRIM(UPPER(CONCATENATE(P40," ",R40," ",T40," ",V40," ",X40," ",Z40," ","X"," ",Table43[[#This Row],[ISI/CTN]]," ",AF40," ",AB40," ",AD40," ",AH40))),TRIM(UPPER(CONCATENATE(P40," ",R40," ",T40," ",V40," ",X40," ",Z40," ","X"," ",Table43[[#This Row],[ISI/CTN]]," ",AB40," ",AD40," ",AH40))))</f>
        <v>PINK SKIN PARFUME LTN SHINING STAR 180ML X 48 TUBE</v>
      </c>
      <c r="O40" s="11">
        <f t="shared" si="1"/>
        <v>50</v>
      </c>
      <c r="Q40" s="7" t="s">
        <v>662</v>
      </c>
      <c r="R40" s="4" t="s">
        <v>686</v>
      </c>
      <c r="S40" s="48" t="s">
        <v>754</v>
      </c>
      <c r="T40" s="49" t="s">
        <v>687</v>
      </c>
      <c r="U40" s="7">
        <v>2</v>
      </c>
      <c r="V40" s="49"/>
      <c r="W40" s="48" t="s">
        <v>370</v>
      </c>
      <c r="X40" s="4" t="s">
        <v>678</v>
      </c>
      <c r="Y40" s="50" t="s">
        <v>752</v>
      </c>
      <c r="Z40" s="4" t="s">
        <v>688</v>
      </c>
      <c r="AA40" s="50" t="s">
        <v>744</v>
      </c>
      <c r="AB40" s="4" t="s">
        <v>732</v>
      </c>
      <c r="AC40" s="7">
        <v>1</v>
      </c>
      <c r="AE40" s="7">
        <v>0</v>
      </c>
      <c r="AI40" s="7" t="s">
        <v>178</v>
      </c>
      <c r="AJ40" s="7">
        <v>2</v>
      </c>
      <c r="AL40" s="38">
        <v>40038.918918918913</v>
      </c>
      <c r="AM40" s="39">
        <f>Table43[[#This Row],[Harga Beli Pcs
(-PPN)]]*Table43[[#This Row],[ISI/CTN]]</f>
        <v>1921868.1081081079</v>
      </c>
      <c r="AN40" s="39">
        <f>Table43[[#This Row],[Harga Beli Pcs
(-PPN)]]*1.11</f>
        <v>44443.199999999997</v>
      </c>
      <c r="AO40" s="39">
        <f>Table43[[#This Row],[Harga Beli Krt
(- PPN)]]*1.11</f>
        <v>2133273.6000000001</v>
      </c>
      <c r="AP40" s="39">
        <v>43243.24324324324</v>
      </c>
      <c r="AQ40" s="39">
        <f>Table43[[#This Row],[Harga Jual Pcs GT
(-PPN)]]*Table43[[#This Row],[ISI/CTN]]</f>
        <v>2075675.6756756755</v>
      </c>
      <c r="AR40" s="39">
        <f>Table43[[#This Row],[Harga Jual Pcs GT
(-PPN)]]*1.11</f>
        <v>48000</v>
      </c>
      <c r="AS40" s="39">
        <f>Table43[[#This Row],[Harga Jual Krt GT
(- PPN)]]*1.11</f>
        <v>2304000</v>
      </c>
      <c r="AT40" s="39"/>
      <c r="AU40" s="39">
        <f>Table43[[#This Row],[Harga Jual Pcs MT
(-PPN)]]*Table43[[#This Row],[ISI/CTN]]</f>
        <v>0</v>
      </c>
      <c r="AV40" s="39">
        <f>Table43[[#This Row],[Harga Jual Pcs MT
(-PPN)]]*1.11</f>
        <v>0</v>
      </c>
      <c r="AW40" s="39">
        <f>Table43[[#This Row],[Harga Jual Pcs MT
(+PPN)]]*Table43[[#This Row],[ISI/CTN]]</f>
        <v>0</v>
      </c>
      <c r="AX40" s="47">
        <f>IFERROR((Table43[[#This Row],[Harga Jual Pcs GT
(-PPN)]]-Table43[[#This Row],[Harga Beli Pcs
(-PPN)]])/Table43[[#This Row],[Harga Jual Pcs GT
(-PPN)]],0)</f>
        <v>7.4100000000000069E-2</v>
      </c>
      <c r="AY40" s="51">
        <v>45848</v>
      </c>
      <c r="AZ40" s="7"/>
      <c r="BA40" s="7" t="str">
        <f ca="1">IF(TODAY()-Table43[[#This Row],[Efektif
Pembuatan]]&gt;60,"Lama","Baru")</f>
        <v>Lama</v>
      </c>
      <c r="BB40" s="7" t="str">
        <f ca="1">IF(TODAY()-Table43[[#This Row],[Efektif Naik Harga]]&lt;30,"Naik","Sama")</f>
        <v>Sama</v>
      </c>
      <c r="BC40" s="7" t="s">
        <v>185</v>
      </c>
      <c r="BD40" s="7" t="str">
        <f>IF(Table43[[#This Row],[Kode BARANG Win2]]&lt;&gt;"","IDR","")</f>
        <v>IDR</v>
      </c>
      <c r="BE40" s="7" t="str">
        <f>CONCATENATE(Table43[[#This Row],[kode  1 Digit
(Nomor)]],Table43[[#This Row],[kode  4 Digit                (Nomor)]])</f>
        <v>20180</v>
      </c>
      <c r="BF40" s="7" t="str">
        <f>Table43[[#This Row],[Nama            Gramasi atau Jumlah Pack per CTN]]</f>
        <v>180ML</v>
      </c>
      <c r="BG40" s="7" t="s">
        <v>1060</v>
      </c>
      <c r="BH40" s="7" t="s">
        <v>377</v>
      </c>
      <c r="BI40" s="4" t="str">
        <f>IF(Table43[[#This Row],[SATUAN Fix Win]]&lt;&gt;"","KRT")</f>
        <v>KRT</v>
      </c>
      <c r="BJ40" s="4" t="str">
        <f>IF(Table43[[#This Row],[SATUAN Fix Win]]&lt;&gt;"","GD01")</f>
        <v>GD01</v>
      </c>
      <c r="BK40" s="4">
        <f>IF(Table43[[#This Row],[SATUAN Fix Win]]&lt;&gt;"",11611)</f>
        <v>11611</v>
      </c>
      <c r="BL40" s="4">
        <f>IF(Table43[[#This Row],[SATUAN Fix Win]]&lt;&gt;"",11612)</f>
        <v>11612</v>
      </c>
      <c r="BM40" s="52" t="s">
        <v>378</v>
      </c>
      <c r="BN40" s="4">
        <f>IF(Table43[[#This Row],[SATUAN Fix Win]]&lt;&gt;"",1)</f>
        <v>1</v>
      </c>
      <c r="BO40" s="4" t="s">
        <v>637</v>
      </c>
    </row>
    <row r="41" spans="1:70">
      <c r="A41" s="4" t="str">
        <f>CONCATENATE(Table43[[#This Row],[Kode BARANG Win2]],Table43[[#This Row],[No. Urut
Item Sama]])</f>
        <v>F40520030070101</v>
      </c>
      <c r="B41" s="7">
        <v>1</v>
      </c>
      <c r="C41" s="4">
        <v>33</v>
      </c>
      <c r="D41" s="27" t="s">
        <v>422</v>
      </c>
      <c r="E41" s="27" t="s">
        <v>630</v>
      </c>
      <c r="F41" s="27" t="s">
        <v>543</v>
      </c>
      <c r="G41" s="27">
        <v>48</v>
      </c>
      <c r="H41" s="54">
        <v>8992946534799</v>
      </c>
      <c r="I41" s="27" t="str">
        <f>Table43[[#This Row],[Nama Jenis Kemasan]]</f>
        <v>TUBE</v>
      </c>
      <c r="J41" s="4" t="str">
        <f>TRIM(CONCATENATE(Table43[[#This Row],[Nama            KLP]]," ",Table43[[#This Row],[Nama            Sub KLP]]))</f>
        <v>PINK SKIN PARFUME LTN</v>
      </c>
      <c r="K41" s="4" t="str">
        <f>CONCATENATE(Table43[[#This Row],[kode  2 Digit                (hrf+No)]],Table43[[#This Row],[kode  2 Digit                (Nomor)]],Table43[[#This Row],[kode  1 Digit                (Nomor)]])</f>
        <v>F4052</v>
      </c>
      <c r="L41" s="4" t="str">
        <f>IF(AG41="",CONCATENATE(Q41,S41,U41,W41,Y41,AA41,AC41,AE41,Table43[[#This Row],[Tanda Kode Revisi]]),CONCATENATE(Q41,S41,U41,W41,Y41,AA41,AC41,AG41))</f>
        <v>F4052003007010</v>
      </c>
      <c r="M41" s="11">
        <f t="shared" si="0"/>
        <v>14</v>
      </c>
      <c r="N41" s="14" t="str">
        <f>IF(AF41&lt;&gt;"",TRIM(UPPER(CONCATENATE(P41," ",R41," ",T41," ",V41," ",X41," ",Z41," ","X"," ",Table43[[#This Row],[ISI/CTN]]," ",AF41," ",AB41," ",AD41," ",AH41))),TRIM(UPPER(CONCATENATE(P41," ",R41," ",T41," ",V41," ",X41," ",Z41," ","X"," ",Table43[[#This Row],[ISI/CTN]]," ",AB41," ",AD41," ",AH41))))</f>
        <v>PINK SKIN PARFUME LTN SHINING STAR 70ML X 48 TUBE</v>
      </c>
      <c r="O41" s="11">
        <f t="shared" si="1"/>
        <v>49</v>
      </c>
      <c r="Q41" s="7" t="s">
        <v>662</v>
      </c>
      <c r="R41" s="4" t="s">
        <v>686</v>
      </c>
      <c r="S41" s="48" t="s">
        <v>754</v>
      </c>
      <c r="T41" s="49" t="s">
        <v>687</v>
      </c>
      <c r="U41" s="7">
        <v>2</v>
      </c>
      <c r="V41" s="49"/>
      <c r="W41" s="48" t="s">
        <v>370</v>
      </c>
      <c r="X41" s="4" t="s">
        <v>678</v>
      </c>
      <c r="Y41" s="50" t="s">
        <v>752</v>
      </c>
      <c r="Z41" s="4" t="s">
        <v>689</v>
      </c>
      <c r="AA41" s="50" t="s">
        <v>738</v>
      </c>
      <c r="AB41" s="4" t="s">
        <v>732</v>
      </c>
      <c r="AC41" s="7">
        <v>1</v>
      </c>
      <c r="AE41" s="7">
        <v>0</v>
      </c>
      <c r="AI41" s="7" t="s">
        <v>178</v>
      </c>
      <c r="AJ41" s="7">
        <v>2</v>
      </c>
      <c r="AL41" s="38">
        <v>20019.459459459456</v>
      </c>
      <c r="AM41" s="39">
        <f>Table43[[#This Row],[Harga Beli Pcs
(-PPN)]]*Table43[[#This Row],[ISI/CTN]]</f>
        <v>960934.05405405397</v>
      </c>
      <c r="AN41" s="39">
        <f>Table43[[#This Row],[Harga Beli Pcs
(-PPN)]]*1.11</f>
        <v>22221.599999999999</v>
      </c>
      <c r="AO41" s="39">
        <f>Table43[[#This Row],[Harga Beli Krt
(- PPN)]]*1.11</f>
        <v>1066636.8</v>
      </c>
      <c r="AP41" s="39">
        <v>21621.62162162162</v>
      </c>
      <c r="AQ41" s="39">
        <f>Table43[[#This Row],[Harga Jual Pcs GT
(-PPN)]]*Table43[[#This Row],[ISI/CTN]]</f>
        <v>1037837.8378378378</v>
      </c>
      <c r="AR41" s="39">
        <f>Table43[[#This Row],[Harga Jual Pcs GT
(-PPN)]]*1.11</f>
        <v>24000</v>
      </c>
      <c r="AS41" s="39">
        <f>Table43[[#This Row],[Harga Jual Krt GT
(- PPN)]]*1.11</f>
        <v>1152000</v>
      </c>
      <c r="AT41" s="39"/>
      <c r="AU41" s="39">
        <f>Table43[[#This Row],[Harga Jual Pcs MT
(-PPN)]]*Table43[[#This Row],[ISI/CTN]]</f>
        <v>0</v>
      </c>
      <c r="AV41" s="39">
        <f>Table43[[#This Row],[Harga Jual Pcs MT
(-PPN)]]*1.11</f>
        <v>0</v>
      </c>
      <c r="AW41" s="39">
        <f>Table43[[#This Row],[Harga Jual Pcs MT
(+PPN)]]*Table43[[#This Row],[ISI/CTN]]</f>
        <v>0</v>
      </c>
      <c r="AX41" s="47">
        <f>IFERROR((Table43[[#This Row],[Harga Jual Pcs GT
(-PPN)]]-Table43[[#This Row],[Harga Beli Pcs
(-PPN)]])/Table43[[#This Row],[Harga Jual Pcs GT
(-PPN)]],0)</f>
        <v>7.4100000000000069E-2</v>
      </c>
      <c r="AY41" s="51">
        <v>45848</v>
      </c>
      <c r="AZ41" s="7"/>
      <c r="BA41" s="7" t="str">
        <f ca="1">IF(TODAY()-Table43[[#This Row],[Efektif
Pembuatan]]&gt;60,"Lama","Baru")</f>
        <v>Lama</v>
      </c>
      <c r="BB41" s="7" t="str">
        <f ca="1">IF(TODAY()-Table43[[#This Row],[Efektif Naik Harga]]&lt;30,"Naik","Sama")</f>
        <v>Sama</v>
      </c>
      <c r="BC41" s="7" t="s">
        <v>185</v>
      </c>
      <c r="BD41" s="7" t="str">
        <f>IF(Table43[[#This Row],[Kode BARANG Win2]]&lt;&gt;"","IDR","")</f>
        <v>IDR</v>
      </c>
      <c r="BE41" s="7" t="str">
        <f>CONCATENATE(Table43[[#This Row],[kode  1 Digit
(Nomor)]],Table43[[#This Row],[kode  4 Digit                (Nomor)]])</f>
        <v>20070</v>
      </c>
      <c r="BF41" s="7" t="str">
        <f>Table43[[#This Row],[Nama            Gramasi atau Jumlah Pack per CTN]]</f>
        <v>70ML</v>
      </c>
      <c r="BG41" s="7" t="s">
        <v>1060</v>
      </c>
      <c r="BH41" s="7" t="s">
        <v>377</v>
      </c>
      <c r="BI41" s="4" t="str">
        <f>IF(Table43[[#This Row],[SATUAN Fix Win]]&lt;&gt;"","KRT")</f>
        <v>KRT</v>
      </c>
      <c r="BJ41" s="4" t="str">
        <f>IF(Table43[[#This Row],[SATUAN Fix Win]]&lt;&gt;"","GD01")</f>
        <v>GD01</v>
      </c>
      <c r="BK41" s="4">
        <f>IF(Table43[[#This Row],[SATUAN Fix Win]]&lt;&gt;"",11611)</f>
        <v>11611</v>
      </c>
      <c r="BL41" s="4">
        <f>IF(Table43[[#This Row],[SATUAN Fix Win]]&lt;&gt;"",11612)</f>
        <v>11612</v>
      </c>
      <c r="BM41" s="52" t="s">
        <v>378</v>
      </c>
      <c r="BN41" s="4">
        <f>IF(Table43[[#This Row],[SATUAN Fix Win]]&lt;&gt;"",1)</f>
        <v>1</v>
      </c>
      <c r="BO41" s="4" t="s">
        <v>637</v>
      </c>
    </row>
    <row r="42" spans="1:70">
      <c r="A42" s="4" t="str">
        <f>CONCATENATE(Table43[[#This Row],[Kode BARANG Win2]],Table43[[#This Row],[No. Urut
Item Sama]])</f>
        <v>F40520040180101</v>
      </c>
      <c r="B42" s="7">
        <v>1</v>
      </c>
      <c r="C42" s="4">
        <v>34</v>
      </c>
      <c r="D42" s="27" t="s">
        <v>419</v>
      </c>
      <c r="E42" s="27" t="s">
        <v>630</v>
      </c>
      <c r="F42" s="27" t="s">
        <v>540</v>
      </c>
      <c r="G42" s="27">
        <v>48</v>
      </c>
      <c r="H42" s="54" t="s">
        <v>647</v>
      </c>
      <c r="I42" s="27" t="str">
        <f>Table43[[#This Row],[Nama Jenis Kemasan]]</f>
        <v>TUBE</v>
      </c>
      <c r="J42" s="4" t="str">
        <f>TRIM(CONCATENATE(Table43[[#This Row],[Nama            KLP]]," ",Table43[[#This Row],[Nama            Sub KLP]]))</f>
        <v>PINK SKIN PARFUME LTN</v>
      </c>
      <c r="K42" s="4" t="str">
        <f>CONCATENATE(Table43[[#This Row],[kode  2 Digit                (hrf+No)]],Table43[[#This Row],[kode  2 Digit                (Nomor)]],Table43[[#This Row],[kode  1 Digit                (Nomor)]])</f>
        <v>F4052</v>
      </c>
      <c r="L42" s="4" t="str">
        <f>IF(AG42="",CONCATENATE(Q42,S42,U42,W42,Y42,AA42,AC42,AE42,Table43[[#This Row],[Tanda Kode Revisi]]),CONCATENATE(Q42,S42,U42,W42,Y42,AA42,AC42,AG42))</f>
        <v>F4052004018010</v>
      </c>
      <c r="M42" s="11">
        <f t="shared" ref="M42:M89" si="2">LEN(L42)</f>
        <v>14</v>
      </c>
      <c r="N42" s="14" t="str">
        <f>IF(AF42&lt;&gt;"",TRIM(UPPER(CONCATENATE(P42," ",R42," ",T42," ",V42," ",X42," ",Z42," ","X"," ",Table43[[#This Row],[ISI/CTN]]," ",AF42," ",AB42," ",AD42," ",AH42))),TRIM(UPPER(CONCATENATE(P42," ",R42," ",T42," ",V42," ",X42," ",Z42," ","X"," ",Table43[[#This Row],[ISI/CTN]]," ",AB42," ",AD42," ",AH42))))</f>
        <v>PINK SKIN PARFUME LTN SWEET ROSE 180ML X 48 TUBE</v>
      </c>
      <c r="O42" s="11">
        <f t="shared" ref="O42:O89" si="3">LEN(N42)</f>
        <v>48</v>
      </c>
      <c r="Q42" s="7" t="s">
        <v>662</v>
      </c>
      <c r="R42" s="4" t="s">
        <v>686</v>
      </c>
      <c r="S42" s="48" t="s">
        <v>754</v>
      </c>
      <c r="T42" s="49" t="s">
        <v>687</v>
      </c>
      <c r="U42" s="7">
        <v>2</v>
      </c>
      <c r="V42" s="49"/>
      <c r="W42" s="48" t="s">
        <v>370</v>
      </c>
      <c r="X42" s="4" t="s">
        <v>679</v>
      </c>
      <c r="Y42" s="50" t="s">
        <v>753</v>
      </c>
      <c r="Z42" s="4" t="s">
        <v>688</v>
      </c>
      <c r="AA42" s="50" t="s">
        <v>744</v>
      </c>
      <c r="AB42" s="4" t="s">
        <v>732</v>
      </c>
      <c r="AC42" s="7">
        <v>1</v>
      </c>
      <c r="AE42" s="7">
        <v>0</v>
      </c>
      <c r="AI42" s="7" t="s">
        <v>178</v>
      </c>
      <c r="AJ42" s="7">
        <v>2</v>
      </c>
      <c r="AL42" s="38">
        <v>40038.918918918913</v>
      </c>
      <c r="AM42" s="39">
        <f>Table43[[#This Row],[Harga Beli Pcs
(-PPN)]]*Table43[[#This Row],[ISI/CTN]]</f>
        <v>1921868.1081081079</v>
      </c>
      <c r="AN42" s="39">
        <f>Table43[[#This Row],[Harga Beli Pcs
(-PPN)]]*1.11</f>
        <v>44443.199999999997</v>
      </c>
      <c r="AO42" s="39">
        <f>Table43[[#This Row],[Harga Beli Krt
(- PPN)]]*1.11</f>
        <v>2133273.6000000001</v>
      </c>
      <c r="AP42" s="39">
        <v>43243.24324324324</v>
      </c>
      <c r="AQ42" s="39">
        <f>Table43[[#This Row],[Harga Jual Pcs GT
(-PPN)]]*Table43[[#This Row],[ISI/CTN]]</f>
        <v>2075675.6756756755</v>
      </c>
      <c r="AR42" s="39">
        <f>Table43[[#This Row],[Harga Jual Pcs GT
(-PPN)]]*1.11</f>
        <v>48000</v>
      </c>
      <c r="AS42" s="39">
        <f>Table43[[#This Row],[Harga Jual Krt GT
(- PPN)]]*1.11</f>
        <v>2304000</v>
      </c>
      <c r="AT42" s="39"/>
      <c r="AU42" s="39">
        <f>Table43[[#This Row],[Harga Jual Pcs MT
(-PPN)]]*Table43[[#This Row],[ISI/CTN]]</f>
        <v>0</v>
      </c>
      <c r="AV42" s="39">
        <f>Table43[[#This Row],[Harga Jual Pcs MT
(-PPN)]]*1.11</f>
        <v>0</v>
      </c>
      <c r="AW42" s="39">
        <f>Table43[[#This Row],[Harga Jual Pcs MT
(+PPN)]]*Table43[[#This Row],[ISI/CTN]]</f>
        <v>0</v>
      </c>
      <c r="AX42" s="47">
        <f>IFERROR((Table43[[#This Row],[Harga Jual Pcs GT
(-PPN)]]-Table43[[#This Row],[Harga Beli Pcs
(-PPN)]])/Table43[[#This Row],[Harga Jual Pcs GT
(-PPN)]],0)</f>
        <v>7.4100000000000069E-2</v>
      </c>
      <c r="AY42" s="51">
        <v>45848</v>
      </c>
      <c r="AZ42" s="7"/>
      <c r="BA42" s="7" t="str">
        <f ca="1">IF(TODAY()-Table43[[#This Row],[Efektif
Pembuatan]]&gt;60,"Lama","Baru")</f>
        <v>Lama</v>
      </c>
      <c r="BB42" s="7" t="str">
        <f ca="1">IF(TODAY()-Table43[[#This Row],[Efektif Naik Harga]]&lt;30,"Naik","Sama")</f>
        <v>Sama</v>
      </c>
      <c r="BC42" s="7" t="s">
        <v>185</v>
      </c>
      <c r="BD42" s="7" t="str">
        <f>IF(Table43[[#This Row],[Kode BARANG Win2]]&lt;&gt;"","IDR","")</f>
        <v>IDR</v>
      </c>
      <c r="BE42" s="7" t="str">
        <f>CONCATENATE(Table43[[#This Row],[kode  1 Digit
(Nomor)]],Table43[[#This Row],[kode  4 Digit                (Nomor)]])</f>
        <v>20180</v>
      </c>
      <c r="BF42" s="7" t="str">
        <f>Table43[[#This Row],[Nama            Gramasi atau Jumlah Pack per CTN]]</f>
        <v>180ML</v>
      </c>
      <c r="BG42" s="7" t="s">
        <v>1060</v>
      </c>
      <c r="BH42" s="7" t="s">
        <v>377</v>
      </c>
      <c r="BI42" s="4" t="str">
        <f>IF(Table43[[#This Row],[SATUAN Fix Win]]&lt;&gt;"","KRT")</f>
        <v>KRT</v>
      </c>
      <c r="BJ42" s="4" t="str">
        <f>IF(Table43[[#This Row],[SATUAN Fix Win]]&lt;&gt;"","GD01")</f>
        <v>GD01</v>
      </c>
      <c r="BK42" s="4">
        <f>IF(Table43[[#This Row],[SATUAN Fix Win]]&lt;&gt;"",11611)</f>
        <v>11611</v>
      </c>
      <c r="BL42" s="4">
        <f>IF(Table43[[#This Row],[SATUAN Fix Win]]&lt;&gt;"",11612)</f>
        <v>11612</v>
      </c>
      <c r="BM42" s="52" t="s">
        <v>378</v>
      </c>
      <c r="BN42" s="4">
        <f>IF(Table43[[#This Row],[SATUAN Fix Win]]&lt;&gt;"",1)</f>
        <v>1</v>
      </c>
      <c r="BO42" s="4" t="s">
        <v>637</v>
      </c>
    </row>
    <row r="43" spans="1:70">
      <c r="A43" s="4" t="str">
        <f>CONCATENATE(Table43[[#This Row],[Kode BARANG Win2]],Table43[[#This Row],[No. Urut
Item Sama]])</f>
        <v>F40520040070101</v>
      </c>
      <c r="B43" s="7">
        <v>1</v>
      </c>
      <c r="C43" s="4">
        <v>35</v>
      </c>
      <c r="D43" s="27" t="s">
        <v>423</v>
      </c>
      <c r="E43" s="27" t="s">
        <v>630</v>
      </c>
      <c r="F43" s="27" t="s">
        <v>544</v>
      </c>
      <c r="G43" s="27">
        <v>48</v>
      </c>
      <c r="H43" s="54">
        <v>8992946534812</v>
      </c>
      <c r="I43" s="27" t="str">
        <f>Table43[[#This Row],[Nama Jenis Kemasan]]</f>
        <v>TUBE</v>
      </c>
      <c r="J43" s="4" t="str">
        <f>TRIM(CONCATENATE(Table43[[#This Row],[Nama            KLP]]," ",Table43[[#This Row],[Nama            Sub KLP]]))</f>
        <v>PINK SKIN PARFUME LTN</v>
      </c>
      <c r="K43" s="4" t="str">
        <f>CONCATENATE(Table43[[#This Row],[kode  2 Digit                (hrf+No)]],Table43[[#This Row],[kode  2 Digit                (Nomor)]],Table43[[#This Row],[kode  1 Digit                (Nomor)]])</f>
        <v>F4052</v>
      </c>
      <c r="L43" s="4" t="str">
        <f>IF(AG43="",CONCATENATE(Q43,S43,U43,W43,Y43,AA43,AC43,AE43,Table43[[#This Row],[Tanda Kode Revisi]]),CONCATENATE(Q43,S43,U43,W43,Y43,AA43,AC43,AG43))</f>
        <v>F4052004007010</v>
      </c>
      <c r="M43" s="11">
        <f t="shared" si="2"/>
        <v>14</v>
      </c>
      <c r="N43" s="14" t="str">
        <f>IF(AF43&lt;&gt;"",TRIM(UPPER(CONCATENATE(P43," ",R43," ",T43," ",V43," ",X43," ",Z43," ","X"," ",Table43[[#This Row],[ISI/CTN]]," ",AF43," ",AB43," ",AD43," ",AH43))),TRIM(UPPER(CONCATENATE(P43," ",R43," ",T43," ",V43," ",X43," ",Z43," ","X"," ",Table43[[#This Row],[ISI/CTN]]," ",AB43," ",AD43," ",AH43))))</f>
        <v>PINK SKIN PARFUME LTN SWEET ROSE 70ML X 48 TUBE</v>
      </c>
      <c r="O43" s="11">
        <f t="shared" si="3"/>
        <v>47</v>
      </c>
      <c r="Q43" s="7" t="s">
        <v>662</v>
      </c>
      <c r="R43" s="4" t="s">
        <v>686</v>
      </c>
      <c r="S43" s="48" t="s">
        <v>754</v>
      </c>
      <c r="T43" s="49" t="s">
        <v>687</v>
      </c>
      <c r="U43" s="7">
        <v>2</v>
      </c>
      <c r="V43" s="49"/>
      <c r="W43" s="48" t="s">
        <v>370</v>
      </c>
      <c r="X43" s="4" t="s">
        <v>679</v>
      </c>
      <c r="Y43" s="50" t="s">
        <v>753</v>
      </c>
      <c r="Z43" s="4" t="s">
        <v>689</v>
      </c>
      <c r="AA43" s="50" t="s">
        <v>738</v>
      </c>
      <c r="AB43" s="4" t="s">
        <v>732</v>
      </c>
      <c r="AC43" s="7">
        <v>1</v>
      </c>
      <c r="AE43" s="7">
        <v>0</v>
      </c>
      <c r="AI43" s="7" t="s">
        <v>178</v>
      </c>
      <c r="AJ43" s="7">
        <v>2</v>
      </c>
      <c r="AL43" s="38">
        <v>20019.459459459456</v>
      </c>
      <c r="AM43" s="39">
        <f>Table43[[#This Row],[Harga Beli Pcs
(-PPN)]]*Table43[[#This Row],[ISI/CTN]]</f>
        <v>960934.05405405397</v>
      </c>
      <c r="AN43" s="39">
        <f>Table43[[#This Row],[Harga Beli Pcs
(-PPN)]]*1.11</f>
        <v>22221.599999999999</v>
      </c>
      <c r="AO43" s="39">
        <f>Table43[[#This Row],[Harga Beli Krt
(- PPN)]]*1.11</f>
        <v>1066636.8</v>
      </c>
      <c r="AP43" s="39">
        <v>21621.62162162162</v>
      </c>
      <c r="AQ43" s="39">
        <f>Table43[[#This Row],[Harga Jual Pcs GT
(-PPN)]]*Table43[[#This Row],[ISI/CTN]]</f>
        <v>1037837.8378378378</v>
      </c>
      <c r="AR43" s="39">
        <f>Table43[[#This Row],[Harga Jual Pcs GT
(-PPN)]]*1.11</f>
        <v>24000</v>
      </c>
      <c r="AS43" s="39">
        <f>Table43[[#This Row],[Harga Jual Krt GT
(- PPN)]]*1.11</f>
        <v>1152000</v>
      </c>
      <c r="AT43" s="39"/>
      <c r="AU43" s="39">
        <f>Table43[[#This Row],[Harga Jual Pcs MT
(-PPN)]]*Table43[[#This Row],[ISI/CTN]]</f>
        <v>0</v>
      </c>
      <c r="AV43" s="39">
        <f>Table43[[#This Row],[Harga Jual Pcs MT
(-PPN)]]*1.11</f>
        <v>0</v>
      </c>
      <c r="AW43" s="39">
        <f>Table43[[#This Row],[Harga Jual Pcs MT
(+PPN)]]*Table43[[#This Row],[ISI/CTN]]</f>
        <v>0</v>
      </c>
      <c r="AX43" s="47">
        <f>IFERROR((Table43[[#This Row],[Harga Jual Pcs GT
(-PPN)]]-Table43[[#This Row],[Harga Beli Pcs
(-PPN)]])/Table43[[#This Row],[Harga Jual Pcs GT
(-PPN)]],0)</f>
        <v>7.4100000000000069E-2</v>
      </c>
      <c r="AY43" s="51">
        <v>45848</v>
      </c>
      <c r="AZ43" s="7"/>
      <c r="BA43" s="7" t="str">
        <f ca="1">IF(TODAY()-Table43[[#This Row],[Efektif
Pembuatan]]&gt;60,"Lama","Baru")</f>
        <v>Lama</v>
      </c>
      <c r="BB43" s="7" t="str">
        <f ca="1">IF(TODAY()-Table43[[#This Row],[Efektif Naik Harga]]&lt;30,"Naik","Sama")</f>
        <v>Sama</v>
      </c>
      <c r="BC43" s="7" t="s">
        <v>185</v>
      </c>
      <c r="BD43" s="7" t="str">
        <f>IF(Table43[[#This Row],[Kode BARANG Win2]]&lt;&gt;"","IDR","")</f>
        <v>IDR</v>
      </c>
      <c r="BE43" s="7" t="str">
        <f>CONCATENATE(Table43[[#This Row],[kode  1 Digit
(Nomor)]],Table43[[#This Row],[kode  4 Digit                (Nomor)]])</f>
        <v>20070</v>
      </c>
      <c r="BF43" s="7" t="str">
        <f>Table43[[#This Row],[Nama            Gramasi atau Jumlah Pack per CTN]]</f>
        <v>70ML</v>
      </c>
      <c r="BG43" s="7" t="s">
        <v>1060</v>
      </c>
      <c r="BH43" s="7" t="s">
        <v>377</v>
      </c>
      <c r="BI43" s="4" t="str">
        <f>IF(Table43[[#This Row],[SATUAN Fix Win]]&lt;&gt;"","KRT")</f>
        <v>KRT</v>
      </c>
      <c r="BJ43" s="4" t="str">
        <f>IF(Table43[[#This Row],[SATUAN Fix Win]]&lt;&gt;"","GD01")</f>
        <v>GD01</v>
      </c>
      <c r="BK43" s="4">
        <f>IF(Table43[[#This Row],[SATUAN Fix Win]]&lt;&gt;"",11611)</f>
        <v>11611</v>
      </c>
      <c r="BL43" s="4">
        <f>IF(Table43[[#This Row],[SATUAN Fix Win]]&lt;&gt;"",11612)</f>
        <v>11612</v>
      </c>
      <c r="BM43" s="52" t="s">
        <v>378</v>
      </c>
      <c r="BN43" s="4">
        <f>IF(Table43[[#This Row],[SATUAN Fix Win]]&lt;&gt;"",1)</f>
        <v>1</v>
      </c>
      <c r="BO43" s="4" t="s">
        <v>637</v>
      </c>
    </row>
    <row r="44" spans="1:70" s="69" customFormat="1">
      <c r="A44" s="55" t="str">
        <f>CONCATENATE(Table43[[#This Row],[Kode BARANG Win2]],Table43[[#This Row],[No. Urut
Item Sama]])</f>
        <v>F40530040030201</v>
      </c>
      <c r="B44" s="56">
        <v>1</v>
      </c>
      <c r="C44" s="4">
        <v>36</v>
      </c>
      <c r="D44" s="57">
        <v>112603000</v>
      </c>
      <c r="E44" s="57" t="s">
        <v>630</v>
      </c>
      <c r="F44" s="57" t="s">
        <v>1099</v>
      </c>
      <c r="G44" s="57">
        <v>48</v>
      </c>
      <c r="H44" s="58">
        <v>8992946535458</v>
      </c>
      <c r="I44" s="57" t="str">
        <f>Table43[[#This Row],[Nama Jenis Kemasan]]</f>
        <v>BTL</v>
      </c>
      <c r="J44" s="55" t="str">
        <f>TRIM(CONCATENATE(Table43[[#This Row],[Nama            KLP]]," ",Table43[[#This Row],[Nama            Sub KLP]]))</f>
        <v>PINK SKIN EDP</v>
      </c>
      <c r="K44" s="55" t="str">
        <f>CONCATENATE(Table43[[#This Row],[kode  2 Digit                (hrf+No)]],Table43[[#This Row],[kode  2 Digit                (Nomor)]],Table43[[#This Row],[kode  1 Digit                (Nomor)]])</f>
        <v>F4053</v>
      </c>
      <c r="L44" s="55" t="str">
        <f>IF(AG44="",CONCATENATE(Q44,S44,U44,W44,Y44,AA44,AC44,AE44,Table43[[#This Row],[Tanda Kode Revisi]]),CONCATENATE(Q44,S44,U44,W44,Y44,AA44,AC44,AG44))</f>
        <v>F4053004003020</v>
      </c>
      <c r="M44" s="59">
        <f>LEN(L44)</f>
        <v>14</v>
      </c>
      <c r="N44" s="60" t="str">
        <f>IF(AF44&lt;&gt;"",TRIM(UPPER(CONCATENATE(P44," ",R44," ",T44," ",V44," ",X44," ",Z44," ","X"," ",Table43[[#This Row],[ISI/CTN]]," ",AF44," ",AB44," ",AD44," ",AH44))),TRIM(UPPER(CONCATENATE(P44," ",R44," ",T44," ",V44," ",X44," ",Z44," ","X"," ",Table43[[#This Row],[ISI/CTN]]," ",AB44," ",AD44," ",AH44))))</f>
        <v>PINK SKIN EDP SWEET ROSE 30ML X 48 BTL</v>
      </c>
      <c r="O44" s="59">
        <f>LEN(N44)</f>
        <v>38</v>
      </c>
      <c r="P44" s="55"/>
      <c r="Q44" s="56" t="s">
        <v>662</v>
      </c>
      <c r="R44" s="55" t="s">
        <v>686</v>
      </c>
      <c r="S44" s="61" t="s">
        <v>754</v>
      </c>
      <c r="T44" s="62" t="s">
        <v>1101</v>
      </c>
      <c r="U44" s="56">
        <v>3</v>
      </c>
      <c r="V44" s="62"/>
      <c r="W44" s="61" t="s">
        <v>370</v>
      </c>
      <c r="X44" s="55" t="s">
        <v>679</v>
      </c>
      <c r="Y44" s="63" t="s">
        <v>753</v>
      </c>
      <c r="Z44" s="55" t="s">
        <v>718</v>
      </c>
      <c r="AA44" s="63" t="s">
        <v>759</v>
      </c>
      <c r="AB44" s="55" t="s">
        <v>705</v>
      </c>
      <c r="AC44" s="56">
        <v>2</v>
      </c>
      <c r="AD44" s="55"/>
      <c r="AE44" s="56">
        <v>0</v>
      </c>
      <c r="AF44" s="56"/>
      <c r="AG44" s="56"/>
      <c r="AH44" s="56"/>
      <c r="AI44" s="56" t="s">
        <v>178</v>
      </c>
      <c r="AJ44" s="56">
        <v>2</v>
      </c>
      <c r="AK44" s="56"/>
      <c r="AL44" s="64"/>
      <c r="AM44" s="65">
        <f>Table43[[#This Row],[Harga Beli Pcs
(-PPN)]]*Table43[[#This Row],[ISI/CTN]]</f>
        <v>0</v>
      </c>
      <c r="AN44" s="65">
        <f>Table43[[#This Row],[Harga Beli Pcs
(-PPN)]]*1.11</f>
        <v>0</v>
      </c>
      <c r="AO44" s="65">
        <f>Table43[[#This Row],[Harga Beli Krt
(- PPN)]]*1.11</f>
        <v>0</v>
      </c>
      <c r="AP44" s="65"/>
      <c r="AQ44" s="65">
        <f>Table43[[#This Row],[Harga Jual Pcs GT
(-PPN)]]*Table43[[#This Row],[ISI/CTN]]</f>
        <v>0</v>
      </c>
      <c r="AR44" s="65">
        <f>Table43[[#This Row],[Harga Jual Pcs GT
(-PPN)]]*1.11</f>
        <v>0</v>
      </c>
      <c r="AS44" s="65">
        <f>Table43[[#This Row],[Harga Jual Krt GT
(- PPN)]]*1.11</f>
        <v>0</v>
      </c>
      <c r="AT44" s="65"/>
      <c r="AU44" s="65">
        <f>Table43[[#This Row],[Harga Jual Pcs MT
(-PPN)]]*Table43[[#This Row],[ISI/CTN]]</f>
        <v>0</v>
      </c>
      <c r="AV44" s="65">
        <f>Table43[[#This Row],[Harga Jual Pcs MT
(-PPN)]]*1.11</f>
        <v>0</v>
      </c>
      <c r="AW44" s="65">
        <f>Table43[[#This Row],[Harga Jual Pcs MT
(+PPN)]]*Table43[[#This Row],[ISI/CTN]]</f>
        <v>0</v>
      </c>
      <c r="AX44" s="66">
        <f>IFERROR((Table43[[#This Row],[Harga Jual Pcs GT
(-PPN)]]-Table43[[#This Row],[Harga Beli Pcs
(-PPN)]])/Table43[[#This Row],[Harga Jual Pcs GT
(-PPN)]],0)</f>
        <v>0</v>
      </c>
      <c r="AY44" s="67"/>
      <c r="AZ44" s="56"/>
      <c r="BA44" s="56" t="str">
        <f ca="1">IF(TODAY()-Table43[[#This Row],[Efektif
Pembuatan]]&gt;60,"Lama","Baru")</f>
        <v>Lama</v>
      </c>
      <c r="BB44" s="56" t="str">
        <f ca="1">IF(TODAY()-Table43[[#This Row],[Efektif Naik Harga]]&lt;30,"Naik","Sama")</f>
        <v>Sama</v>
      </c>
      <c r="BC44" s="56"/>
      <c r="BD44" s="56" t="str">
        <f>IF(Table43[[#This Row],[Kode BARANG Win2]]&lt;&gt;"","IDR","")</f>
        <v>IDR</v>
      </c>
      <c r="BE44" s="56" t="str">
        <f>CONCATENATE(Table43[[#This Row],[kode  1 Digit
(Nomor)]],Table43[[#This Row],[kode  4 Digit                (Nomor)]])</f>
        <v>20030</v>
      </c>
      <c r="BF44" s="56" t="str">
        <f>Table43[[#This Row],[Nama            Gramasi atau Jumlah Pack per CTN]]</f>
        <v>30ML</v>
      </c>
      <c r="BG44" s="56"/>
      <c r="BH44" s="56"/>
      <c r="BI44" s="55" t="str">
        <f>IF(Table43[[#This Row],[SATUAN Fix Win]]&lt;&gt;"","KRT")</f>
        <v>KRT</v>
      </c>
      <c r="BJ44" s="55" t="str">
        <f>IF(Table43[[#This Row],[SATUAN Fix Win]]&lt;&gt;"","GD01")</f>
        <v>GD01</v>
      </c>
      <c r="BK44" s="55">
        <f>IF(Table43[[#This Row],[SATUAN Fix Win]]&lt;&gt;"",11611)</f>
        <v>11611</v>
      </c>
      <c r="BL44" s="55">
        <f>IF(Table43[[#This Row],[SATUAN Fix Win]]&lt;&gt;"",11612)</f>
        <v>11612</v>
      </c>
      <c r="BM44" s="68"/>
      <c r="BN44" s="55">
        <f>IF(Table43[[#This Row],[SATUAN Fix Win]]&lt;&gt;"",1)</f>
        <v>1</v>
      </c>
      <c r="BO44" s="55"/>
      <c r="BP44" s="55"/>
      <c r="BQ44" s="55"/>
      <c r="BR44" s="55"/>
    </row>
    <row r="45" spans="1:70" s="69" customFormat="1">
      <c r="A45" s="55" t="str">
        <f>CONCATENATE(Table43[[#This Row],[Kode BARANG Win2]],Table43[[#This Row],[No. Urut
Item Sama]])</f>
        <v>F40530010030201</v>
      </c>
      <c r="B45" s="56">
        <v>1</v>
      </c>
      <c r="C45" s="4">
        <v>37</v>
      </c>
      <c r="D45" s="57">
        <v>112601000</v>
      </c>
      <c r="E45" s="57" t="s">
        <v>630</v>
      </c>
      <c r="F45" s="57" t="s">
        <v>1098</v>
      </c>
      <c r="G45" s="57">
        <v>48</v>
      </c>
      <c r="H45" s="58">
        <v>8992946535441</v>
      </c>
      <c r="I45" s="57" t="str">
        <f>Table43[[#This Row],[Nama Jenis Kemasan]]</f>
        <v>BTL</v>
      </c>
      <c r="J45" s="55" t="str">
        <f>TRIM(CONCATENATE(Table43[[#This Row],[Nama            KLP]]," ",Table43[[#This Row],[Nama            Sub KLP]]))</f>
        <v>PINK SKIN EDP</v>
      </c>
      <c r="K45" s="55" t="str">
        <f>CONCATENATE(Table43[[#This Row],[kode  2 Digit                (hrf+No)]],Table43[[#This Row],[kode  2 Digit                (Nomor)]],Table43[[#This Row],[kode  1 Digit                (Nomor)]])</f>
        <v>F4053</v>
      </c>
      <c r="L45" s="55" t="str">
        <f>IF(AG45="",CONCATENATE(Q45,S45,U45,W45,Y45,AA45,AC45,AE45,Table43[[#This Row],[Tanda Kode Revisi]]),CONCATENATE(Q45,S45,U45,W45,Y45,AA45,AC45,AG45))</f>
        <v>F4053001003020</v>
      </c>
      <c r="M45" s="59">
        <f t="shared" ref="M45:M46" si="4">LEN(L45)</f>
        <v>14</v>
      </c>
      <c r="N45" s="60" t="str">
        <f>IF(AF45&lt;&gt;"",TRIM(UPPER(CONCATENATE(P45," ",R45," ",T45," ",V45," ",X45," ",Z45," ","X"," ",Table43[[#This Row],[ISI/CTN]]," ",AF45," ",AB45," ",AD45," ",AH45))),TRIM(UPPER(CONCATENATE(P45," ",R45," ",T45," ",V45," ",X45," ",Z45," ","X"," ",Table43[[#This Row],[ISI/CTN]]," ",AB45," ",AD45," ",AH45))))</f>
        <v>PINK SKIN EDP FIRST LOVE 30ML X 48 BTL</v>
      </c>
      <c r="O45" s="59">
        <f t="shared" ref="O45:O46" si="5">LEN(N45)</f>
        <v>38</v>
      </c>
      <c r="P45" s="55"/>
      <c r="Q45" s="56" t="s">
        <v>662</v>
      </c>
      <c r="R45" s="55" t="s">
        <v>686</v>
      </c>
      <c r="S45" s="61" t="s">
        <v>754</v>
      </c>
      <c r="T45" s="62" t="s">
        <v>1101</v>
      </c>
      <c r="U45" s="56">
        <v>3</v>
      </c>
      <c r="V45" s="62"/>
      <c r="W45" s="61" t="s">
        <v>370</v>
      </c>
      <c r="X45" s="55" t="s">
        <v>677</v>
      </c>
      <c r="Y45" s="63" t="s">
        <v>749</v>
      </c>
      <c r="Z45" s="55" t="s">
        <v>718</v>
      </c>
      <c r="AA45" s="63" t="s">
        <v>759</v>
      </c>
      <c r="AB45" s="55" t="s">
        <v>705</v>
      </c>
      <c r="AC45" s="56">
        <v>2</v>
      </c>
      <c r="AD45" s="55"/>
      <c r="AE45" s="56">
        <v>0</v>
      </c>
      <c r="AF45" s="56"/>
      <c r="AG45" s="56"/>
      <c r="AH45" s="56"/>
      <c r="AI45" s="56" t="s">
        <v>178</v>
      </c>
      <c r="AJ45" s="56">
        <v>2</v>
      </c>
      <c r="AK45" s="56"/>
      <c r="AL45" s="64"/>
      <c r="AM45" s="65">
        <f>Table43[[#This Row],[Harga Beli Pcs
(-PPN)]]*Table43[[#This Row],[ISI/CTN]]</f>
        <v>0</v>
      </c>
      <c r="AN45" s="65">
        <f>Table43[[#This Row],[Harga Beli Pcs
(-PPN)]]*1.11</f>
        <v>0</v>
      </c>
      <c r="AO45" s="65">
        <f>Table43[[#This Row],[Harga Beli Krt
(- PPN)]]*1.11</f>
        <v>0</v>
      </c>
      <c r="AP45" s="65"/>
      <c r="AQ45" s="65">
        <f>Table43[[#This Row],[Harga Jual Pcs GT
(-PPN)]]*Table43[[#This Row],[ISI/CTN]]</f>
        <v>0</v>
      </c>
      <c r="AR45" s="65">
        <f>Table43[[#This Row],[Harga Jual Pcs GT
(-PPN)]]*1.11</f>
        <v>0</v>
      </c>
      <c r="AS45" s="65">
        <f>Table43[[#This Row],[Harga Jual Krt GT
(- PPN)]]*1.11</f>
        <v>0</v>
      </c>
      <c r="AT45" s="65"/>
      <c r="AU45" s="65">
        <f>Table43[[#This Row],[Harga Jual Pcs MT
(-PPN)]]*Table43[[#This Row],[ISI/CTN]]</f>
        <v>0</v>
      </c>
      <c r="AV45" s="65">
        <f>Table43[[#This Row],[Harga Jual Pcs MT
(-PPN)]]*1.11</f>
        <v>0</v>
      </c>
      <c r="AW45" s="65">
        <f>Table43[[#This Row],[Harga Jual Pcs MT
(+PPN)]]*Table43[[#This Row],[ISI/CTN]]</f>
        <v>0</v>
      </c>
      <c r="AX45" s="66">
        <f>IFERROR((Table43[[#This Row],[Harga Jual Pcs GT
(-PPN)]]-Table43[[#This Row],[Harga Beli Pcs
(-PPN)]])/Table43[[#This Row],[Harga Jual Pcs GT
(-PPN)]],0)</f>
        <v>0</v>
      </c>
      <c r="AY45" s="67"/>
      <c r="AZ45" s="56"/>
      <c r="BA45" s="56" t="str">
        <f ca="1">IF(TODAY()-Table43[[#This Row],[Efektif
Pembuatan]]&gt;60,"Lama","Baru")</f>
        <v>Lama</v>
      </c>
      <c r="BB45" s="56" t="str">
        <f ca="1">IF(TODAY()-Table43[[#This Row],[Efektif Naik Harga]]&lt;30,"Naik","Sama")</f>
        <v>Sama</v>
      </c>
      <c r="BC45" s="56"/>
      <c r="BD45" s="56" t="str">
        <f>IF(Table43[[#This Row],[Kode BARANG Win2]]&lt;&gt;"","IDR","")</f>
        <v>IDR</v>
      </c>
      <c r="BE45" s="56" t="str">
        <f>CONCATENATE(Table43[[#This Row],[kode  1 Digit
(Nomor)]],Table43[[#This Row],[kode  4 Digit                (Nomor)]])</f>
        <v>20030</v>
      </c>
      <c r="BF45" s="56" t="str">
        <f>Table43[[#This Row],[Nama            Gramasi atau Jumlah Pack per CTN]]</f>
        <v>30ML</v>
      </c>
      <c r="BG45" s="56"/>
      <c r="BH45" s="56"/>
      <c r="BI45" s="55" t="str">
        <f>IF(Table43[[#This Row],[SATUAN Fix Win]]&lt;&gt;"","KRT")</f>
        <v>KRT</v>
      </c>
      <c r="BJ45" s="55" t="str">
        <f>IF(Table43[[#This Row],[SATUAN Fix Win]]&lt;&gt;"","GD01")</f>
        <v>GD01</v>
      </c>
      <c r="BK45" s="55">
        <f>IF(Table43[[#This Row],[SATUAN Fix Win]]&lt;&gt;"",11611)</f>
        <v>11611</v>
      </c>
      <c r="BL45" s="55">
        <f>IF(Table43[[#This Row],[SATUAN Fix Win]]&lt;&gt;"",11612)</f>
        <v>11612</v>
      </c>
      <c r="BM45" s="68"/>
      <c r="BN45" s="55">
        <f>IF(Table43[[#This Row],[SATUAN Fix Win]]&lt;&gt;"",1)</f>
        <v>1</v>
      </c>
      <c r="BO45" s="55"/>
      <c r="BP45" s="55"/>
      <c r="BQ45" s="55"/>
      <c r="BR45" s="55"/>
    </row>
    <row r="46" spans="1:70" s="69" customFormat="1">
      <c r="A46" s="55" t="str">
        <f>CONCATENATE(Table43[[#This Row],[Kode BARANG Win2]],Table43[[#This Row],[No. Urut
Item Sama]])</f>
        <v>F40530020030201</v>
      </c>
      <c r="B46" s="56">
        <v>1</v>
      </c>
      <c r="C46" s="4">
        <v>38</v>
      </c>
      <c r="D46" s="57">
        <v>112604000</v>
      </c>
      <c r="E46" s="57" t="s">
        <v>630</v>
      </c>
      <c r="F46" s="57" t="s">
        <v>1097</v>
      </c>
      <c r="G46" s="57">
        <v>48</v>
      </c>
      <c r="H46" s="58">
        <v>8992946535465</v>
      </c>
      <c r="I46" s="57" t="str">
        <f>Table43[[#This Row],[Nama Jenis Kemasan]]</f>
        <v>BTL</v>
      </c>
      <c r="J46" s="55" t="str">
        <f>TRIM(CONCATENATE(Table43[[#This Row],[Nama            KLP]]," ",Table43[[#This Row],[Nama            Sub KLP]]))</f>
        <v>PINK SKIN EDP</v>
      </c>
      <c r="K46" s="55" t="str">
        <f>CONCATENATE(Table43[[#This Row],[kode  2 Digit                (hrf+No)]],Table43[[#This Row],[kode  2 Digit                (Nomor)]],Table43[[#This Row],[kode  1 Digit                (Nomor)]])</f>
        <v>F4053</v>
      </c>
      <c r="L46" s="55" t="str">
        <f>IF(AG46="",CONCATENATE(Q46,S46,U46,W46,Y46,AA46,AC46,AE46,Table43[[#This Row],[Tanda Kode Revisi]]),CONCATENATE(Q46,S46,U46,W46,Y46,AA46,AC46,AG46))</f>
        <v>F4053002003020</v>
      </c>
      <c r="M46" s="59">
        <f t="shared" si="4"/>
        <v>14</v>
      </c>
      <c r="N46" s="60" t="str">
        <f>IF(AF46&lt;&gt;"",TRIM(UPPER(CONCATENATE(P46," ",R46," ",T46," ",V46," ",X46," ",Z46," ","X"," ",Table43[[#This Row],[ISI/CTN]]," ",AF46," ",AB46," ",AD46," ",AH46))),TRIM(UPPER(CONCATENATE(P46," ",R46," ",T46," ",V46," ",X46," ",Z46," ","X"," ",Table43[[#This Row],[ISI/CTN]]," ",AB46," ",AD46," ",AH46))))</f>
        <v>PINK SKIN EDP FORGET ME NOT 30ML X 48 BTL</v>
      </c>
      <c r="O46" s="59">
        <f t="shared" si="5"/>
        <v>41</v>
      </c>
      <c r="P46" s="55"/>
      <c r="Q46" s="56" t="s">
        <v>662</v>
      </c>
      <c r="R46" s="55" t="s">
        <v>686</v>
      </c>
      <c r="S46" s="61" t="s">
        <v>754</v>
      </c>
      <c r="T46" s="62" t="s">
        <v>1101</v>
      </c>
      <c r="U46" s="56">
        <v>3</v>
      </c>
      <c r="V46" s="62"/>
      <c r="W46" s="61" t="s">
        <v>370</v>
      </c>
      <c r="X46" s="55" t="s">
        <v>1102</v>
      </c>
      <c r="Y46" s="63" t="s">
        <v>751</v>
      </c>
      <c r="Z46" s="55" t="s">
        <v>718</v>
      </c>
      <c r="AA46" s="63" t="s">
        <v>759</v>
      </c>
      <c r="AB46" s="55" t="s">
        <v>705</v>
      </c>
      <c r="AC46" s="56">
        <v>2</v>
      </c>
      <c r="AD46" s="55"/>
      <c r="AE46" s="56">
        <v>0</v>
      </c>
      <c r="AF46" s="56"/>
      <c r="AG46" s="56"/>
      <c r="AH46" s="56"/>
      <c r="AI46" s="56" t="s">
        <v>178</v>
      </c>
      <c r="AJ46" s="56">
        <v>2</v>
      </c>
      <c r="AK46" s="56"/>
      <c r="AL46" s="64"/>
      <c r="AM46" s="65">
        <f>Table43[[#This Row],[Harga Beli Pcs
(-PPN)]]*Table43[[#This Row],[ISI/CTN]]</f>
        <v>0</v>
      </c>
      <c r="AN46" s="65">
        <f>Table43[[#This Row],[Harga Beli Pcs
(-PPN)]]*1.11</f>
        <v>0</v>
      </c>
      <c r="AO46" s="65">
        <f>Table43[[#This Row],[Harga Beli Krt
(- PPN)]]*1.11</f>
        <v>0</v>
      </c>
      <c r="AP46" s="65"/>
      <c r="AQ46" s="65">
        <f>Table43[[#This Row],[Harga Jual Pcs GT
(-PPN)]]*Table43[[#This Row],[ISI/CTN]]</f>
        <v>0</v>
      </c>
      <c r="AR46" s="65">
        <f>Table43[[#This Row],[Harga Jual Pcs GT
(-PPN)]]*1.11</f>
        <v>0</v>
      </c>
      <c r="AS46" s="65">
        <f>Table43[[#This Row],[Harga Jual Krt GT
(- PPN)]]*1.11</f>
        <v>0</v>
      </c>
      <c r="AT46" s="65"/>
      <c r="AU46" s="65">
        <f>Table43[[#This Row],[Harga Jual Pcs MT
(-PPN)]]*Table43[[#This Row],[ISI/CTN]]</f>
        <v>0</v>
      </c>
      <c r="AV46" s="65">
        <f>Table43[[#This Row],[Harga Jual Pcs MT
(-PPN)]]*1.11</f>
        <v>0</v>
      </c>
      <c r="AW46" s="65">
        <f>Table43[[#This Row],[Harga Jual Pcs MT
(+PPN)]]*Table43[[#This Row],[ISI/CTN]]</f>
        <v>0</v>
      </c>
      <c r="AX46" s="66">
        <f>IFERROR((Table43[[#This Row],[Harga Jual Pcs GT
(-PPN)]]-Table43[[#This Row],[Harga Beli Pcs
(-PPN)]])/Table43[[#This Row],[Harga Jual Pcs GT
(-PPN)]],0)</f>
        <v>0</v>
      </c>
      <c r="AY46" s="67"/>
      <c r="AZ46" s="56"/>
      <c r="BA46" s="56" t="str">
        <f ca="1">IF(TODAY()-Table43[[#This Row],[Efektif
Pembuatan]]&gt;60,"Lama","Baru")</f>
        <v>Lama</v>
      </c>
      <c r="BB46" s="56" t="str">
        <f ca="1">IF(TODAY()-Table43[[#This Row],[Efektif Naik Harga]]&lt;30,"Naik","Sama")</f>
        <v>Sama</v>
      </c>
      <c r="BC46" s="56"/>
      <c r="BD46" s="56" t="str">
        <f>IF(Table43[[#This Row],[Kode BARANG Win2]]&lt;&gt;"","IDR","")</f>
        <v>IDR</v>
      </c>
      <c r="BE46" s="56" t="str">
        <f>CONCATENATE(Table43[[#This Row],[kode  1 Digit
(Nomor)]],Table43[[#This Row],[kode  4 Digit                (Nomor)]])</f>
        <v>20030</v>
      </c>
      <c r="BF46" s="56" t="str">
        <f>Table43[[#This Row],[Nama            Gramasi atau Jumlah Pack per CTN]]</f>
        <v>30ML</v>
      </c>
      <c r="BG46" s="56"/>
      <c r="BH46" s="56"/>
      <c r="BI46" s="55" t="str">
        <f>IF(Table43[[#This Row],[SATUAN Fix Win]]&lt;&gt;"","KRT")</f>
        <v>KRT</v>
      </c>
      <c r="BJ46" s="55" t="str">
        <f>IF(Table43[[#This Row],[SATUAN Fix Win]]&lt;&gt;"","GD01")</f>
        <v>GD01</v>
      </c>
      <c r="BK46" s="55">
        <f>IF(Table43[[#This Row],[SATUAN Fix Win]]&lt;&gt;"",11611)</f>
        <v>11611</v>
      </c>
      <c r="BL46" s="55">
        <f>IF(Table43[[#This Row],[SATUAN Fix Win]]&lt;&gt;"",11612)</f>
        <v>11612</v>
      </c>
      <c r="BM46" s="68"/>
      <c r="BN46" s="55">
        <f>IF(Table43[[#This Row],[SATUAN Fix Win]]&lt;&gt;"",1)</f>
        <v>1</v>
      </c>
      <c r="BO46" s="55"/>
      <c r="BP46" s="55"/>
      <c r="BQ46" s="55"/>
      <c r="BR46" s="55"/>
    </row>
    <row r="47" spans="1:70" s="69" customFormat="1">
      <c r="A47" s="55" t="str">
        <f>CONCATENATE(Table43[[#This Row],[Kode BARANG Win2]],Table43[[#This Row],[No. Urut
Item Sama]])</f>
        <v>F40530030030201</v>
      </c>
      <c r="B47" s="56">
        <v>1</v>
      </c>
      <c r="C47" s="4">
        <v>39</v>
      </c>
      <c r="D47" s="57">
        <v>112602000</v>
      </c>
      <c r="E47" s="57" t="s">
        <v>630</v>
      </c>
      <c r="F47" s="57" t="s">
        <v>1100</v>
      </c>
      <c r="G47" s="57">
        <v>48</v>
      </c>
      <c r="H47" s="58">
        <v>899246535434</v>
      </c>
      <c r="I47" s="57" t="str">
        <f>Table43[[#This Row],[Nama Jenis Kemasan]]</f>
        <v>BTL</v>
      </c>
      <c r="J47" s="55" t="str">
        <f>TRIM(CONCATENATE(Table43[[#This Row],[Nama            KLP]]," ",Table43[[#This Row],[Nama            Sub KLP]]))</f>
        <v>PINK SKIN EDP</v>
      </c>
      <c r="K47" s="55" t="str">
        <f>CONCATENATE(Table43[[#This Row],[kode  2 Digit                (hrf+No)]],Table43[[#This Row],[kode  2 Digit                (Nomor)]],Table43[[#This Row],[kode  1 Digit                (Nomor)]])</f>
        <v>F4053</v>
      </c>
      <c r="L47" s="55" t="str">
        <f>IF(AG47="",CONCATENATE(Q47,S47,U47,W47,Y47,AA47,AC47,AE47,Table43[[#This Row],[Tanda Kode Revisi]]),CONCATENATE(Q47,S47,U47,W47,Y47,AA47,AC47,AG47))</f>
        <v>F4053003003020</v>
      </c>
      <c r="M47" s="59">
        <f>LEN(L47)</f>
        <v>14</v>
      </c>
      <c r="N47" s="60" t="str">
        <f>IF(AF47&lt;&gt;"",TRIM(UPPER(CONCATENATE(P47," ",R47," ",T47," ",V47," ",X47," ",Z47," ","X"," ",Table43[[#This Row],[ISI/CTN]]," ",AF47," ",AB47," ",AD47," ",AH47))),TRIM(UPPER(CONCATENATE(P47," ",R47," ",T47," ",V47," ",X47," ",Z47," ","X"," ",Table43[[#This Row],[ISI/CTN]]," ",AB47," ",AD47," ",AH47))))</f>
        <v>PINK SKIN EDP SHINING STAR 30ML X 48 BTL</v>
      </c>
      <c r="O47" s="59">
        <f>LEN(N47)</f>
        <v>40</v>
      </c>
      <c r="P47" s="55"/>
      <c r="Q47" s="56" t="s">
        <v>662</v>
      </c>
      <c r="R47" s="55" t="s">
        <v>686</v>
      </c>
      <c r="S47" s="61" t="s">
        <v>754</v>
      </c>
      <c r="T47" s="62" t="s">
        <v>1101</v>
      </c>
      <c r="U47" s="56">
        <v>3</v>
      </c>
      <c r="V47" s="62"/>
      <c r="W47" s="61" t="s">
        <v>370</v>
      </c>
      <c r="X47" s="55" t="s">
        <v>678</v>
      </c>
      <c r="Y47" s="63" t="s">
        <v>752</v>
      </c>
      <c r="Z47" s="55" t="s">
        <v>718</v>
      </c>
      <c r="AA47" s="63" t="s">
        <v>759</v>
      </c>
      <c r="AB47" s="55" t="s">
        <v>705</v>
      </c>
      <c r="AC47" s="56">
        <v>2</v>
      </c>
      <c r="AD47" s="55"/>
      <c r="AE47" s="56">
        <v>0</v>
      </c>
      <c r="AF47" s="56"/>
      <c r="AG47" s="56"/>
      <c r="AH47" s="56"/>
      <c r="AI47" s="56" t="s">
        <v>178</v>
      </c>
      <c r="AJ47" s="56">
        <v>2</v>
      </c>
      <c r="AK47" s="56"/>
      <c r="AL47" s="64"/>
      <c r="AM47" s="65">
        <f>Table43[[#This Row],[Harga Beli Pcs
(-PPN)]]*Table43[[#This Row],[ISI/CTN]]</f>
        <v>0</v>
      </c>
      <c r="AN47" s="65">
        <f>Table43[[#This Row],[Harga Beli Pcs
(-PPN)]]*1.11</f>
        <v>0</v>
      </c>
      <c r="AO47" s="65">
        <f>Table43[[#This Row],[Harga Beli Krt
(- PPN)]]*1.11</f>
        <v>0</v>
      </c>
      <c r="AP47" s="65"/>
      <c r="AQ47" s="65">
        <f>Table43[[#This Row],[Harga Jual Pcs GT
(-PPN)]]*Table43[[#This Row],[ISI/CTN]]</f>
        <v>0</v>
      </c>
      <c r="AR47" s="65">
        <f>Table43[[#This Row],[Harga Jual Pcs GT
(-PPN)]]*1.11</f>
        <v>0</v>
      </c>
      <c r="AS47" s="65">
        <f>Table43[[#This Row],[Harga Jual Krt GT
(- PPN)]]*1.11</f>
        <v>0</v>
      </c>
      <c r="AT47" s="65"/>
      <c r="AU47" s="65">
        <f>Table43[[#This Row],[Harga Jual Pcs MT
(-PPN)]]*Table43[[#This Row],[ISI/CTN]]</f>
        <v>0</v>
      </c>
      <c r="AV47" s="65">
        <f>Table43[[#This Row],[Harga Jual Pcs MT
(-PPN)]]*1.11</f>
        <v>0</v>
      </c>
      <c r="AW47" s="65">
        <f>Table43[[#This Row],[Harga Jual Pcs MT
(+PPN)]]*Table43[[#This Row],[ISI/CTN]]</f>
        <v>0</v>
      </c>
      <c r="AX47" s="66">
        <f>IFERROR((Table43[[#This Row],[Harga Jual Pcs GT
(-PPN)]]-Table43[[#This Row],[Harga Beli Pcs
(-PPN)]])/Table43[[#This Row],[Harga Jual Pcs GT
(-PPN)]],0)</f>
        <v>0</v>
      </c>
      <c r="AY47" s="67"/>
      <c r="AZ47" s="56"/>
      <c r="BA47" s="56" t="str">
        <f ca="1">IF(TODAY()-Table43[[#This Row],[Efektif
Pembuatan]]&gt;60,"Lama","Baru")</f>
        <v>Lama</v>
      </c>
      <c r="BB47" s="56" t="str">
        <f ca="1">IF(TODAY()-Table43[[#This Row],[Efektif Naik Harga]]&lt;30,"Naik","Sama")</f>
        <v>Sama</v>
      </c>
      <c r="BC47" s="56"/>
      <c r="BD47" s="56" t="str">
        <f>IF(Table43[[#This Row],[Kode BARANG Win2]]&lt;&gt;"","IDR","")</f>
        <v>IDR</v>
      </c>
      <c r="BE47" s="56" t="str">
        <f>CONCATENATE(Table43[[#This Row],[kode  1 Digit
(Nomor)]],Table43[[#This Row],[kode  4 Digit                (Nomor)]])</f>
        <v>20030</v>
      </c>
      <c r="BF47" s="56" t="str">
        <f>Table43[[#This Row],[Nama            Gramasi atau Jumlah Pack per CTN]]</f>
        <v>30ML</v>
      </c>
      <c r="BG47" s="56"/>
      <c r="BH47" s="56"/>
      <c r="BI47" s="55" t="str">
        <f>IF(Table43[[#This Row],[SATUAN Fix Win]]&lt;&gt;"","KRT")</f>
        <v>KRT</v>
      </c>
      <c r="BJ47" s="55" t="str">
        <f>IF(Table43[[#This Row],[SATUAN Fix Win]]&lt;&gt;"","GD01")</f>
        <v>GD01</v>
      </c>
      <c r="BK47" s="55">
        <f>IF(Table43[[#This Row],[SATUAN Fix Win]]&lt;&gt;"",11611)</f>
        <v>11611</v>
      </c>
      <c r="BL47" s="55">
        <f>IF(Table43[[#This Row],[SATUAN Fix Win]]&lt;&gt;"",11612)</f>
        <v>11612</v>
      </c>
      <c r="BM47" s="68"/>
      <c r="BN47" s="55">
        <f>IF(Table43[[#This Row],[SATUAN Fix Win]]&lt;&gt;"",1)</f>
        <v>1</v>
      </c>
      <c r="BO47" s="55"/>
      <c r="BP47" s="55"/>
      <c r="BQ47" s="55"/>
      <c r="BR47" s="55"/>
    </row>
    <row r="48" spans="1:70">
      <c r="A48" s="4" t="str">
        <f>CONCATENATE(Table43[[#This Row],[Kode BARANG Win2]],Table43[[#This Row],[No. Urut
Item Sama]])</f>
        <v>F40611010380101</v>
      </c>
      <c r="B48" s="7">
        <v>1</v>
      </c>
      <c r="C48" s="4">
        <v>40</v>
      </c>
      <c r="D48" s="27" t="s">
        <v>431</v>
      </c>
      <c r="E48" s="27" t="s">
        <v>628</v>
      </c>
      <c r="F48" s="27" t="s">
        <v>552</v>
      </c>
      <c r="G48" s="27">
        <v>24</v>
      </c>
      <c r="H48" s="54">
        <v>8992946523526</v>
      </c>
      <c r="I48" s="27" t="str">
        <f>Table43[[#This Row],[Nama Jenis Kemasan]]</f>
        <v>PCH</v>
      </c>
      <c r="J48" s="4" t="str">
        <f>TRIM(CONCATENATE(Table43[[#This Row],[Nama            KLP]]," ",Table43[[#This Row],[Nama            Sub KLP]]))</f>
        <v>SHINZUI BODY CLEANSER</v>
      </c>
      <c r="K48" s="4" t="str">
        <f>CONCATENATE(Table43[[#This Row],[kode  2 Digit                (hrf+No)]],Table43[[#This Row],[kode  2 Digit                (Nomor)]],Table43[[#This Row],[kode  1 Digit                (Nomor)]])</f>
        <v>F4061</v>
      </c>
      <c r="L48" s="4" t="str">
        <f>IF(AG48="",CONCATENATE(Q48,S48,U48,W48,Y48,AA48,AC48,AE48,Table43[[#This Row],[Tanda Kode Revisi]]),CONCATENATE(Q48,S48,U48,W48,Y48,AA48,AC48,AG48))</f>
        <v>F4061101038010</v>
      </c>
      <c r="M48" s="11">
        <f t="shared" si="2"/>
        <v>14</v>
      </c>
      <c r="N48" s="14" t="str">
        <f>IF(AF48&lt;&gt;"",TRIM(UPPER(CONCATENATE(P48," ",R48," ",T48," ",V48," ",X48," ",Z48," ","X"," ",Table43[[#This Row],[ISI/CTN]]," ",AF48," ",AB48," ",AD48," ",AH48))),TRIM(UPPER(CONCATENATE(P48," ",R48," ",T48," ",V48," ",X48," ",Z48," ","X"," ",Table43[[#This Row],[ISI/CTN]]," ",AB48," ",AD48," ",AH48))))</f>
        <v>SHINZUI BODY CLEANSER REFILL HANA 380ML X 24 PCH</v>
      </c>
      <c r="O48" s="11">
        <f t="shared" si="3"/>
        <v>48</v>
      </c>
      <c r="Q48" s="7" t="s">
        <v>662</v>
      </c>
      <c r="R48" s="4" t="s">
        <v>680</v>
      </c>
      <c r="S48" s="48" t="s">
        <v>755</v>
      </c>
      <c r="T48" s="49" t="s">
        <v>667</v>
      </c>
      <c r="U48" s="7">
        <v>1</v>
      </c>
      <c r="V48" s="49" t="s">
        <v>668</v>
      </c>
      <c r="W48" s="48" t="s">
        <v>750</v>
      </c>
      <c r="X48" s="4" t="s">
        <v>682</v>
      </c>
      <c r="Y48" s="50" t="s">
        <v>749</v>
      </c>
      <c r="Z48" s="4" t="s">
        <v>696</v>
      </c>
      <c r="AA48" s="50" t="s">
        <v>761</v>
      </c>
      <c r="AB48" s="4" t="s">
        <v>671</v>
      </c>
      <c r="AC48" s="7">
        <v>1</v>
      </c>
      <c r="AE48" s="7">
        <v>0</v>
      </c>
      <c r="AI48" s="7" t="s">
        <v>178</v>
      </c>
      <c r="AJ48" s="7">
        <v>2</v>
      </c>
      <c r="AL48" s="38">
        <v>21687.747747747744</v>
      </c>
      <c r="AM48" s="39">
        <f>Table43[[#This Row],[Harga Beli Pcs
(-PPN)]]*Table43[[#This Row],[ISI/CTN]]</f>
        <v>520505.94594594586</v>
      </c>
      <c r="AN48" s="39">
        <f>Table43[[#This Row],[Harga Beli Pcs
(-PPN)]]*1.11</f>
        <v>24073.399999999998</v>
      </c>
      <c r="AO48" s="39">
        <f>Table43[[#This Row],[Harga Beli Krt
(- PPN)]]*1.11</f>
        <v>577761.6</v>
      </c>
      <c r="AP48" s="39">
        <v>23423.423423423421</v>
      </c>
      <c r="AQ48" s="39">
        <f>Table43[[#This Row],[Harga Jual Pcs GT
(-PPN)]]*Table43[[#This Row],[ISI/CTN]]</f>
        <v>562162.16216216213</v>
      </c>
      <c r="AR48" s="39">
        <f>Table43[[#This Row],[Harga Jual Pcs GT
(-PPN)]]*1.11</f>
        <v>26000</v>
      </c>
      <c r="AS48" s="39">
        <f>Table43[[#This Row],[Harga Jual Krt GT
(- PPN)]]*1.11</f>
        <v>624000</v>
      </c>
      <c r="AT48" s="39"/>
      <c r="AU48" s="39">
        <f>Table43[[#This Row],[Harga Jual Pcs MT
(-PPN)]]*Table43[[#This Row],[ISI/CTN]]</f>
        <v>0</v>
      </c>
      <c r="AV48" s="39">
        <f>Table43[[#This Row],[Harga Jual Pcs MT
(-PPN)]]*1.11</f>
        <v>0</v>
      </c>
      <c r="AW48" s="39">
        <f>Table43[[#This Row],[Harga Jual Pcs MT
(+PPN)]]*Table43[[#This Row],[ISI/CTN]]</f>
        <v>0</v>
      </c>
      <c r="AX48" s="47">
        <f>IFERROR((Table43[[#This Row],[Harga Jual Pcs GT
(-PPN)]]-Table43[[#This Row],[Harga Beli Pcs
(-PPN)]])/Table43[[#This Row],[Harga Jual Pcs GT
(-PPN)]],0)</f>
        <v>7.4100000000000055E-2</v>
      </c>
      <c r="AY48" s="51">
        <v>45848</v>
      </c>
      <c r="AZ48" s="7"/>
      <c r="BA48" s="7" t="str">
        <f ca="1">IF(TODAY()-Table43[[#This Row],[Efektif
Pembuatan]]&gt;60,"Lama","Baru")</f>
        <v>Lama</v>
      </c>
      <c r="BB48" s="7" t="str">
        <f ca="1">IF(TODAY()-Table43[[#This Row],[Efektif Naik Harga]]&lt;30,"Naik","Sama")</f>
        <v>Sama</v>
      </c>
      <c r="BC48" s="7" t="s">
        <v>185</v>
      </c>
      <c r="BD48" s="7" t="str">
        <f>IF(Table43[[#This Row],[Kode BARANG Win2]]&lt;&gt;"","IDR","")</f>
        <v>IDR</v>
      </c>
      <c r="BE48" s="7" t="str">
        <f>CONCATENATE(Table43[[#This Row],[kode  1 Digit
(Nomor)]],Table43[[#This Row],[kode  4 Digit                (Nomor)]])</f>
        <v>20380</v>
      </c>
      <c r="BF48" s="7" t="str">
        <f>Table43[[#This Row],[Nama            Gramasi atau Jumlah Pack per CTN]]</f>
        <v>380ML</v>
      </c>
      <c r="BG48" s="7" t="s">
        <v>1060</v>
      </c>
      <c r="BH48" s="7" t="s">
        <v>377</v>
      </c>
      <c r="BI48" s="4" t="str">
        <f>IF(Table43[[#This Row],[SATUAN Fix Win]]&lt;&gt;"","KRT")</f>
        <v>KRT</v>
      </c>
      <c r="BJ48" s="4" t="str">
        <f>IF(Table43[[#This Row],[SATUAN Fix Win]]&lt;&gt;"","GD01")</f>
        <v>GD01</v>
      </c>
      <c r="BK48" s="4">
        <f>IF(Table43[[#This Row],[SATUAN Fix Win]]&lt;&gt;"",11611)</f>
        <v>11611</v>
      </c>
      <c r="BL48" s="4">
        <f>IF(Table43[[#This Row],[SATUAN Fix Win]]&lt;&gt;"",11612)</f>
        <v>11612</v>
      </c>
      <c r="BM48" s="52" t="s">
        <v>378</v>
      </c>
      <c r="BN48" s="4">
        <f>IF(Table43[[#This Row],[SATUAN Fix Win]]&lt;&gt;"",1)</f>
        <v>1</v>
      </c>
      <c r="BO48" s="4" t="s">
        <v>637</v>
      </c>
    </row>
    <row r="49" spans="1:70">
      <c r="A49" s="4" t="str">
        <f>CONCATENATE(Table43[[#This Row],[Kode BARANG Win2]],Table43[[#This Row],[No. Urut
Item Sama]])</f>
        <v>F40611020380101</v>
      </c>
      <c r="B49" s="7">
        <v>1</v>
      </c>
      <c r="C49" s="4">
        <v>41</v>
      </c>
      <c r="D49" s="27" t="s">
        <v>450</v>
      </c>
      <c r="E49" s="27" t="s">
        <v>628</v>
      </c>
      <c r="F49" s="27" t="s">
        <v>571</v>
      </c>
      <c r="G49" s="27">
        <v>24</v>
      </c>
      <c r="H49" s="54">
        <v>8992946523564</v>
      </c>
      <c r="I49" s="27" t="str">
        <f>Table43[[#This Row],[Nama Jenis Kemasan]]</f>
        <v>PCH</v>
      </c>
      <c r="J49" s="4" t="str">
        <f>TRIM(CONCATENATE(Table43[[#This Row],[Nama            KLP]]," ",Table43[[#This Row],[Nama            Sub KLP]]))</f>
        <v>SHINZUI BODY CLEANSER</v>
      </c>
      <c r="K49" s="4" t="str">
        <f>CONCATENATE(Table43[[#This Row],[kode  2 Digit                (hrf+No)]],Table43[[#This Row],[kode  2 Digit                (Nomor)]],Table43[[#This Row],[kode  1 Digit                (Nomor)]])</f>
        <v>F4061</v>
      </c>
      <c r="L49" s="4" t="str">
        <f>IF(AG49="",CONCATENATE(Q49,S49,U49,W49,Y49,AA49,AC49,AE49,Table43[[#This Row],[Tanda Kode Revisi]]),CONCATENATE(Q49,S49,U49,W49,Y49,AA49,AC49,AG49))</f>
        <v>F4061102038010</v>
      </c>
      <c r="M49" s="11">
        <f t="shared" si="2"/>
        <v>14</v>
      </c>
      <c r="N49" s="14" t="str">
        <f>IF(AF49&lt;&gt;"",TRIM(UPPER(CONCATENATE(P49," ",R49," ",T49," ",V49," ",X49," ",Z49," ","X"," ",Table43[[#This Row],[ISI/CTN]]," ",AF49," ",AB49," ",AD49," ",AH49))),TRIM(UPPER(CONCATENATE(P49," ",R49," ",T49," ",V49," ",X49," ",Z49," ","X"," ",Table43[[#This Row],[ISI/CTN]]," ",AB49," ",AD49," ",AH49))))</f>
        <v>SHINZUI BODY CLEANSER REFILL KENSHO 380ML X 24 PCH</v>
      </c>
      <c r="O49" s="11">
        <f t="shared" si="3"/>
        <v>50</v>
      </c>
      <c r="Q49" s="7" t="s">
        <v>662</v>
      </c>
      <c r="R49" s="4" t="s">
        <v>680</v>
      </c>
      <c r="S49" s="48" t="s">
        <v>755</v>
      </c>
      <c r="T49" s="49" t="s">
        <v>667</v>
      </c>
      <c r="U49" s="7">
        <v>1</v>
      </c>
      <c r="V49" s="49" t="s">
        <v>668</v>
      </c>
      <c r="W49" s="48" t="s">
        <v>750</v>
      </c>
      <c r="X49" s="4" t="s">
        <v>694</v>
      </c>
      <c r="Y49" s="50" t="s">
        <v>751</v>
      </c>
      <c r="Z49" s="4" t="s">
        <v>696</v>
      </c>
      <c r="AA49" s="50" t="s">
        <v>761</v>
      </c>
      <c r="AB49" s="4" t="s">
        <v>671</v>
      </c>
      <c r="AC49" s="7">
        <v>1</v>
      </c>
      <c r="AE49" s="7">
        <v>0</v>
      </c>
      <c r="AI49" s="7" t="s">
        <v>178</v>
      </c>
      <c r="AJ49" s="7">
        <v>2</v>
      </c>
      <c r="AL49" s="38">
        <v>21687.747747747744</v>
      </c>
      <c r="AM49" s="39">
        <f>Table43[[#This Row],[Harga Beli Pcs
(-PPN)]]*Table43[[#This Row],[ISI/CTN]]</f>
        <v>520505.94594594586</v>
      </c>
      <c r="AN49" s="39">
        <f>Table43[[#This Row],[Harga Beli Pcs
(-PPN)]]*1.11</f>
        <v>24073.399999999998</v>
      </c>
      <c r="AO49" s="39">
        <f>Table43[[#This Row],[Harga Beli Krt
(- PPN)]]*1.11</f>
        <v>577761.6</v>
      </c>
      <c r="AP49" s="39">
        <v>23423.423423423421</v>
      </c>
      <c r="AQ49" s="39">
        <f>Table43[[#This Row],[Harga Jual Pcs GT
(-PPN)]]*Table43[[#This Row],[ISI/CTN]]</f>
        <v>562162.16216216213</v>
      </c>
      <c r="AR49" s="39">
        <f>Table43[[#This Row],[Harga Jual Pcs GT
(-PPN)]]*1.11</f>
        <v>26000</v>
      </c>
      <c r="AS49" s="39">
        <f>Table43[[#This Row],[Harga Jual Krt GT
(- PPN)]]*1.11</f>
        <v>624000</v>
      </c>
      <c r="AT49" s="39"/>
      <c r="AU49" s="39">
        <f>Table43[[#This Row],[Harga Jual Pcs MT
(-PPN)]]*Table43[[#This Row],[ISI/CTN]]</f>
        <v>0</v>
      </c>
      <c r="AV49" s="39">
        <f>Table43[[#This Row],[Harga Jual Pcs MT
(-PPN)]]*1.11</f>
        <v>0</v>
      </c>
      <c r="AW49" s="39">
        <f>Table43[[#This Row],[Harga Jual Pcs MT
(+PPN)]]*Table43[[#This Row],[ISI/CTN]]</f>
        <v>0</v>
      </c>
      <c r="AX49" s="47">
        <f>IFERROR((Table43[[#This Row],[Harga Jual Pcs GT
(-PPN)]]-Table43[[#This Row],[Harga Beli Pcs
(-PPN)]])/Table43[[#This Row],[Harga Jual Pcs GT
(-PPN)]],0)</f>
        <v>7.4100000000000055E-2</v>
      </c>
      <c r="AY49" s="51">
        <v>45848</v>
      </c>
      <c r="AZ49" s="7"/>
      <c r="BA49" s="7" t="str">
        <f ca="1">IF(TODAY()-Table43[[#This Row],[Efektif
Pembuatan]]&gt;60,"Lama","Baru")</f>
        <v>Lama</v>
      </c>
      <c r="BB49" s="7" t="str">
        <f ca="1">IF(TODAY()-Table43[[#This Row],[Efektif Naik Harga]]&lt;30,"Naik","Sama")</f>
        <v>Sama</v>
      </c>
      <c r="BC49" s="7" t="s">
        <v>185</v>
      </c>
      <c r="BD49" s="7" t="str">
        <f>IF(Table43[[#This Row],[Kode BARANG Win2]]&lt;&gt;"","IDR","")</f>
        <v>IDR</v>
      </c>
      <c r="BE49" s="7" t="str">
        <f>CONCATENATE(Table43[[#This Row],[kode  1 Digit
(Nomor)]],Table43[[#This Row],[kode  4 Digit                (Nomor)]])</f>
        <v>20380</v>
      </c>
      <c r="BF49" s="7" t="str">
        <f>Table43[[#This Row],[Nama            Gramasi atau Jumlah Pack per CTN]]</f>
        <v>380ML</v>
      </c>
      <c r="BG49" s="7" t="s">
        <v>1060</v>
      </c>
      <c r="BH49" s="7" t="s">
        <v>377</v>
      </c>
      <c r="BI49" s="4" t="str">
        <f>IF(Table43[[#This Row],[SATUAN Fix Win]]&lt;&gt;"","KRT")</f>
        <v>KRT</v>
      </c>
      <c r="BJ49" s="4" t="str">
        <f>IF(Table43[[#This Row],[SATUAN Fix Win]]&lt;&gt;"","GD01")</f>
        <v>GD01</v>
      </c>
      <c r="BK49" s="4">
        <f>IF(Table43[[#This Row],[SATUAN Fix Win]]&lt;&gt;"",11611)</f>
        <v>11611</v>
      </c>
      <c r="BL49" s="4">
        <f>IF(Table43[[#This Row],[SATUAN Fix Win]]&lt;&gt;"",11612)</f>
        <v>11612</v>
      </c>
      <c r="BM49" s="52" t="s">
        <v>378</v>
      </c>
      <c r="BN49" s="4">
        <f>IF(Table43[[#This Row],[SATUAN Fix Win]]&lt;&gt;"",1)</f>
        <v>1</v>
      </c>
      <c r="BO49" s="4" t="s">
        <v>637</v>
      </c>
    </row>
    <row r="50" spans="1:70">
      <c r="A50" s="4" t="str">
        <f>CONCATENATE(Table43[[#This Row],[Kode BARANG Win2]],Table43[[#This Row],[No. Urut
Item Sama]])</f>
        <v>F40611030380101</v>
      </c>
      <c r="B50" s="7">
        <v>1</v>
      </c>
      <c r="C50" s="4">
        <v>42</v>
      </c>
      <c r="D50" s="27" t="s">
        <v>437</v>
      </c>
      <c r="E50" s="27" t="s">
        <v>628</v>
      </c>
      <c r="F50" s="27" t="s">
        <v>558</v>
      </c>
      <c r="G50" s="27">
        <v>24</v>
      </c>
      <c r="H50" s="54">
        <v>8992946523533</v>
      </c>
      <c r="I50" s="27" t="str">
        <f>Table43[[#This Row],[Nama Jenis Kemasan]]</f>
        <v>PCH</v>
      </c>
      <c r="J50" s="4" t="str">
        <f>TRIM(CONCATENATE(Table43[[#This Row],[Nama            KLP]]," ",Table43[[#This Row],[Nama            Sub KLP]]))</f>
        <v>SHINZUI BODY CLEANSER</v>
      </c>
      <c r="K50" s="4" t="str">
        <f>CONCATENATE(Table43[[#This Row],[kode  2 Digit                (hrf+No)]],Table43[[#This Row],[kode  2 Digit                (Nomor)]],Table43[[#This Row],[kode  1 Digit                (Nomor)]])</f>
        <v>F4061</v>
      </c>
      <c r="L50" s="4" t="str">
        <f>IF(AG50="",CONCATENATE(Q50,S50,U50,W50,Y50,AA50,AC50,AE50,Table43[[#This Row],[Tanda Kode Revisi]]),CONCATENATE(Q50,S50,U50,W50,Y50,AA50,AC50,AG50))</f>
        <v>F4061103038010</v>
      </c>
      <c r="M50" s="11">
        <f t="shared" si="2"/>
        <v>14</v>
      </c>
      <c r="N50" s="14" t="str">
        <f>IF(AF50&lt;&gt;"",TRIM(UPPER(CONCATENATE(P50," ",R50," ",T50," ",V50," ",X50," ",Z50," ","X"," ",Table43[[#This Row],[ISI/CTN]]," ",AF50," ",AB50," ",AD50," ",AH50))),TRIM(UPPER(CONCATENATE(P50," ",R50," ",T50," ",V50," ",X50," ",Z50," ","X"," ",Table43[[#This Row],[ISI/CTN]]," ",AB50," ",AD50," ",AH50))))</f>
        <v>SHINZUI BODY CLEANSER REFILL KIREI 380ML X 24 PCH</v>
      </c>
      <c r="O50" s="11">
        <f t="shared" si="3"/>
        <v>49</v>
      </c>
      <c r="Q50" s="7" t="s">
        <v>662</v>
      </c>
      <c r="R50" s="4" t="s">
        <v>680</v>
      </c>
      <c r="S50" s="48" t="s">
        <v>755</v>
      </c>
      <c r="T50" s="49" t="s">
        <v>667</v>
      </c>
      <c r="U50" s="7">
        <v>1</v>
      </c>
      <c r="V50" s="49" t="s">
        <v>668</v>
      </c>
      <c r="W50" s="48" t="s">
        <v>750</v>
      </c>
      <c r="X50" s="4" t="s">
        <v>683</v>
      </c>
      <c r="Y50" s="50" t="s">
        <v>752</v>
      </c>
      <c r="Z50" s="4" t="s">
        <v>696</v>
      </c>
      <c r="AA50" s="50" t="s">
        <v>761</v>
      </c>
      <c r="AB50" s="4" t="s">
        <v>671</v>
      </c>
      <c r="AC50" s="7">
        <v>1</v>
      </c>
      <c r="AE50" s="7">
        <v>0</v>
      </c>
      <c r="AI50" s="7" t="s">
        <v>178</v>
      </c>
      <c r="AJ50" s="7">
        <v>2</v>
      </c>
      <c r="AL50" s="38">
        <v>21687.747747747744</v>
      </c>
      <c r="AM50" s="39">
        <f>Table43[[#This Row],[Harga Beli Pcs
(-PPN)]]*Table43[[#This Row],[ISI/CTN]]</f>
        <v>520505.94594594586</v>
      </c>
      <c r="AN50" s="39">
        <f>Table43[[#This Row],[Harga Beli Pcs
(-PPN)]]*1.11</f>
        <v>24073.399999999998</v>
      </c>
      <c r="AO50" s="39">
        <f>Table43[[#This Row],[Harga Beli Krt
(- PPN)]]*1.11</f>
        <v>577761.6</v>
      </c>
      <c r="AP50" s="39">
        <v>23423.423423423421</v>
      </c>
      <c r="AQ50" s="39">
        <f>Table43[[#This Row],[Harga Jual Pcs GT
(-PPN)]]*Table43[[#This Row],[ISI/CTN]]</f>
        <v>562162.16216216213</v>
      </c>
      <c r="AR50" s="39">
        <f>Table43[[#This Row],[Harga Jual Pcs GT
(-PPN)]]*1.11</f>
        <v>26000</v>
      </c>
      <c r="AS50" s="39">
        <f>Table43[[#This Row],[Harga Jual Krt GT
(- PPN)]]*1.11</f>
        <v>624000</v>
      </c>
      <c r="AT50" s="39"/>
      <c r="AU50" s="39">
        <f>Table43[[#This Row],[Harga Jual Pcs MT
(-PPN)]]*Table43[[#This Row],[ISI/CTN]]</f>
        <v>0</v>
      </c>
      <c r="AV50" s="39">
        <f>Table43[[#This Row],[Harga Jual Pcs MT
(-PPN)]]*1.11</f>
        <v>0</v>
      </c>
      <c r="AW50" s="39">
        <f>Table43[[#This Row],[Harga Jual Pcs MT
(+PPN)]]*Table43[[#This Row],[ISI/CTN]]</f>
        <v>0</v>
      </c>
      <c r="AX50" s="47">
        <f>IFERROR((Table43[[#This Row],[Harga Jual Pcs GT
(-PPN)]]-Table43[[#This Row],[Harga Beli Pcs
(-PPN)]])/Table43[[#This Row],[Harga Jual Pcs GT
(-PPN)]],0)</f>
        <v>7.4100000000000055E-2</v>
      </c>
      <c r="AY50" s="51">
        <v>45848</v>
      </c>
      <c r="AZ50" s="7"/>
      <c r="BA50" s="7" t="str">
        <f ca="1">IF(TODAY()-Table43[[#This Row],[Efektif
Pembuatan]]&gt;60,"Lama","Baru")</f>
        <v>Lama</v>
      </c>
      <c r="BB50" s="7" t="str">
        <f ca="1">IF(TODAY()-Table43[[#This Row],[Efektif Naik Harga]]&lt;30,"Naik","Sama")</f>
        <v>Sama</v>
      </c>
      <c r="BC50" s="7" t="s">
        <v>185</v>
      </c>
      <c r="BD50" s="7" t="str">
        <f>IF(Table43[[#This Row],[Kode BARANG Win2]]&lt;&gt;"","IDR","")</f>
        <v>IDR</v>
      </c>
      <c r="BE50" s="7" t="str">
        <f>CONCATENATE(Table43[[#This Row],[kode  1 Digit
(Nomor)]],Table43[[#This Row],[kode  4 Digit                (Nomor)]])</f>
        <v>20380</v>
      </c>
      <c r="BF50" s="7" t="str">
        <f>Table43[[#This Row],[Nama            Gramasi atau Jumlah Pack per CTN]]</f>
        <v>380ML</v>
      </c>
      <c r="BG50" s="7" t="s">
        <v>1060</v>
      </c>
      <c r="BH50" s="7" t="s">
        <v>377</v>
      </c>
      <c r="BI50" s="4" t="str">
        <f>IF(Table43[[#This Row],[SATUAN Fix Win]]&lt;&gt;"","KRT")</f>
        <v>KRT</v>
      </c>
      <c r="BJ50" s="4" t="str">
        <f>IF(Table43[[#This Row],[SATUAN Fix Win]]&lt;&gt;"","GD01")</f>
        <v>GD01</v>
      </c>
      <c r="BK50" s="4">
        <f>IF(Table43[[#This Row],[SATUAN Fix Win]]&lt;&gt;"",11611)</f>
        <v>11611</v>
      </c>
      <c r="BL50" s="4">
        <f>IF(Table43[[#This Row],[SATUAN Fix Win]]&lt;&gt;"",11612)</f>
        <v>11612</v>
      </c>
      <c r="BM50" s="52" t="s">
        <v>378</v>
      </c>
      <c r="BN50" s="4">
        <f>IF(Table43[[#This Row],[SATUAN Fix Win]]&lt;&gt;"",1)</f>
        <v>1</v>
      </c>
      <c r="BO50" s="4" t="s">
        <v>637</v>
      </c>
    </row>
    <row r="51" spans="1:70">
      <c r="A51" s="4" t="str">
        <f>CONCATENATE(Table43[[#This Row],[Kode BARANG Win2]],Table43[[#This Row],[No. Urut
Item Sama]])</f>
        <v>F40611030725101</v>
      </c>
      <c r="B51" s="7">
        <v>1</v>
      </c>
      <c r="C51" s="4">
        <v>43</v>
      </c>
      <c r="D51" s="27" t="s">
        <v>436</v>
      </c>
      <c r="E51" s="27" t="s">
        <v>628</v>
      </c>
      <c r="F51" s="27" t="s">
        <v>557</v>
      </c>
      <c r="G51" s="27">
        <v>12</v>
      </c>
      <c r="H51" s="54">
        <v>8992946531675</v>
      </c>
      <c r="I51" s="27" t="str">
        <f>Table43[[#This Row],[Nama Jenis Kemasan]]</f>
        <v>PCH</v>
      </c>
      <c r="J51" s="4" t="str">
        <f>TRIM(CONCATENATE(Table43[[#This Row],[Nama            KLP]]," ",Table43[[#This Row],[Nama            Sub KLP]]))</f>
        <v>SHINZUI BODY CLEANSER</v>
      </c>
      <c r="K51" s="4" t="str">
        <f>CONCATENATE(Table43[[#This Row],[kode  2 Digit                (hrf+No)]],Table43[[#This Row],[kode  2 Digit                (Nomor)]],Table43[[#This Row],[kode  1 Digit                (Nomor)]])</f>
        <v>F4061</v>
      </c>
      <c r="L51" s="4" t="str">
        <f>IF(AG51="",CONCATENATE(Q51,S51,U51,W51,Y51,AA51,AC51,AE51,Table43[[#This Row],[Tanda Kode Revisi]]),CONCATENATE(Q51,S51,U51,W51,Y51,AA51,AC51,AG51))</f>
        <v>F4061103072510</v>
      </c>
      <c r="M51" s="11">
        <f t="shared" si="2"/>
        <v>14</v>
      </c>
      <c r="N51" s="14" t="str">
        <f>IF(AF51&lt;&gt;"",TRIM(UPPER(CONCATENATE(P51," ",R51," ",T51," ",V51," ",X51," ",Z51," ","X"," ",Table43[[#This Row],[ISI/CTN]]," ",AF51," ",AB51," ",AD51," ",AH51))),TRIM(UPPER(CONCATENATE(P51," ",R51," ",T51," ",V51," ",X51," ",Z51," ","X"," ",Table43[[#This Row],[ISI/CTN]]," ",AB51," ",AD51," ",AH51))))</f>
        <v>SHINZUI BODY CLEANSER REFILL KIREI 725ML X 12 PCH</v>
      </c>
      <c r="O51" s="11">
        <f t="shared" si="3"/>
        <v>49</v>
      </c>
      <c r="Q51" s="7" t="s">
        <v>662</v>
      </c>
      <c r="R51" s="4" t="s">
        <v>680</v>
      </c>
      <c r="S51" s="48" t="s">
        <v>755</v>
      </c>
      <c r="T51" s="49" t="s">
        <v>667</v>
      </c>
      <c r="U51" s="7">
        <v>1</v>
      </c>
      <c r="V51" s="49" t="s">
        <v>668</v>
      </c>
      <c r="W51" s="48" t="s">
        <v>750</v>
      </c>
      <c r="X51" s="4" t="s">
        <v>683</v>
      </c>
      <c r="Y51" s="50" t="s">
        <v>752</v>
      </c>
      <c r="Z51" s="4" t="s">
        <v>695</v>
      </c>
      <c r="AA51" s="50" t="s">
        <v>763</v>
      </c>
      <c r="AB51" s="4" t="s">
        <v>671</v>
      </c>
      <c r="AC51" s="7">
        <v>1</v>
      </c>
      <c r="AE51" s="7">
        <v>0</v>
      </c>
      <c r="AI51" s="7" t="s">
        <v>178</v>
      </c>
      <c r="AJ51" s="7">
        <v>2</v>
      </c>
      <c r="AL51" s="38">
        <v>39204.774774774771</v>
      </c>
      <c r="AM51" s="39">
        <f>Table43[[#This Row],[Harga Beli Pcs
(-PPN)]]*Table43[[#This Row],[ISI/CTN]]</f>
        <v>470457.29729729728</v>
      </c>
      <c r="AN51" s="39">
        <f>Table43[[#This Row],[Harga Beli Pcs
(-PPN)]]*1.11</f>
        <v>43517.3</v>
      </c>
      <c r="AO51" s="39">
        <f>Table43[[#This Row],[Harga Beli Krt
(- PPN)]]*1.11</f>
        <v>522207.60000000003</v>
      </c>
      <c r="AP51" s="39">
        <v>42342.342342342337</v>
      </c>
      <c r="AQ51" s="39">
        <f>Table43[[#This Row],[Harga Jual Pcs GT
(-PPN)]]*Table43[[#This Row],[ISI/CTN]]</f>
        <v>508108.10810810805</v>
      </c>
      <c r="AR51" s="39">
        <f>Table43[[#This Row],[Harga Jual Pcs GT
(-PPN)]]*1.11</f>
        <v>47000</v>
      </c>
      <c r="AS51" s="39">
        <f>Table43[[#This Row],[Harga Jual Krt GT
(- PPN)]]*1.11</f>
        <v>564000</v>
      </c>
      <c r="AT51" s="39"/>
      <c r="AU51" s="39">
        <f>Table43[[#This Row],[Harga Jual Pcs MT
(-PPN)]]*Table43[[#This Row],[ISI/CTN]]</f>
        <v>0</v>
      </c>
      <c r="AV51" s="39">
        <f>Table43[[#This Row],[Harga Jual Pcs MT
(-PPN)]]*1.11</f>
        <v>0</v>
      </c>
      <c r="AW51" s="39">
        <f>Table43[[#This Row],[Harga Jual Pcs MT
(+PPN)]]*Table43[[#This Row],[ISI/CTN]]</f>
        <v>0</v>
      </c>
      <c r="AX51" s="47">
        <f>IFERROR((Table43[[#This Row],[Harga Jual Pcs GT
(-PPN)]]-Table43[[#This Row],[Harga Beli Pcs
(-PPN)]])/Table43[[#This Row],[Harga Jual Pcs GT
(-PPN)]],0)</f>
        <v>7.4099999999999985E-2</v>
      </c>
      <c r="AY51" s="51">
        <v>45848</v>
      </c>
      <c r="AZ51" s="7"/>
      <c r="BA51" s="7" t="str">
        <f ca="1">IF(TODAY()-Table43[[#This Row],[Efektif
Pembuatan]]&gt;60,"Lama","Baru")</f>
        <v>Lama</v>
      </c>
      <c r="BB51" s="7" t="str">
        <f ca="1">IF(TODAY()-Table43[[#This Row],[Efektif Naik Harga]]&lt;30,"Naik","Sama")</f>
        <v>Sama</v>
      </c>
      <c r="BC51" s="7" t="s">
        <v>185</v>
      </c>
      <c r="BD51" s="7" t="str">
        <f>IF(Table43[[#This Row],[Kode BARANG Win2]]&lt;&gt;"","IDR","")</f>
        <v>IDR</v>
      </c>
      <c r="BE51" s="7" t="str">
        <f>CONCATENATE(Table43[[#This Row],[kode  1 Digit
(Nomor)]],Table43[[#This Row],[kode  4 Digit                (Nomor)]])</f>
        <v>20725</v>
      </c>
      <c r="BF51" s="7" t="str">
        <f>Table43[[#This Row],[Nama            Gramasi atau Jumlah Pack per CTN]]</f>
        <v>725ML</v>
      </c>
      <c r="BG51" s="7" t="s">
        <v>1060</v>
      </c>
      <c r="BH51" s="7" t="s">
        <v>377</v>
      </c>
      <c r="BI51" s="4" t="str">
        <f>IF(Table43[[#This Row],[SATUAN Fix Win]]&lt;&gt;"","KRT")</f>
        <v>KRT</v>
      </c>
      <c r="BJ51" s="4" t="str">
        <f>IF(Table43[[#This Row],[SATUAN Fix Win]]&lt;&gt;"","GD01")</f>
        <v>GD01</v>
      </c>
      <c r="BK51" s="4">
        <f>IF(Table43[[#This Row],[SATUAN Fix Win]]&lt;&gt;"",11611)</f>
        <v>11611</v>
      </c>
      <c r="BL51" s="4">
        <f>IF(Table43[[#This Row],[SATUAN Fix Win]]&lt;&gt;"",11612)</f>
        <v>11612</v>
      </c>
      <c r="BM51" s="52" t="s">
        <v>378</v>
      </c>
      <c r="BN51" s="4">
        <f>IF(Table43[[#This Row],[SATUAN Fix Win]]&lt;&gt;"",1)</f>
        <v>1</v>
      </c>
      <c r="BO51" s="4" t="s">
        <v>637</v>
      </c>
    </row>
    <row r="52" spans="1:70">
      <c r="A52" s="4" t="str">
        <f>CONCATENATE(Table43[[#This Row],[Kode BARANG Win2]],Table43[[#This Row],[No. Urut
Item Sama]])</f>
        <v>F40611030085101</v>
      </c>
      <c r="B52" s="7">
        <v>1</v>
      </c>
      <c r="C52" s="4">
        <v>44</v>
      </c>
      <c r="D52" s="27" t="s">
        <v>435</v>
      </c>
      <c r="E52" s="27" t="s">
        <v>631</v>
      </c>
      <c r="F52" s="27" t="s">
        <v>556</v>
      </c>
      <c r="G52" s="27">
        <v>48</v>
      </c>
      <c r="H52" s="54" t="s">
        <v>654</v>
      </c>
      <c r="I52" s="27" t="str">
        <f>Table43[[#This Row],[Nama Jenis Kemasan]]</f>
        <v xml:space="preserve">PCH </v>
      </c>
      <c r="J52" s="4" t="str">
        <f>TRIM(CONCATENATE(Table43[[#This Row],[Nama            KLP]]," ",Table43[[#This Row],[Nama            Sub KLP]]))</f>
        <v>SHINZUI BODY CLEANSER</v>
      </c>
      <c r="K52" s="4" t="str">
        <f>CONCATENATE(Table43[[#This Row],[kode  2 Digit                (hrf+No)]],Table43[[#This Row],[kode  2 Digit                (Nomor)]],Table43[[#This Row],[kode  1 Digit                (Nomor)]])</f>
        <v>F4061</v>
      </c>
      <c r="L52" s="4" t="str">
        <f>IF(AG52="",CONCATENATE(Q52,S52,U52,W52,Y52,AA52,AC52,AE52,Table43[[#This Row],[Tanda Kode Revisi]]),CONCATENATE(Q52,S52,U52,W52,Y52,AA52,AC52,AG52))</f>
        <v>F4061103008510</v>
      </c>
      <c r="M52" s="11">
        <f t="shared" si="2"/>
        <v>14</v>
      </c>
      <c r="N52" s="14" t="str">
        <f>IF(AF52&lt;&gt;"",TRIM(UPPER(CONCATENATE(P52," ",R52," ",T52," ",V52," ",X52," ",Z52," ","X"," ",Table43[[#This Row],[ISI/CTN]]," ",AF52," ",AB52," ",AD52," ",AH52))),TRIM(UPPER(CONCATENATE(P52," ",R52," ",T52," ",V52," ",X52," ",Z52," ","X"," ",Table43[[#This Row],[ISI/CTN]]," ",AB52," ",AD52," ",AH52))))</f>
        <v>SHINZUI BODY CLEANSER REFILL KIREI 85ML X 48 PCH</v>
      </c>
      <c r="O52" s="11">
        <f t="shared" si="3"/>
        <v>48</v>
      </c>
      <c r="Q52" s="7" t="s">
        <v>662</v>
      </c>
      <c r="R52" s="4" t="s">
        <v>680</v>
      </c>
      <c r="S52" s="48" t="s">
        <v>755</v>
      </c>
      <c r="T52" s="49" t="s">
        <v>667</v>
      </c>
      <c r="U52" s="7">
        <v>1</v>
      </c>
      <c r="V52" s="49" t="s">
        <v>668</v>
      </c>
      <c r="W52" s="48" t="s">
        <v>750</v>
      </c>
      <c r="X52" s="4" t="s">
        <v>683</v>
      </c>
      <c r="Y52" s="50" t="s">
        <v>752</v>
      </c>
      <c r="Z52" s="4" t="s">
        <v>720</v>
      </c>
      <c r="AA52" s="50" t="s">
        <v>767</v>
      </c>
      <c r="AB52" s="4" t="s">
        <v>734</v>
      </c>
      <c r="AC52" s="7">
        <v>1</v>
      </c>
      <c r="AE52" s="7">
        <v>0</v>
      </c>
      <c r="AI52" s="7" t="s">
        <v>178</v>
      </c>
      <c r="AJ52" s="7">
        <v>2</v>
      </c>
      <c r="AL52" s="38">
        <v>3336.5765765765759</v>
      </c>
      <c r="AM52" s="39">
        <f>Table43[[#This Row],[Harga Beli Pcs
(-PPN)]]*Table43[[#This Row],[ISI/CTN]]</f>
        <v>160155.67567567565</v>
      </c>
      <c r="AN52" s="39">
        <f>Table43[[#This Row],[Harga Beli Pcs
(-PPN)]]*1.11</f>
        <v>3703.5999999999995</v>
      </c>
      <c r="AO52" s="39">
        <f>Table43[[#This Row],[Harga Beli Krt
(- PPN)]]*1.11</f>
        <v>177772.79999999999</v>
      </c>
      <c r="AP52" s="39">
        <v>3603.6036036036035</v>
      </c>
      <c r="AQ52" s="39">
        <f>Table43[[#This Row],[Harga Jual Pcs GT
(-PPN)]]*Table43[[#This Row],[ISI/CTN]]</f>
        <v>172972.97297297296</v>
      </c>
      <c r="AR52" s="39">
        <f>Table43[[#This Row],[Harga Jual Pcs GT
(-PPN)]]*1.11</f>
        <v>4000</v>
      </c>
      <c r="AS52" s="39">
        <f>Table43[[#This Row],[Harga Jual Krt GT
(- PPN)]]*1.11</f>
        <v>192000</v>
      </c>
      <c r="AT52" s="39"/>
      <c r="AU52" s="39">
        <f>Table43[[#This Row],[Harga Jual Pcs MT
(-PPN)]]*Table43[[#This Row],[ISI/CTN]]</f>
        <v>0</v>
      </c>
      <c r="AV52" s="39">
        <f>Table43[[#This Row],[Harga Jual Pcs MT
(-PPN)]]*1.11</f>
        <v>0</v>
      </c>
      <c r="AW52" s="39">
        <f>Table43[[#This Row],[Harga Jual Pcs MT
(+PPN)]]*Table43[[#This Row],[ISI/CTN]]</f>
        <v>0</v>
      </c>
      <c r="AX52" s="47">
        <f>IFERROR((Table43[[#This Row],[Harga Jual Pcs GT
(-PPN)]]-Table43[[#This Row],[Harga Beli Pcs
(-PPN)]])/Table43[[#This Row],[Harga Jual Pcs GT
(-PPN)]],0)</f>
        <v>7.4100000000000152E-2</v>
      </c>
      <c r="AY52" s="51">
        <v>45848</v>
      </c>
      <c r="AZ52" s="7"/>
      <c r="BA52" s="7" t="str">
        <f ca="1">IF(TODAY()-Table43[[#This Row],[Efektif
Pembuatan]]&gt;60,"Lama","Baru")</f>
        <v>Lama</v>
      </c>
      <c r="BB52" s="7" t="str">
        <f ca="1">IF(TODAY()-Table43[[#This Row],[Efektif Naik Harga]]&lt;30,"Naik","Sama")</f>
        <v>Sama</v>
      </c>
      <c r="BC52" s="7" t="s">
        <v>185</v>
      </c>
      <c r="BD52" s="7" t="str">
        <f>IF(Table43[[#This Row],[Kode BARANG Win2]]&lt;&gt;"","IDR","")</f>
        <v>IDR</v>
      </c>
      <c r="BE52" s="7" t="str">
        <f>CONCATENATE(Table43[[#This Row],[kode  1 Digit
(Nomor)]],Table43[[#This Row],[kode  4 Digit                (Nomor)]])</f>
        <v>20085</v>
      </c>
      <c r="BF52" s="7" t="str">
        <f>Table43[[#This Row],[Nama            Gramasi atau Jumlah Pack per CTN]]</f>
        <v>85ML</v>
      </c>
      <c r="BG52" s="7" t="s">
        <v>1060</v>
      </c>
      <c r="BH52" s="7" t="s">
        <v>377</v>
      </c>
      <c r="BI52" s="4" t="str">
        <f>IF(Table43[[#This Row],[SATUAN Fix Win]]&lt;&gt;"","KRT")</f>
        <v>KRT</v>
      </c>
      <c r="BJ52" s="4" t="str">
        <f>IF(Table43[[#This Row],[SATUAN Fix Win]]&lt;&gt;"","GD01")</f>
        <v>GD01</v>
      </c>
      <c r="BK52" s="4">
        <f>IF(Table43[[#This Row],[SATUAN Fix Win]]&lt;&gt;"",11611)</f>
        <v>11611</v>
      </c>
      <c r="BL52" s="4">
        <f>IF(Table43[[#This Row],[SATUAN Fix Win]]&lt;&gt;"",11612)</f>
        <v>11612</v>
      </c>
      <c r="BM52" s="52" t="s">
        <v>378</v>
      </c>
      <c r="BN52" s="4">
        <f>IF(Table43[[#This Row],[SATUAN Fix Win]]&lt;&gt;"",1)</f>
        <v>1</v>
      </c>
      <c r="BO52" s="4" t="s">
        <v>637</v>
      </c>
    </row>
    <row r="53" spans="1:70">
      <c r="A53" s="4" t="str">
        <f>CONCATENATE(Table43[[#This Row],[Kode BARANG Win2]],Table43[[#This Row],[No. Urut
Item Sama]])</f>
        <v>F40611040380101</v>
      </c>
      <c r="B53" s="7">
        <v>1</v>
      </c>
      <c r="C53" s="4">
        <v>45</v>
      </c>
      <c r="D53" s="27" t="s">
        <v>427</v>
      </c>
      <c r="E53" s="27" t="s">
        <v>628</v>
      </c>
      <c r="F53" s="27" t="s">
        <v>548</v>
      </c>
      <c r="G53" s="27">
        <v>24</v>
      </c>
      <c r="H53" s="54">
        <v>8992946523519</v>
      </c>
      <c r="I53" s="27" t="str">
        <f>Table43[[#This Row],[Nama Jenis Kemasan]]</f>
        <v>PCH</v>
      </c>
      <c r="J53" s="4" t="str">
        <f>TRIM(CONCATENATE(Table43[[#This Row],[Nama            KLP]]," ",Table43[[#This Row],[Nama            Sub KLP]]))</f>
        <v>SHINZUI BODY CLEANSER</v>
      </c>
      <c r="K53" s="4" t="str">
        <f>CONCATENATE(Table43[[#This Row],[kode  2 Digit                (hrf+No)]],Table43[[#This Row],[kode  2 Digit                (Nomor)]],Table43[[#This Row],[kode  1 Digit                (Nomor)]])</f>
        <v>F4061</v>
      </c>
      <c r="L53" s="4" t="str">
        <f>IF(AG53="",CONCATENATE(Q53,S53,U53,W53,Y53,AA53,AC53,AE53,Table43[[#This Row],[Tanda Kode Revisi]]),CONCATENATE(Q53,S53,U53,W53,Y53,AA53,AC53,AG53))</f>
        <v>F4061104038010</v>
      </c>
      <c r="M53" s="11">
        <f t="shared" si="2"/>
        <v>14</v>
      </c>
      <c r="N53" s="14" t="str">
        <f>IF(AF53&lt;&gt;"",TRIM(UPPER(CONCATENATE(P53," ",R53," ",T53," ",V53," ",X53," ",Z53," ","X"," ",Table43[[#This Row],[ISI/CTN]]," ",AF53," ",AB53," ",AD53," ",AH53))),TRIM(UPPER(CONCATENATE(P53," ",R53," ",T53," ",V53," ",X53," ",Z53," ","X"," ",Table43[[#This Row],[ISI/CTN]]," ",AB53," ",AD53," ",AH53))))</f>
        <v>SHINZUI BODY CLEANSER REFILL MATSU 380ML X 24 PCH</v>
      </c>
      <c r="O53" s="11">
        <f t="shared" si="3"/>
        <v>49</v>
      </c>
      <c r="Q53" s="7" t="s">
        <v>662</v>
      </c>
      <c r="R53" s="4" t="s">
        <v>680</v>
      </c>
      <c r="S53" s="48" t="s">
        <v>755</v>
      </c>
      <c r="T53" s="49" t="s">
        <v>667</v>
      </c>
      <c r="U53" s="7">
        <v>1</v>
      </c>
      <c r="V53" s="49" t="s">
        <v>668</v>
      </c>
      <c r="W53" s="48" t="s">
        <v>750</v>
      </c>
      <c r="X53" s="4" t="s">
        <v>681</v>
      </c>
      <c r="Y53" s="50" t="s">
        <v>753</v>
      </c>
      <c r="Z53" s="4" t="s">
        <v>696</v>
      </c>
      <c r="AA53" s="50" t="s">
        <v>761</v>
      </c>
      <c r="AB53" s="4" t="s">
        <v>671</v>
      </c>
      <c r="AC53" s="7">
        <v>1</v>
      </c>
      <c r="AE53" s="7">
        <v>0</v>
      </c>
      <c r="AI53" s="7" t="s">
        <v>178</v>
      </c>
      <c r="AJ53" s="7">
        <v>2</v>
      </c>
      <c r="AL53" s="38">
        <v>21687.747747747744</v>
      </c>
      <c r="AM53" s="39">
        <f>Table43[[#This Row],[Harga Beli Pcs
(-PPN)]]*Table43[[#This Row],[ISI/CTN]]</f>
        <v>520505.94594594586</v>
      </c>
      <c r="AN53" s="39">
        <f>Table43[[#This Row],[Harga Beli Pcs
(-PPN)]]*1.11</f>
        <v>24073.399999999998</v>
      </c>
      <c r="AO53" s="39">
        <f>Table43[[#This Row],[Harga Beli Krt
(- PPN)]]*1.11</f>
        <v>577761.6</v>
      </c>
      <c r="AP53" s="39">
        <v>23423.423423423421</v>
      </c>
      <c r="AQ53" s="39">
        <f>Table43[[#This Row],[Harga Jual Pcs GT
(-PPN)]]*Table43[[#This Row],[ISI/CTN]]</f>
        <v>562162.16216216213</v>
      </c>
      <c r="AR53" s="39">
        <f>Table43[[#This Row],[Harga Jual Pcs GT
(-PPN)]]*1.11</f>
        <v>26000</v>
      </c>
      <c r="AS53" s="39">
        <f>Table43[[#This Row],[Harga Jual Krt GT
(- PPN)]]*1.11</f>
        <v>624000</v>
      </c>
      <c r="AT53" s="39"/>
      <c r="AU53" s="39">
        <f>Table43[[#This Row],[Harga Jual Pcs MT
(-PPN)]]*Table43[[#This Row],[ISI/CTN]]</f>
        <v>0</v>
      </c>
      <c r="AV53" s="39">
        <f>Table43[[#This Row],[Harga Jual Pcs MT
(-PPN)]]*1.11</f>
        <v>0</v>
      </c>
      <c r="AW53" s="39">
        <f>Table43[[#This Row],[Harga Jual Pcs MT
(+PPN)]]*Table43[[#This Row],[ISI/CTN]]</f>
        <v>0</v>
      </c>
      <c r="AX53" s="47">
        <f>IFERROR((Table43[[#This Row],[Harga Jual Pcs GT
(-PPN)]]-Table43[[#This Row],[Harga Beli Pcs
(-PPN)]])/Table43[[#This Row],[Harga Jual Pcs GT
(-PPN)]],0)</f>
        <v>7.4100000000000055E-2</v>
      </c>
      <c r="AY53" s="51">
        <v>45848</v>
      </c>
      <c r="AZ53" s="7"/>
      <c r="BA53" s="7" t="str">
        <f ca="1">IF(TODAY()-Table43[[#This Row],[Efektif
Pembuatan]]&gt;60,"Lama","Baru")</f>
        <v>Lama</v>
      </c>
      <c r="BB53" s="7" t="str">
        <f ca="1">IF(TODAY()-Table43[[#This Row],[Efektif Naik Harga]]&lt;30,"Naik","Sama")</f>
        <v>Sama</v>
      </c>
      <c r="BC53" s="7" t="s">
        <v>185</v>
      </c>
      <c r="BD53" s="7" t="str">
        <f>IF(Table43[[#This Row],[Kode BARANG Win2]]&lt;&gt;"","IDR","")</f>
        <v>IDR</v>
      </c>
      <c r="BE53" s="7" t="str">
        <f>CONCATENATE(Table43[[#This Row],[kode  1 Digit
(Nomor)]],Table43[[#This Row],[kode  4 Digit                (Nomor)]])</f>
        <v>20380</v>
      </c>
      <c r="BF53" s="7" t="str">
        <f>Table43[[#This Row],[Nama            Gramasi atau Jumlah Pack per CTN]]</f>
        <v>380ML</v>
      </c>
      <c r="BG53" s="7" t="s">
        <v>1060</v>
      </c>
      <c r="BH53" s="7" t="s">
        <v>377</v>
      </c>
      <c r="BI53" s="4" t="str">
        <f>IF(Table43[[#This Row],[SATUAN Fix Win]]&lt;&gt;"","KRT")</f>
        <v>KRT</v>
      </c>
      <c r="BJ53" s="4" t="str">
        <f>IF(Table43[[#This Row],[SATUAN Fix Win]]&lt;&gt;"","GD01")</f>
        <v>GD01</v>
      </c>
      <c r="BK53" s="4">
        <f>IF(Table43[[#This Row],[SATUAN Fix Win]]&lt;&gt;"",11611)</f>
        <v>11611</v>
      </c>
      <c r="BL53" s="4">
        <f>IF(Table43[[#This Row],[SATUAN Fix Win]]&lt;&gt;"",11612)</f>
        <v>11612</v>
      </c>
      <c r="BM53" s="52" t="s">
        <v>378</v>
      </c>
      <c r="BN53" s="4">
        <f>IF(Table43[[#This Row],[SATUAN Fix Win]]&lt;&gt;"",1)</f>
        <v>1</v>
      </c>
      <c r="BO53" s="4" t="s">
        <v>637</v>
      </c>
    </row>
    <row r="54" spans="1:70">
      <c r="A54" s="4" t="str">
        <f>CONCATENATE(Table43[[#This Row],[Kode BARANG Win2]],Table43[[#This Row],[No. Urut
Item Sama]])</f>
        <v>F40611040725101</v>
      </c>
      <c r="B54" s="7">
        <v>1</v>
      </c>
      <c r="C54" s="4">
        <v>46</v>
      </c>
      <c r="D54" s="27" t="s">
        <v>426</v>
      </c>
      <c r="E54" s="27" t="s">
        <v>628</v>
      </c>
      <c r="F54" s="27" t="s">
        <v>547</v>
      </c>
      <c r="G54" s="27">
        <v>12</v>
      </c>
      <c r="H54" s="54">
        <v>8992946531705</v>
      </c>
      <c r="I54" s="27" t="str">
        <f>Table43[[#This Row],[Nama Jenis Kemasan]]</f>
        <v>PCH</v>
      </c>
      <c r="J54" s="4" t="str">
        <f>TRIM(CONCATENATE(Table43[[#This Row],[Nama            KLP]]," ",Table43[[#This Row],[Nama            Sub KLP]]))</f>
        <v>SHINZUI BODY CLEANSER</v>
      </c>
      <c r="K54" s="4" t="str">
        <f>CONCATENATE(Table43[[#This Row],[kode  2 Digit                (hrf+No)]],Table43[[#This Row],[kode  2 Digit                (Nomor)]],Table43[[#This Row],[kode  1 Digit                (Nomor)]])</f>
        <v>F4061</v>
      </c>
      <c r="L54" s="4" t="str">
        <f>IF(AG54="",CONCATENATE(Q54,S54,U54,W54,Y54,AA54,AC54,AE54,Table43[[#This Row],[Tanda Kode Revisi]]),CONCATENATE(Q54,S54,U54,W54,Y54,AA54,AC54,AG54))</f>
        <v>F4061104072510</v>
      </c>
      <c r="M54" s="11">
        <f t="shared" si="2"/>
        <v>14</v>
      </c>
      <c r="N54" s="14" t="str">
        <f>IF(AF54&lt;&gt;"",TRIM(UPPER(CONCATENATE(P54," ",R54," ",T54," ",V54," ",X54," ",Z54," ","X"," ",Table43[[#This Row],[ISI/CTN]]," ",AF54," ",AB54," ",AD54," ",AH54))),TRIM(UPPER(CONCATENATE(P54," ",R54," ",T54," ",V54," ",X54," ",Z54," ","X"," ",Table43[[#This Row],[ISI/CTN]]," ",AB54," ",AD54," ",AH54))))</f>
        <v>SHINZUI BODY CLEANSER REFILL MATSU 725ML X 12 PCH</v>
      </c>
      <c r="O54" s="11">
        <f t="shared" si="3"/>
        <v>49</v>
      </c>
      <c r="Q54" s="7" t="s">
        <v>662</v>
      </c>
      <c r="R54" s="4" t="s">
        <v>680</v>
      </c>
      <c r="S54" s="48" t="s">
        <v>755</v>
      </c>
      <c r="T54" s="49" t="s">
        <v>667</v>
      </c>
      <c r="U54" s="7">
        <v>1</v>
      </c>
      <c r="V54" s="49" t="s">
        <v>668</v>
      </c>
      <c r="W54" s="48" t="s">
        <v>750</v>
      </c>
      <c r="X54" s="4" t="s">
        <v>681</v>
      </c>
      <c r="Y54" s="50" t="s">
        <v>753</v>
      </c>
      <c r="Z54" s="4" t="s">
        <v>695</v>
      </c>
      <c r="AA54" s="50" t="s">
        <v>763</v>
      </c>
      <c r="AB54" s="4" t="s">
        <v>671</v>
      </c>
      <c r="AC54" s="7">
        <v>1</v>
      </c>
      <c r="AE54" s="7">
        <v>0</v>
      </c>
      <c r="AI54" s="7" t="s">
        <v>178</v>
      </c>
      <c r="AJ54" s="7">
        <v>2</v>
      </c>
      <c r="AL54" s="38">
        <v>39204.774774774771</v>
      </c>
      <c r="AM54" s="39">
        <f>Table43[[#This Row],[Harga Beli Pcs
(-PPN)]]*Table43[[#This Row],[ISI/CTN]]</f>
        <v>470457.29729729728</v>
      </c>
      <c r="AN54" s="39">
        <f>Table43[[#This Row],[Harga Beli Pcs
(-PPN)]]*1.11</f>
        <v>43517.3</v>
      </c>
      <c r="AO54" s="39">
        <f>Table43[[#This Row],[Harga Beli Krt
(- PPN)]]*1.11</f>
        <v>522207.60000000003</v>
      </c>
      <c r="AP54" s="39">
        <v>42342.342342342337</v>
      </c>
      <c r="AQ54" s="39">
        <f>Table43[[#This Row],[Harga Jual Pcs GT
(-PPN)]]*Table43[[#This Row],[ISI/CTN]]</f>
        <v>508108.10810810805</v>
      </c>
      <c r="AR54" s="39">
        <f>Table43[[#This Row],[Harga Jual Pcs GT
(-PPN)]]*1.11</f>
        <v>47000</v>
      </c>
      <c r="AS54" s="39">
        <f>Table43[[#This Row],[Harga Jual Krt GT
(- PPN)]]*1.11</f>
        <v>564000</v>
      </c>
      <c r="AT54" s="39"/>
      <c r="AU54" s="39">
        <f>Table43[[#This Row],[Harga Jual Pcs MT
(-PPN)]]*Table43[[#This Row],[ISI/CTN]]</f>
        <v>0</v>
      </c>
      <c r="AV54" s="39">
        <f>Table43[[#This Row],[Harga Jual Pcs MT
(-PPN)]]*1.11</f>
        <v>0</v>
      </c>
      <c r="AW54" s="39">
        <f>Table43[[#This Row],[Harga Jual Pcs MT
(+PPN)]]*Table43[[#This Row],[ISI/CTN]]</f>
        <v>0</v>
      </c>
      <c r="AX54" s="47">
        <f>IFERROR((Table43[[#This Row],[Harga Jual Pcs GT
(-PPN)]]-Table43[[#This Row],[Harga Beli Pcs
(-PPN)]])/Table43[[#This Row],[Harga Jual Pcs GT
(-PPN)]],0)</f>
        <v>7.4099999999999985E-2</v>
      </c>
      <c r="AY54" s="51">
        <v>45848</v>
      </c>
      <c r="AZ54" s="7"/>
      <c r="BA54" s="7" t="str">
        <f ca="1">IF(TODAY()-Table43[[#This Row],[Efektif
Pembuatan]]&gt;60,"Lama","Baru")</f>
        <v>Lama</v>
      </c>
      <c r="BB54" s="7" t="str">
        <f ca="1">IF(TODAY()-Table43[[#This Row],[Efektif Naik Harga]]&lt;30,"Naik","Sama")</f>
        <v>Sama</v>
      </c>
      <c r="BC54" s="7" t="s">
        <v>185</v>
      </c>
      <c r="BD54" s="7" t="str">
        <f>IF(Table43[[#This Row],[Kode BARANG Win2]]&lt;&gt;"","IDR","")</f>
        <v>IDR</v>
      </c>
      <c r="BE54" s="7" t="str">
        <f>CONCATENATE(Table43[[#This Row],[kode  1 Digit
(Nomor)]],Table43[[#This Row],[kode  4 Digit                (Nomor)]])</f>
        <v>20725</v>
      </c>
      <c r="BF54" s="7" t="str">
        <f>Table43[[#This Row],[Nama            Gramasi atau Jumlah Pack per CTN]]</f>
        <v>725ML</v>
      </c>
      <c r="BG54" s="7" t="s">
        <v>1060</v>
      </c>
      <c r="BH54" s="7" t="s">
        <v>377</v>
      </c>
      <c r="BI54" s="4" t="s">
        <v>140</v>
      </c>
      <c r="BJ54" s="4" t="s">
        <v>141</v>
      </c>
      <c r="BK54" s="4">
        <v>11611</v>
      </c>
      <c r="BL54" s="4">
        <v>11612</v>
      </c>
      <c r="BM54" s="52" t="s">
        <v>378</v>
      </c>
      <c r="BN54" s="4">
        <v>1</v>
      </c>
      <c r="BO54" s="4" t="s">
        <v>637</v>
      </c>
    </row>
    <row r="55" spans="1:70" s="69" customFormat="1">
      <c r="A55" s="55" t="str">
        <f>CONCATENATE(Table43[[#This Row],[Kode BARANG Win2]],Table43[[#This Row],[No. Urut
Item Sama]])</f>
        <v>F40611040400111</v>
      </c>
      <c r="B55" s="56">
        <v>1</v>
      </c>
      <c r="C55" s="4">
        <v>47</v>
      </c>
      <c r="D55" s="57" t="s">
        <v>1083</v>
      </c>
      <c r="E55" s="57" t="s">
        <v>628</v>
      </c>
      <c r="F55" s="57" t="s">
        <v>1077</v>
      </c>
      <c r="G55" s="57">
        <v>12</v>
      </c>
      <c r="H55" s="58">
        <v>8992946523516</v>
      </c>
      <c r="I55" s="57" t="str">
        <f>Table43[[#This Row],[Nama Jenis Kemasan]]</f>
        <v>PCH</v>
      </c>
      <c r="J55" s="55" t="str">
        <f>TRIM(CONCATENATE(Table43[[#This Row],[Nama            KLP]]," ",Table43[[#This Row],[Nama            Sub KLP]]))</f>
        <v>SHINZUI BODY CLEANSER</v>
      </c>
      <c r="K55" s="55" t="str">
        <f>CONCATENATE(Table43[[#This Row],[kode  2 Digit                (hrf+No)]],Table43[[#This Row],[kode  2 Digit                (Nomor)]],Table43[[#This Row],[kode  1 Digit                (Nomor)]])</f>
        <v>F4061</v>
      </c>
      <c r="L55" s="55" t="str">
        <f>IF(AG55="",CONCATENATE(Q55,S55,U55,W55,Y55,AA55,AC55,AE55,Table43[[#This Row],[Tanda Kode Revisi]]),CONCATENATE(Q55,S55,U55,W55,Y55,AA55,AC55,AG55))</f>
        <v>F4061104040011</v>
      </c>
      <c r="M55" s="59">
        <f>LEN(L55)</f>
        <v>14</v>
      </c>
      <c r="N55" s="60" t="str">
        <f>IF(AF55&lt;&gt;"",TRIM(UPPER(CONCATENATE(P55," ",R55," ",T55," ",V55," ",X55," ",Z55," ","X"," ",Table43[[#This Row],[ISI/CTN]]," ",AF55," ",AB55," ",AD55," ",AH55))),TRIM(UPPER(CONCATENATE(P55," ",R55," ",T55," ",V55," ",X55," ",Z55," ","X"," ",Table43[[#This Row],[ISI/CTN]]," ",AB55," ",AD55," ",AH55))))</f>
        <v>SHINZUI BODY CLEANSER REF MATSU 400ML X 12 PCH BND</v>
      </c>
      <c r="O55" s="59">
        <f>LEN(N55)</f>
        <v>50</v>
      </c>
      <c r="P55" s="55"/>
      <c r="Q55" s="56" t="s">
        <v>662</v>
      </c>
      <c r="R55" s="55" t="s">
        <v>680</v>
      </c>
      <c r="S55" s="61" t="s">
        <v>755</v>
      </c>
      <c r="T55" s="62" t="s">
        <v>667</v>
      </c>
      <c r="U55" s="56">
        <v>1</v>
      </c>
      <c r="V55" s="62" t="s">
        <v>776</v>
      </c>
      <c r="W55" s="61" t="s">
        <v>750</v>
      </c>
      <c r="X55" s="55" t="s">
        <v>681</v>
      </c>
      <c r="Y55" s="63" t="s">
        <v>753</v>
      </c>
      <c r="Z55" s="55" t="s">
        <v>670</v>
      </c>
      <c r="AA55" s="63" t="s">
        <v>739</v>
      </c>
      <c r="AB55" s="55" t="s">
        <v>671</v>
      </c>
      <c r="AC55" s="56">
        <v>1</v>
      </c>
      <c r="AD55" s="55" t="s">
        <v>1074</v>
      </c>
      <c r="AE55" s="56">
        <v>1</v>
      </c>
      <c r="AF55" s="56"/>
      <c r="AG55" s="56"/>
      <c r="AH55" s="56"/>
      <c r="AI55" s="56" t="s">
        <v>178</v>
      </c>
      <c r="AJ55" s="56">
        <v>2</v>
      </c>
      <c r="AK55" s="56"/>
      <c r="AL55" s="64">
        <v>43375.495495495488</v>
      </c>
      <c r="AM55" s="65">
        <f>Table43[[#This Row],[Harga Beli Pcs
(-PPN)]]*Table43[[#This Row],[ISI/CTN]]</f>
        <v>520505.94594594586</v>
      </c>
      <c r="AN55" s="65">
        <f>Table43[[#This Row],[Harga Beli Pcs
(-PPN)]]*1.11</f>
        <v>48146.799999999996</v>
      </c>
      <c r="AO55" s="65">
        <f>Table43[[#This Row],[Harga Beli Krt
(- PPN)]]*1.11</f>
        <v>577761.6</v>
      </c>
      <c r="AP55" s="65">
        <v>46846.846846846842</v>
      </c>
      <c r="AQ55" s="65">
        <f>Table43[[#This Row],[Harga Jual Pcs GT
(-PPN)]]*Table43[[#This Row],[ISI/CTN]]</f>
        <v>562162.16216216213</v>
      </c>
      <c r="AR55" s="65">
        <f>Table43[[#This Row],[Harga Jual Pcs GT
(-PPN)]]*1.11</f>
        <v>52000</v>
      </c>
      <c r="AS55" s="65">
        <f>Table43[[#This Row],[Harga Jual Krt GT
(- PPN)]]*1.11</f>
        <v>624000</v>
      </c>
      <c r="AT55" s="65"/>
      <c r="AU55" s="65">
        <f>Table43[[#This Row],[Harga Jual Pcs MT
(-PPN)]]*Table43[[#This Row],[ISI/CTN]]</f>
        <v>0</v>
      </c>
      <c r="AV55" s="65">
        <f>Table43[[#This Row],[Harga Jual Pcs MT
(-PPN)]]*1.11</f>
        <v>0</v>
      </c>
      <c r="AW55" s="65">
        <f>Table43[[#This Row],[Harga Jual Pcs MT
(+PPN)]]*Table43[[#This Row],[ISI/CTN]]</f>
        <v>0</v>
      </c>
      <c r="AX55" s="66">
        <f>IFERROR((Table43[[#This Row],[Harga Jual Pcs GT
(-PPN)]]-Table43[[#This Row],[Harga Beli Pcs
(-PPN)]])/Table43[[#This Row],[Harga Jual Pcs GT
(-PPN)]],0)</f>
        <v>7.4100000000000055E-2</v>
      </c>
      <c r="AY55" s="67">
        <v>45864</v>
      </c>
      <c r="AZ55" s="56"/>
      <c r="BA55" s="56" t="str">
        <f ca="1">IF(TODAY()-Table43[[#This Row],[Efektif
Pembuatan]]&gt;60,"Lama","Baru")</f>
        <v>Lama</v>
      </c>
      <c r="BB55" s="56" t="str">
        <f ca="1">IF(TODAY()-Table43[[#This Row],[Efektif Naik Harga]]&lt;30,"Naik","Sama")</f>
        <v>Sama</v>
      </c>
      <c r="BC55" s="56" t="s">
        <v>185</v>
      </c>
      <c r="BD55" s="56" t="str">
        <f>IF(Table43[[#This Row],[Kode BARANG Win2]]&lt;&gt;"","IDR","")</f>
        <v>IDR</v>
      </c>
      <c r="BE55" s="56" t="str">
        <f>CONCATENATE(Table43[[#This Row],[kode  1 Digit
(Nomor)]],Table43[[#This Row],[kode  4 Digit                (Nomor)]])</f>
        <v>20400</v>
      </c>
      <c r="BF55" s="56" t="str">
        <f>Table43[[#This Row],[Nama            Gramasi atau Jumlah Pack per CTN]]</f>
        <v>400ML</v>
      </c>
      <c r="BG55" s="56" t="s">
        <v>1060</v>
      </c>
      <c r="BH55" s="56" t="s">
        <v>377</v>
      </c>
      <c r="BI55" s="55" t="s">
        <v>140</v>
      </c>
      <c r="BJ55" s="55" t="s">
        <v>141</v>
      </c>
      <c r="BK55" s="55">
        <v>11611</v>
      </c>
      <c r="BL55" s="55">
        <v>11612</v>
      </c>
      <c r="BM55" s="68" t="s">
        <v>378</v>
      </c>
      <c r="BN55" s="55">
        <v>1</v>
      </c>
      <c r="BO55" s="4" t="s">
        <v>637</v>
      </c>
      <c r="BP55" s="55"/>
      <c r="BQ55" s="55"/>
      <c r="BR55" s="55"/>
    </row>
    <row r="56" spans="1:70" s="69" customFormat="1">
      <c r="A56" s="4" t="str">
        <f>CONCATENATE(Table43[[#This Row],[Kode BARANG Win2]],Table43[[#This Row],[No. Urut
Item Sama]])</f>
        <v>F4061104040011</v>
      </c>
      <c r="B56" s="7"/>
      <c r="C56" s="4">
        <v>48</v>
      </c>
      <c r="D56" s="27" t="s">
        <v>1092</v>
      </c>
      <c r="E56" s="27" t="s">
        <v>628</v>
      </c>
      <c r="F56" s="27" t="s">
        <v>1093</v>
      </c>
      <c r="G56" s="27">
        <v>12</v>
      </c>
      <c r="H56" s="54">
        <v>8992946523516</v>
      </c>
      <c r="I56" s="27" t="str">
        <f>Table43[[#This Row],[Nama Jenis Kemasan]]</f>
        <v>PCH</v>
      </c>
      <c r="J56" s="4" t="str">
        <f>TRIM(CONCATENATE(Table43[[#This Row],[Nama            KLP]]," ",Table43[[#This Row],[Nama            Sub KLP]]))</f>
        <v>SHINZUI BODY CLEANSER</v>
      </c>
      <c r="K56" s="4" t="str">
        <f>CONCATENATE(Table43[[#This Row],[kode  2 Digit                (hrf+No)]],Table43[[#This Row],[kode  2 Digit                (Nomor)]],Table43[[#This Row],[kode  1 Digit                (Nomor)]])</f>
        <v>F4061</v>
      </c>
      <c r="L56" s="4" t="str">
        <f>IF(AG56="",CONCATENATE(Q56,S56,U56,W56,Y56,AA56,AC56,AE56,Table43[[#This Row],[Tanda Kode Revisi]]),CONCATENATE(Q56,S56,U56,W56,Y56,AA56,AC56,AG56))</f>
        <v>F4061104040011</v>
      </c>
      <c r="M56" s="11">
        <f>LEN(L56)</f>
        <v>14</v>
      </c>
      <c r="N56" s="14" t="str">
        <f>IF(AF56&lt;&gt;"",TRIM(UPPER(CONCATENATE(P56," ",R56," ",T56," ",V56," ",X56," ",Z56," ","X"," ",Table43[[#This Row],[ISI/CTN]]," ",AF56," ",AB56," ",AD56," ",AH56))),TRIM(UPPER(CONCATENATE(P56," ",R56," ",T56," ",V56," ",X56," ",Z56," ","X"," ",Table43[[#This Row],[ISI/CTN]]," ",AB56," ",AD56," ",AH56))))</f>
        <v>SHINZUI BODY CLEANSER REF MATSU 400ML X 12 PCH BND</v>
      </c>
      <c r="O56" s="11">
        <f>LEN(N56)</f>
        <v>50</v>
      </c>
      <c r="P56" s="4"/>
      <c r="Q56" s="7" t="s">
        <v>662</v>
      </c>
      <c r="R56" s="4" t="s">
        <v>680</v>
      </c>
      <c r="S56" s="48" t="s">
        <v>755</v>
      </c>
      <c r="T56" s="49" t="s">
        <v>667</v>
      </c>
      <c r="U56" s="7">
        <v>1</v>
      </c>
      <c r="V56" s="49" t="s">
        <v>776</v>
      </c>
      <c r="W56" s="48" t="s">
        <v>750</v>
      </c>
      <c r="X56" s="4" t="s">
        <v>681</v>
      </c>
      <c r="Y56" s="50" t="s">
        <v>753</v>
      </c>
      <c r="Z56" s="4" t="s">
        <v>670</v>
      </c>
      <c r="AA56" s="50" t="s">
        <v>739</v>
      </c>
      <c r="AB56" s="4" t="s">
        <v>671</v>
      </c>
      <c r="AC56" s="7">
        <v>1</v>
      </c>
      <c r="AD56" s="4" t="s">
        <v>1074</v>
      </c>
      <c r="AE56" s="7">
        <v>1</v>
      </c>
      <c r="AF56" s="7"/>
      <c r="AG56" s="7"/>
      <c r="AH56" s="7"/>
      <c r="AI56" s="7" t="s">
        <v>178</v>
      </c>
      <c r="AJ56" s="7">
        <v>2</v>
      </c>
      <c r="AK56" s="7"/>
      <c r="AL56" s="38">
        <v>43375.495495495488</v>
      </c>
      <c r="AM56" s="39">
        <f>Table43[[#This Row],[Harga Beli Pcs
(-PPN)]]*Table43[[#This Row],[ISI/CTN]]</f>
        <v>520505.94594594586</v>
      </c>
      <c r="AN56" s="39">
        <f>Table43[[#This Row],[Harga Beli Pcs
(-PPN)]]*1.11</f>
        <v>48146.799999999996</v>
      </c>
      <c r="AO56" s="39">
        <f>Table43[[#This Row],[Harga Beli Krt
(- PPN)]]*1.11</f>
        <v>577761.6</v>
      </c>
      <c r="AP56" s="39">
        <v>46846.846846846842</v>
      </c>
      <c r="AQ56" s="39">
        <f>Table43[[#This Row],[Harga Jual Pcs GT
(-PPN)]]*Table43[[#This Row],[ISI/CTN]]</f>
        <v>562162.16216216213</v>
      </c>
      <c r="AR56" s="39">
        <f>Table43[[#This Row],[Harga Jual Pcs GT
(-PPN)]]*1.11</f>
        <v>52000</v>
      </c>
      <c r="AS56" s="39">
        <f>Table43[[#This Row],[Harga Jual Krt GT
(- PPN)]]*1.11</f>
        <v>624000</v>
      </c>
      <c r="AT56" s="39"/>
      <c r="AU56" s="39">
        <f>Table43[[#This Row],[Harga Jual Pcs MT
(-PPN)]]*Table43[[#This Row],[ISI/CTN]]</f>
        <v>0</v>
      </c>
      <c r="AV56" s="39">
        <f>Table43[[#This Row],[Harga Jual Pcs MT
(-PPN)]]*1.11</f>
        <v>0</v>
      </c>
      <c r="AW56" s="39">
        <f>Table43[[#This Row],[Harga Jual Pcs MT
(+PPN)]]*Table43[[#This Row],[ISI/CTN]]</f>
        <v>0</v>
      </c>
      <c r="AX56" s="47">
        <f>IFERROR((Table43[[#This Row],[Harga Jual Pcs GT
(-PPN)]]-Table43[[#This Row],[Harga Beli Pcs
(-PPN)]])/Table43[[#This Row],[Harga Jual Pcs GT
(-PPN)]],0)</f>
        <v>7.4100000000000055E-2</v>
      </c>
      <c r="AY56" s="51">
        <v>45884</v>
      </c>
      <c r="AZ56" s="7"/>
      <c r="BA56" s="7" t="str">
        <f ca="1">IF(TODAY()-Table43[[#This Row],[Efektif
Pembuatan]]&gt;60,"Lama","Baru")</f>
        <v>Lama</v>
      </c>
      <c r="BB56" s="7" t="str">
        <f ca="1">IF(TODAY()-Table43[[#This Row],[Efektif Naik Harga]]&lt;30,"Naik","Sama")</f>
        <v>Sama</v>
      </c>
      <c r="BC56" s="7" t="s">
        <v>185</v>
      </c>
      <c r="BD56" s="7" t="str">
        <f>IF(Table43[[#This Row],[Kode BARANG Win2]]&lt;&gt;"","IDR","")</f>
        <v>IDR</v>
      </c>
      <c r="BE56" s="7" t="str">
        <f>CONCATENATE(Table43[[#This Row],[kode  1 Digit
(Nomor)]],Table43[[#This Row],[kode  4 Digit                (Nomor)]])</f>
        <v>20400</v>
      </c>
      <c r="BF56" s="7" t="str">
        <f>Table43[[#This Row],[Nama            Gramasi atau Jumlah Pack per CTN]]</f>
        <v>400ML</v>
      </c>
      <c r="BG56" s="7" t="s">
        <v>1060</v>
      </c>
      <c r="BH56" s="7" t="s">
        <v>377</v>
      </c>
      <c r="BI56" s="4" t="s">
        <v>140</v>
      </c>
      <c r="BJ56" s="4" t="s">
        <v>141</v>
      </c>
      <c r="BK56" s="4">
        <v>11611</v>
      </c>
      <c r="BL56" s="4">
        <v>11612</v>
      </c>
      <c r="BM56" s="52" t="s">
        <v>378</v>
      </c>
      <c r="BN56" s="4">
        <v>1</v>
      </c>
      <c r="BO56" s="4" t="s">
        <v>637</v>
      </c>
      <c r="BP56" s="55"/>
      <c r="BQ56" s="55"/>
      <c r="BR56" s="55"/>
    </row>
    <row r="57" spans="1:70">
      <c r="A57" s="4" t="str">
        <f>CONCATENATE(Table43[[#This Row],[Kode BARANG Win2]],Table43[[#This Row],[No. Urut
Item Sama]])</f>
        <v>F40611090085101</v>
      </c>
      <c r="B57" s="7">
        <v>1</v>
      </c>
      <c r="C57" s="4">
        <v>49</v>
      </c>
      <c r="D57" s="27" t="s">
        <v>425</v>
      </c>
      <c r="E57" s="27" t="s">
        <v>631</v>
      </c>
      <c r="F57" s="27" t="s">
        <v>546</v>
      </c>
      <c r="G57" s="27">
        <v>48</v>
      </c>
      <c r="H57" s="54" t="s">
        <v>653</v>
      </c>
      <c r="I57" s="27" t="str">
        <f>Table43[[#This Row],[Nama Jenis Kemasan]]</f>
        <v xml:space="preserve">PCH </v>
      </c>
      <c r="J57" s="4" t="str">
        <f>TRIM(CONCATENATE(Table43[[#This Row],[Nama            KLP]]," ",Table43[[#This Row],[Nama            Sub KLP]]))</f>
        <v>SHINZUI BODY CLEANSER</v>
      </c>
      <c r="K57" s="4" t="str">
        <f>CONCATENATE(Table43[[#This Row],[kode  2 Digit                (hrf+No)]],Table43[[#This Row],[kode  2 Digit                (Nomor)]],Table43[[#This Row],[kode  1 Digit                (Nomor)]])</f>
        <v>F4061</v>
      </c>
      <c r="L57" s="4" t="str">
        <f>IF(AG57="",CONCATENATE(Q57,S57,U57,W57,Y57,AA57,AC57,AE57,Table43[[#This Row],[Tanda Kode Revisi]]),CONCATENATE(Q57,S57,U57,W57,Y57,AA57,AC57,AG57))</f>
        <v>F4061109008510</v>
      </c>
      <c r="M57" s="11">
        <f t="shared" si="2"/>
        <v>14</v>
      </c>
      <c r="N57" s="14" t="str">
        <f>IF(AF57&lt;&gt;"",TRIM(UPPER(CONCATENATE(P57," ",R57," ",T57," ",V57," ",X57," ",Z57," ","X"," ",Table43[[#This Row],[ISI/CTN]]," ",AF57," ",AB57," ",AD57," ",AH57))),TRIM(UPPER(CONCATENATE(P57," ",R57," ",T57," ",V57," ",X57," ",Z57," ","X"," ",Table43[[#This Row],[ISI/CTN]]," ",AB57," ",AD57," ",AH57))))</f>
        <v>SHINZUI BODY CLEANSER REFILL MATSU 85ML X 48 PCH</v>
      </c>
      <c r="O57" s="11">
        <f t="shared" si="3"/>
        <v>48</v>
      </c>
      <c r="Q57" s="7" t="s">
        <v>662</v>
      </c>
      <c r="R57" s="4" t="s">
        <v>680</v>
      </c>
      <c r="S57" s="48" t="s">
        <v>755</v>
      </c>
      <c r="T57" s="49" t="s">
        <v>667</v>
      </c>
      <c r="U57" s="7">
        <v>1</v>
      </c>
      <c r="V57" s="49" t="s">
        <v>668</v>
      </c>
      <c r="W57" s="48" t="s">
        <v>750</v>
      </c>
      <c r="X57" s="4" t="s">
        <v>681</v>
      </c>
      <c r="Y57" s="50" t="s">
        <v>758</v>
      </c>
      <c r="Z57" s="4" t="s">
        <v>720</v>
      </c>
      <c r="AA57" s="50" t="s">
        <v>767</v>
      </c>
      <c r="AB57" s="4" t="s">
        <v>734</v>
      </c>
      <c r="AC57" s="7">
        <v>1</v>
      </c>
      <c r="AE57" s="7">
        <v>0</v>
      </c>
      <c r="AI57" s="7" t="s">
        <v>178</v>
      </c>
      <c r="AJ57" s="7">
        <v>2</v>
      </c>
      <c r="AL57" s="38">
        <v>3336.5765765765759</v>
      </c>
      <c r="AM57" s="39">
        <f>Table43[[#This Row],[Harga Beli Pcs
(-PPN)]]*Table43[[#This Row],[ISI/CTN]]</f>
        <v>160155.67567567565</v>
      </c>
      <c r="AN57" s="39">
        <f>Table43[[#This Row],[Harga Beli Pcs
(-PPN)]]*1.11</f>
        <v>3703.5999999999995</v>
      </c>
      <c r="AO57" s="39">
        <f>Table43[[#This Row],[Harga Beli Krt
(- PPN)]]*1.11</f>
        <v>177772.79999999999</v>
      </c>
      <c r="AP57" s="39">
        <v>3603.6036036036035</v>
      </c>
      <c r="AQ57" s="39">
        <f>Table43[[#This Row],[Harga Jual Pcs GT
(-PPN)]]*Table43[[#This Row],[ISI/CTN]]</f>
        <v>172972.97297297296</v>
      </c>
      <c r="AR57" s="39">
        <f>Table43[[#This Row],[Harga Jual Pcs GT
(-PPN)]]*1.11</f>
        <v>4000</v>
      </c>
      <c r="AS57" s="39">
        <f>Table43[[#This Row],[Harga Jual Krt GT
(- PPN)]]*1.11</f>
        <v>192000</v>
      </c>
      <c r="AT57" s="39"/>
      <c r="AU57" s="39">
        <f>Table43[[#This Row],[Harga Jual Pcs MT
(-PPN)]]*Table43[[#This Row],[ISI/CTN]]</f>
        <v>0</v>
      </c>
      <c r="AV57" s="39">
        <f>Table43[[#This Row],[Harga Jual Pcs MT
(-PPN)]]*1.11</f>
        <v>0</v>
      </c>
      <c r="AW57" s="39">
        <f>Table43[[#This Row],[Harga Jual Pcs MT
(+PPN)]]*Table43[[#This Row],[ISI/CTN]]</f>
        <v>0</v>
      </c>
      <c r="AX57" s="47">
        <f>IFERROR((Table43[[#This Row],[Harga Jual Pcs GT
(-PPN)]]-Table43[[#This Row],[Harga Beli Pcs
(-PPN)]])/Table43[[#This Row],[Harga Jual Pcs GT
(-PPN)]],0)</f>
        <v>7.4100000000000152E-2</v>
      </c>
      <c r="AY57" s="51">
        <v>45848</v>
      </c>
      <c r="AZ57" s="7"/>
      <c r="BA57" s="7" t="str">
        <f ca="1">IF(TODAY()-Table43[[#This Row],[Efektif
Pembuatan]]&gt;60,"Lama","Baru")</f>
        <v>Lama</v>
      </c>
      <c r="BB57" s="7" t="str">
        <f ca="1">IF(TODAY()-Table43[[#This Row],[Efektif Naik Harga]]&lt;30,"Naik","Sama")</f>
        <v>Sama</v>
      </c>
      <c r="BC57" s="7" t="s">
        <v>185</v>
      </c>
      <c r="BD57" s="7" t="str">
        <f>IF(Table43[[#This Row],[Kode BARANG Win2]]&lt;&gt;"","IDR","")</f>
        <v>IDR</v>
      </c>
      <c r="BE57" s="7" t="str">
        <f>CONCATENATE(Table43[[#This Row],[kode  1 Digit
(Nomor)]],Table43[[#This Row],[kode  4 Digit                (Nomor)]])</f>
        <v>20085</v>
      </c>
      <c r="BF57" s="7" t="str">
        <f>Table43[[#This Row],[Nama            Gramasi atau Jumlah Pack per CTN]]</f>
        <v>85ML</v>
      </c>
      <c r="BG57" s="7" t="s">
        <v>1060</v>
      </c>
      <c r="BH57" s="7" t="s">
        <v>377</v>
      </c>
      <c r="BI57" s="4" t="str">
        <f>IF(Table43[[#This Row],[SATUAN Fix Win]]&lt;&gt;"","KRT")</f>
        <v>KRT</v>
      </c>
      <c r="BJ57" s="4" t="str">
        <f>IF(Table43[[#This Row],[SATUAN Fix Win]]&lt;&gt;"","GD01")</f>
        <v>GD01</v>
      </c>
      <c r="BK57" s="4">
        <f>IF(Table43[[#This Row],[SATUAN Fix Win]]&lt;&gt;"",11611)</f>
        <v>11611</v>
      </c>
      <c r="BL57" s="4">
        <f>IF(Table43[[#This Row],[SATUAN Fix Win]]&lt;&gt;"",11612)</f>
        <v>11612</v>
      </c>
      <c r="BM57" s="52" t="s">
        <v>378</v>
      </c>
      <c r="BN57" s="4">
        <f>IF(Table43[[#This Row],[SATUAN Fix Win]]&lt;&gt;"",1)</f>
        <v>1</v>
      </c>
      <c r="BO57" s="4" t="s">
        <v>637</v>
      </c>
    </row>
    <row r="58" spans="1:70">
      <c r="A58" s="4" t="str">
        <f>CONCATENATE(Table43[[#This Row],[Kode BARANG Win2]],Table43[[#This Row],[No. Urut
Item Sama]])</f>
        <v>F40611100380101</v>
      </c>
      <c r="B58" s="7">
        <v>1</v>
      </c>
      <c r="C58" s="4">
        <v>50</v>
      </c>
      <c r="D58" s="27" t="s">
        <v>441</v>
      </c>
      <c r="E58" s="27" t="s">
        <v>628</v>
      </c>
      <c r="F58" s="27" t="s">
        <v>562</v>
      </c>
      <c r="G58" s="27">
        <v>24</v>
      </c>
      <c r="H58" s="54">
        <v>8992946523550</v>
      </c>
      <c r="I58" s="27" t="str">
        <f>Table43[[#This Row],[Nama Jenis Kemasan]]</f>
        <v>PCH</v>
      </c>
      <c r="J58" s="4" t="str">
        <f>TRIM(CONCATENATE(Table43[[#This Row],[Nama            KLP]]," ",Table43[[#This Row],[Nama            Sub KLP]]))</f>
        <v>SHINZUI BODY CLEANSER</v>
      </c>
      <c r="K58" s="4" t="str">
        <f>CONCATENATE(Table43[[#This Row],[kode  2 Digit                (hrf+No)]],Table43[[#This Row],[kode  2 Digit                (Nomor)]],Table43[[#This Row],[kode  1 Digit                (Nomor)]])</f>
        <v>F4061</v>
      </c>
      <c r="L58" s="4" t="str">
        <f>IF(AG58="",CONCATENATE(Q58,S58,U58,W58,Y58,AA58,AC58,AE58,Table43[[#This Row],[Tanda Kode Revisi]]),CONCATENATE(Q58,S58,U58,W58,Y58,AA58,AC58,AG58))</f>
        <v>F4061110038010</v>
      </c>
      <c r="M58" s="11">
        <f t="shared" si="2"/>
        <v>14</v>
      </c>
      <c r="N58" s="14" t="str">
        <f>IF(AF58&lt;&gt;"",TRIM(UPPER(CONCATENATE(P58," ",R58," ",T58," ",V58," ",X58," ",Z58," ","X"," ",Table43[[#This Row],[ISI/CTN]]," ",AF58," ",AB58," ",AD58," ",AH58))),TRIM(UPPER(CONCATENATE(P58," ",R58," ",T58," ",V58," ",X58," ",Z58," ","X"," ",Table43[[#This Row],[ISI/CTN]]," ",AB58," ",AD58," ",AH58))))</f>
        <v>SHINZUI BODY CLEANSER REFILL MYORI 380ML X 24 PCH</v>
      </c>
      <c r="O58" s="11">
        <f t="shared" si="3"/>
        <v>49</v>
      </c>
      <c r="Q58" s="7" t="s">
        <v>662</v>
      </c>
      <c r="R58" s="4" t="s">
        <v>680</v>
      </c>
      <c r="S58" s="48" t="s">
        <v>755</v>
      </c>
      <c r="T58" s="49" t="s">
        <v>667</v>
      </c>
      <c r="U58" s="7">
        <v>1</v>
      </c>
      <c r="V58" s="49" t="s">
        <v>668</v>
      </c>
      <c r="W58" s="48" t="s">
        <v>750</v>
      </c>
      <c r="X58" s="4" t="s">
        <v>692</v>
      </c>
      <c r="Y58" s="50" t="s">
        <v>773</v>
      </c>
      <c r="Z58" s="4" t="s">
        <v>696</v>
      </c>
      <c r="AA58" s="50" t="s">
        <v>761</v>
      </c>
      <c r="AB58" s="4" t="s">
        <v>671</v>
      </c>
      <c r="AC58" s="7">
        <v>1</v>
      </c>
      <c r="AE58" s="7">
        <v>0</v>
      </c>
      <c r="AI58" s="7" t="s">
        <v>178</v>
      </c>
      <c r="AJ58" s="7">
        <v>2</v>
      </c>
      <c r="AL58" s="38">
        <v>21687.747747747744</v>
      </c>
      <c r="AM58" s="39">
        <f>Table43[[#This Row],[Harga Beli Pcs
(-PPN)]]*Table43[[#This Row],[ISI/CTN]]</f>
        <v>520505.94594594586</v>
      </c>
      <c r="AN58" s="39">
        <f>Table43[[#This Row],[Harga Beli Pcs
(-PPN)]]*1.11</f>
        <v>24073.399999999998</v>
      </c>
      <c r="AO58" s="39">
        <f>Table43[[#This Row],[Harga Beli Krt
(- PPN)]]*1.11</f>
        <v>577761.6</v>
      </c>
      <c r="AP58" s="39">
        <v>23423.423423423421</v>
      </c>
      <c r="AQ58" s="39">
        <f>Table43[[#This Row],[Harga Jual Pcs GT
(-PPN)]]*Table43[[#This Row],[ISI/CTN]]</f>
        <v>562162.16216216213</v>
      </c>
      <c r="AR58" s="39">
        <f>Table43[[#This Row],[Harga Jual Pcs GT
(-PPN)]]*1.11</f>
        <v>26000</v>
      </c>
      <c r="AS58" s="39">
        <f>Table43[[#This Row],[Harga Jual Krt GT
(- PPN)]]*1.11</f>
        <v>624000</v>
      </c>
      <c r="AT58" s="39"/>
      <c r="AU58" s="39">
        <f>Table43[[#This Row],[Harga Jual Pcs MT
(-PPN)]]*Table43[[#This Row],[ISI/CTN]]</f>
        <v>0</v>
      </c>
      <c r="AV58" s="39">
        <f>Table43[[#This Row],[Harga Jual Pcs MT
(-PPN)]]*1.11</f>
        <v>0</v>
      </c>
      <c r="AW58" s="39">
        <f>Table43[[#This Row],[Harga Jual Pcs MT
(+PPN)]]*Table43[[#This Row],[ISI/CTN]]</f>
        <v>0</v>
      </c>
      <c r="AX58" s="47">
        <f>IFERROR((Table43[[#This Row],[Harga Jual Pcs GT
(-PPN)]]-Table43[[#This Row],[Harga Beli Pcs
(-PPN)]])/Table43[[#This Row],[Harga Jual Pcs GT
(-PPN)]],0)</f>
        <v>7.4100000000000055E-2</v>
      </c>
      <c r="AY58" s="51">
        <v>45848</v>
      </c>
      <c r="AZ58" s="7"/>
      <c r="BA58" s="7" t="str">
        <f ca="1">IF(TODAY()-Table43[[#This Row],[Efektif
Pembuatan]]&gt;60,"Lama","Baru")</f>
        <v>Lama</v>
      </c>
      <c r="BB58" s="7" t="str">
        <f ca="1">IF(TODAY()-Table43[[#This Row],[Efektif Naik Harga]]&lt;30,"Naik","Sama")</f>
        <v>Sama</v>
      </c>
      <c r="BC58" s="7" t="s">
        <v>185</v>
      </c>
      <c r="BD58" s="7" t="str">
        <f>IF(Table43[[#This Row],[Kode BARANG Win2]]&lt;&gt;"","IDR","")</f>
        <v>IDR</v>
      </c>
      <c r="BE58" s="7" t="str">
        <f>CONCATENATE(Table43[[#This Row],[kode  1 Digit
(Nomor)]],Table43[[#This Row],[kode  4 Digit                (Nomor)]])</f>
        <v>20380</v>
      </c>
      <c r="BF58" s="7" t="str">
        <f>Table43[[#This Row],[Nama            Gramasi atau Jumlah Pack per CTN]]</f>
        <v>380ML</v>
      </c>
      <c r="BG58" s="7" t="s">
        <v>1060</v>
      </c>
      <c r="BH58" s="7" t="s">
        <v>377</v>
      </c>
      <c r="BI58" s="4" t="str">
        <f>IF(Table43[[#This Row],[SATUAN Fix Win]]&lt;&gt;"","KRT")</f>
        <v>KRT</v>
      </c>
      <c r="BJ58" s="4" t="str">
        <f>IF(Table43[[#This Row],[SATUAN Fix Win]]&lt;&gt;"","GD01")</f>
        <v>GD01</v>
      </c>
      <c r="BK58" s="4">
        <f>IF(Table43[[#This Row],[SATUAN Fix Win]]&lt;&gt;"",11611)</f>
        <v>11611</v>
      </c>
      <c r="BL58" s="4">
        <f>IF(Table43[[#This Row],[SATUAN Fix Win]]&lt;&gt;"",11612)</f>
        <v>11612</v>
      </c>
      <c r="BM58" s="52" t="s">
        <v>378</v>
      </c>
      <c r="BN58" s="4">
        <f>IF(Table43[[#This Row],[SATUAN Fix Win]]&lt;&gt;"",1)</f>
        <v>1</v>
      </c>
      <c r="BO58" s="4" t="s">
        <v>637</v>
      </c>
    </row>
    <row r="59" spans="1:70">
      <c r="A59" s="4" t="str">
        <f>CONCATENATE(Table43[[#This Row],[Kode BARANG Win2]],Table43[[#This Row],[No. Urut
Item Sama]])</f>
        <v>F40611110380101</v>
      </c>
      <c r="B59" s="7">
        <v>1</v>
      </c>
      <c r="C59" s="4">
        <v>51</v>
      </c>
      <c r="D59" s="27" t="s">
        <v>446</v>
      </c>
      <c r="E59" s="27" t="s">
        <v>628</v>
      </c>
      <c r="F59" s="27" t="s">
        <v>567</v>
      </c>
      <c r="G59" s="27">
        <v>24</v>
      </c>
      <c r="H59" s="54">
        <v>8992946523557</v>
      </c>
      <c r="I59" s="27" t="str">
        <f>Table43[[#This Row],[Nama Jenis Kemasan]]</f>
        <v>PCH</v>
      </c>
      <c r="J59" s="4" t="str">
        <f>TRIM(CONCATENATE(Table43[[#This Row],[Nama            KLP]]," ",Table43[[#This Row],[Nama            Sub KLP]]))</f>
        <v>SHINZUI BODY CLEANSER</v>
      </c>
      <c r="K59" s="4" t="str">
        <f>CONCATENATE(Table43[[#This Row],[kode  2 Digit                (hrf+No)]],Table43[[#This Row],[kode  2 Digit                (Nomor)]],Table43[[#This Row],[kode  1 Digit                (Nomor)]])</f>
        <v>F4061</v>
      </c>
      <c r="L59" s="4" t="str">
        <f>IF(AG59="",CONCATENATE(Q59,S59,U59,W59,Y59,AA59,AC59,AE59,Table43[[#This Row],[Tanda Kode Revisi]]),CONCATENATE(Q59,S59,U59,W59,Y59,AA59,AC59,AG59))</f>
        <v>F4061111038010</v>
      </c>
      <c r="M59" s="11">
        <f t="shared" si="2"/>
        <v>14</v>
      </c>
      <c r="N59" s="14" t="str">
        <f>IF(AF59&lt;&gt;"",TRIM(UPPER(CONCATENATE(P59," ",R59," ",T59," ",V59," ",X59," ",Z59," ","X"," ",Table43[[#This Row],[ISI/CTN]]," ",AF59," ",AB59," ",AD59," ",AH59))),TRIM(UPPER(CONCATENATE(P59," ",R59," ",T59," ",V59," ",X59," ",Z59," ","X"," ",Table43[[#This Row],[ISI/CTN]]," ",AB59," ",AD59," ",AH59))))</f>
        <v>SHINZUI BODY CLEANSER REFILL SAKURA 380ML X 24 PCH</v>
      </c>
      <c r="O59" s="11">
        <f t="shared" si="3"/>
        <v>50</v>
      </c>
      <c r="Q59" s="7" t="s">
        <v>662</v>
      </c>
      <c r="R59" s="4" t="s">
        <v>680</v>
      </c>
      <c r="S59" s="48" t="s">
        <v>755</v>
      </c>
      <c r="T59" s="49" t="s">
        <v>667</v>
      </c>
      <c r="U59" s="7">
        <v>1</v>
      </c>
      <c r="V59" s="49" t="s">
        <v>668</v>
      </c>
      <c r="W59" s="48" t="s">
        <v>750</v>
      </c>
      <c r="X59" s="4" t="s">
        <v>693</v>
      </c>
      <c r="Y59" s="50" t="s">
        <v>774</v>
      </c>
      <c r="Z59" s="4" t="s">
        <v>696</v>
      </c>
      <c r="AA59" s="50" t="s">
        <v>761</v>
      </c>
      <c r="AB59" s="4" t="s">
        <v>671</v>
      </c>
      <c r="AC59" s="7">
        <v>1</v>
      </c>
      <c r="AE59" s="7">
        <v>0</v>
      </c>
      <c r="AI59" s="7" t="s">
        <v>178</v>
      </c>
      <c r="AJ59" s="7">
        <v>2</v>
      </c>
      <c r="AL59" s="38">
        <v>21687.747747747744</v>
      </c>
      <c r="AM59" s="39">
        <f>Table43[[#This Row],[Harga Beli Pcs
(-PPN)]]*Table43[[#This Row],[ISI/CTN]]</f>
        <v>520505.94594594586</v>
      </c>
      <c r="AN59" s="39">
        <f>Table43[[#This Row],[Harga Beli Pcs
(-PPN)]]*1.11</f>
        <v>24073.399999999998</v>
      </c>
      <c r="AO59" s="39">
        <f>Table43[[#This Row],[Harga Beli Krt
(- PPN)]]*1.11</f>
        <v>577761.6</v>
      </c>
      <c r="AP59" s="39">
        <v>23423.423423423421</v>
      </c>
      <c r="AQ59" s="39">
        <f>Table43[[#This Row],[Harga Jual Pcs GT
(-PPN)]]*Table43[[#This Row],[ISI/CTN]]</f>
        <v>562162.16216216213</v>
      </c>
      <c r="AR59" s="39">
        <f>Table43[[#This Row],[Harga Jual Pcs GT
(-PPN)]]*1.11</f>
        <v>26000</v>
      </c>
      <c r="AS59" s="39">
        <f>Table43[[#This Row],[Harga Jual Krt GT
(- PPN)]]*1.11</f>
        <v>624000</v>
      </c>
      <c r="AT59" s="39"/>
      <c r="AU59" s="39">
        <f>Table43[[#This Row],[Harga Jual Pcs MT
(-PPN)]]*Table43[[#This Row],[ISI/CTN]]</f>
        <v>0</v>
      </c>
      <c r="AV59" s="39">
        <f>Table43[[#This Row],[Harga Jual Pcs MT
(-PPN)]]*1.11</f>
        <v>0</v>
      </c>
      <c r="AW59" s="39">
        <f>Table43[[#This Row],[Harga Jual Pcs MT
(+PPN)]]*Table43[[#This Row],[ISI/CTN]]</f>
        <v>0</v>
      </c>
      <c r="AX59" s="47">
        <f>IFERROR((Table43[[#This Row],[Harga Jual Pcs GT
(-PPN)]]-Table43[[#This Row],[Harga Beli Pcs
(-PPN)]])/Table43[[#This Row],[Harga Jual Pcs GT
(-PPN)]],0)</f>
        <v>7.4100000000000055E-2</v>
      </c>
      <c r="AY59" s="51">
        <v>45848</v>
      </c>
      <c r="AZ59" s="7"/>
      <c r="BA59" s="7" t="str">
        <f ca="1">IF(TODAY()-Table43[[#This Row],[Efektif
Pembuatan]]&gt;60,"Lama","Baru")</f>
        <v>Lama</v>
      </c>
      <c r="BB59" s="7" t="str">
        <f ca="1">IF(TODAY()-Table43[[#This Row],[Efektif Naik Harga]]&lt;30,"Naik","Sama")</f>
        <v>Sama</v>
      </c>
      <c r="BC59" s="7" t="s">
        <v>185</v>
      </c>
      <c r="BD59" s="7" t="str">
        <f>IF(Table43[[#This Row],[Kode BARANG Win2]]&lt;&gt;"","IDR","")</f>
        <v>IDR</v>
      </c>
      <c r="BE59" s="7" t="str">
        <f>CONCATENATE(Table43[[#This Row],[kode  1 Digit
(Nomor)]],Table43[[#This Row],[kode  4 Digit                (Nomor)]])</f>
        <v>20380</v>
      </c>
      <c r="BF59" s="7" t="str">
        <f>Table43[[#This Row],[Nama            Gramasi atau Jumlah Pack per CTN]]</f>
        <v>380ML</v>
      </c>
      <c r="BG59" s="7" t="s">
        <v>1060</v>
      </c>
      <c r="BH59" s="7" t="s">
        <v>377</v>
      </c>
      <c r="BI59" s="4" t="str">
        <f>IF(Table43[[#This Row],[SATUAN Fix Win]]&lt;&gt;"","KRT")</f>
        <v>KRT</v>
      </c>
      <c r="BJ59" s="4" t="str">
        <f>IF(Table43[[#This Row],[SATUAN Fix Win]]&lt;&gt;"","GD01")</f>
        <v>GD01</v>
      </c>
      <c r="BK59" s="4">
        <f>IF(Table43[[#This Row],[SATUAN Fix Win]]&lt;&gt;"",11611)</f>
        <v>11611</v>
      </c>
      <c r="BL59" s="4">
        <f>IF(Table43[[#This Row],[SATUAN Fix Win]]&lt;&gt;"",11612)</f>
        <v>11612</v>
      </c>
      <c r="BM59" s="52" t="s">
        <v>378</v>
      </c>
      <c r="BN59" s="4">
        <f>IF(Table43[[#This Row],[SATUAN Fix Win]]&lt;&gt;"",1)</f>
        <v>1</v>
      </c>
      <c r="BO59" s="4" t="s">
        <v>637</v>
      </c>
    </row>
    <row r="60" spans="1:70">
      <c r="A60" s="4" t="str">
        <f>CONCATENATE(Table43[[#This Row],[Kode BARANG Win2]],Table43[[#This Row],[No. Urut
Item Sama]])</f>
        <v>F40611110725101</v>
      </c>
      <c r="B60" s="7">
        <v>1</v>
      </c>
      <c r="C60" s="4">
        <v>52</v>
      </c>
      <c r="D60" s="27" t="s">
        <v>445</v>
      </c>
      <c r="E60" s="27" t="s">
        <v>628</v>
      </c>
      <c r="F60" s="27" t="s">
        <v>566</v>
      </c>
      <c r="G60" s="27">
        <v>12</v>
      </c>
      <c r="H60" s="54">
        <v>8992946531729</v>
      </c>
      <c r="I60" s="27" t="str">
        <f>Table43[[#This Row],[Nama Jenis Kemasan]]</f>
        <v>PCH</v>
      </c>
      <c r="J60" s="4" t="str">
        <f>TRIM(CONCATENATE(Table43[[#This Row],[Nama            KLP]]," ",Table43[[#This Row],[Nama            Sub KLP]]))</f>
        <v>SHINZUI BODY CLEANSER</v>
      </c>
      <c r="K60" s="4" t="str">
        <f>CONCATENATE(Table43[[#This Row],[kode  2 Digit                (hrf+No)]],Table43[[#This Row],[kode  2 Digit                (Nomor)]],Table43[[#This Row],[kode  1 Digit                (Nomor)]])</f>
        <v>F4061</v>
      </c>
      <c r="L60" s="4" t="str">
        <f>IF(AG60="",CONCATENATE(Q60,S60,U60,W60,Y60,AA60,AC60,AE60,Table43[[#This Row],[Tanda Kode Revisi]]),CONCATENATE(Q60,S60,U60,W60,Y60,AA60,AC60,AG60))</f>
        <v>F4061111072510</v>
      </c>
      <c r="M60" s="11">
        <f t="shared" si="2"/>
        <v>14</v>
      </c>
      <c r="N60" s="14" t="str">
        <f>IF(AF60&lt;&gt;"",TRIM(UPPER(CONCATENATE(P60," ",R60," ",T60," ",V60," ",X60," ",Z60," ","X"," ",Table43[[#This Row],[ISI/CTN]]," ",AF60," ",AB60," ",AD60," ",AH60))),TRIM(UPPER(CONCATENATE(P60," ",R60," ",T60," ",V60," ",X60," ",Z60," ","X"," ",Table43[[#This Row],[ISI/CTN]]," ",AB60," ",AD60," ",AH60))))</f>
        <v>SHINZUI BODY CLEANSER REFILL SAKURA 725ML X 12 PCH</v>
      </c>
      <c r="O60" s="11">
        <f t="shared" si="3"/>
        <v>50</v>
      </c>
      <c r="Q60" s="7" t="s">
        <v>662</v>
      </c>
      <c r="R60" s="4" t="s">
        <v>680</v>
      </c>
      <c r="S60" s="48" t="s">
        <v>755</v>
      </c>
      <c r="T60" s="49" t="s">
        <v>667</v>
      </c>
      <c r="U60" s="7">
        <v>1</v>
      </c>
      <c r="V60" s="49" t="s">
        <v>668</v>
      </c>
      <c r="W60" s="48" t="s">
        <v>750</v>
      </c>
      <c r="X60" s="4" t="s">
        <v>693</v>
      </c>
      <c r="Y60" s="50" t="s">
        <v>774</v>
      </c>
      <c r="Z60" s="4" t="s">
        <v>695</v>
      </c>
      <c r="AA60" s="50" t="s">
        <v>763</v>
      </c>
      <c r="AB60" s="4" t="s">
        <v>671</v>
      </c>
      <c r="AC60" s="7">
        <v>1</v>
      </c>
      <c r="AE60" s="7">
        <v>0</v>
      </c>
      <c r="AI60" s="7" t="s">
        <v>178</v>
      </c>
      <c r="AJ60" s="7">
        <v>2</v>
      </c>
      <c r="AL60" s="38">
        <v>39204.774774774771</v>
      </c>
      <c r="AM60" s="39">
        <f>Table43[[#This Row],[Harga Beli Pcs
(-PPN)]]*Table43[[#This Row],[ISI/CTN]]</f>
        <v>470457.29729729728</v>
      </c>
      <c r="AN60" s="39">
        <f>Table43[[#This Row],[Harga Beli Pcs
(-PPN)]]*1.11</f>
        <v>43517.3</v>
      </c>
      <c r="AO60" s="39">
        <f>Table43[[#This Row],[Harga Beli Krt
(- PPN)]]*1.11</f>
        <v>522207.60000000003</v>
      </c>
      <c r="AP60" s="39">
        <v>42342.342342342337</v>
      </c>
      <c r="AQ60" s="39">
        <f>Table43[[#This Row],[Harga Jual Pcs GT
(-PPN)]]*Table43[[#This Row],[ISI/CTN]]</f>
        <v>508108.10810810805</v>
      </c>
      <c r="AR60" s="39">
        <f>Table43[[#This Row],[Harga Jual Pcs GT
(-PPN)]]*1.11</f>
        <v>47000</v>
      </c>
      <c r="AS60" s="39">
        <f>Table43[[#This Row],[Harga Jual Krt GT
(- PPN)]]*1.11</f>
        <v>564000</v>
      </c>
      <c r="AT60" s="39"/>
      <c r="AU60" s="39">
        <f>Table43[[#This Row],[Harga Jual Pcs MT
(-PPN)]]*Table43[[#This Row],[ISI/CTN]]</f>
        <v>0</v>
      </c>
      <c r="AV60" s="39">
        <f>Table43[[#This Row],[Harga Jual Pcs MT
(-PPN)]]*1.11</f>
        <v>0</v>
      </c>
      <c r="AW60" s="39">
        <f>Table43[[#This Row],[Harga Jual Pcs MT
(+PPN)]]*Table43[[#This Row],[ISI/CTN]]</f>
        <v>0</v>
      </c>
      <c r="AX60" s="47">
        <f>IFERROR((Table43[[#This Row],[Harga Jual Pcs GT
(-PPN)]]-Table43[[#This Row],[Harga Beli Pcs
(-PPN)]])/Table43[[#This Row],[Harga Jual Pcs GT
(-PPN)]],0)</f>
        <v>7.4099999999999985E-2</v>
      </c>
      <c r="AY60" s="51">
        <v>45848</v>
      </c>
      <c r="AZ60" s="7"/>
      <c r="BA60" s="7" t="str">
        <f ca="1">IF(TODAY()-Table43[[#This Row],[Efektif
Pembuatan]]&gt;60,"Lama","Baru")</f>
        <v>Lama</v>
      </c>
      <c r="BB60" s="7" t="str">
        <f ca="1">IF(TODAY()-Table43[[#This Row],[Efektif Naik Harga]]&lt;30,"Naik","Sama")</f>
        <v>Sama</v>
      </c>
      <c r="BC60" s="7" t="s">
        <v>185</v>
      </c>
      <c r="BD60" s="7" t="str">
        <f>IF(Table43[[#This Row],[Kode BARANG Win2]]&lt;&gt;"","IDR","")</f>
        <v>IDR</v>
      </c>
      <c r="BE60" s="7" t="str">
        <f>CONCATENATE(Table43[[#This Row],[kode  1 Digit
(Nomor)]],Table43[[#This Row],[kode  4 Digit                (Nomor)]])</f>
        <v>20725</v>
      </c>
      <c r="BF60" s="7" t="str">
        <f>Table43[[#This Row],[Nama            Gramasi atau Jumlah Pack per CTN]]</f>
        <v>725ML</v>
      </c>
      <c r="BG60" s="7" t="s">
        <v>1060</v>
      </c>
      <c r="BH60" s="7" t="s">
        <v>377</v>
      </c>
      <c r="BI60" s="4" t="str">
        <f>IF(Table43[[#This Row],[SATUAN Fix Win]]&lt;&gt;"","KRT")</f>
        <v>KRT</v>
      </c>
      <c r="BJ60" s="4" t="str">
        <f>IF(Table43[[#This Row],[SATUAN Fix Win]]&lt;&gt;"","GD01")</f>
        <v>GD01</v>
      </c>
      <c r="BK60" s="4">
        <f>IF(Table43[[#This Row],[SATUAN Fix Win]]&lt;&gt;"",11611)</f>
        <v>11611</v>
      </c>
      <c r="BL60" s="4">
        <f>IF(Table43[[#This Row],[SATUAN Fix Win]]&lt;&gt;"",11612)</f>
        <v>11612</v>
      </c>
      <c r="BM60" s="52" t="s">
        <v>378</v>
      </c>
      <c r="BN60" s="4">
        <f>IF(Table43[[#This Row],[SATUAN Fix Win]]&lt;&gt;"",1)</f>
        <v>1</v>
      </c>
      <c r="BO60" s="4" t="s">
        <v>637</v>
      </c>
    </row>
    <row r="61" spans="1:70">
      <c r="A61" s="4" t="str">
        <f>CONCATENATE(Table43[[#This Row],[Kode BARANG Win2]],Table43[[#This Row],[No. Urut
Item Sama]])</f>
        <v>F40612040420101</v>
      </c>
      <c r="B61" s="7">
        <v>1</v>
      </c>
      <c r="C61" s="4">
        <v>53</v>
      </c>
      <c r="D61" s="27" t="s">
        <v>1103</v>
      </c>
      <c r="E61" s="27" t="s">
        <v>628</v>
      </c>
      <c r="F61" s="27" t="s">
        <v>1109</v>
      </c>
      <c r="G61" s="27">
        <v>24</v>
      </c>
      <c r="H61" s="54"/>
      <c r="I61" s="27" t="str">
        <f>Table43[[#This Row],[Nama Jenis Kemasan]]</f>
        <v>PCH</v>
      </c>
      <c r="J61" s="4" t="str">
        <f>TRIM(CONCATENATE(Table43[[#This Row],[Nama            KLP]]," ",Table43[[#This Row],[Nama            Sub KLP]]))</f>
        <v>SHINZUI BODY CLEANSER</v>
      </c>
      <c r="K61" s="4" t="str">
        <f>CONCATENATE(Table43[[#This Row],[kode  2 Digit                (hrf+No)]],Table43[[#This Row],[kode  2 Digit                (Nomor)]],Table43[[#This Row],[kode  1 Digit                (Nomor)]])</f>
        <v>F4061</v>
      </c>
      <c r="L61" s="4" t="str">
        <f>IF(AG61="",CONCATENATE(Q61,S61,U61,W61,Y61,AA61,AC61,AE61,Table43[[#This Row],[Tanda Kode Revisi]]),CONCATENATE(Q61,S61,U61,W61,Y61,AA61,AC61,AG61))</f>
        <v>F4061204042010</v>
      </c>
      <c r="M61" s="11">
        <f t="shared" ref="M61:M66" si="6">LEN(L61)</f>
        <v>14</v>
      </c>
      <c r="N61" s="14" t="str">
        <f>IF(AF61&lt;&gt;"",TRIM(UPPER(CONCATENATE(P61," ",R61," ",T61," ",V61," ",X61," ",Z61," ","X"," ",Table43[[#This Row],[ISI/CTN]]," ",AF61," ",AB61," ",AD61," ",AH61))),TRIM(UPPER(CONCATENATE(P61," ",R61," ",T61," ",V61," ",X61," ",Z61," ","X"," ",Table43[[#This Row],[ISI/CTN]]," ",AB61," ",AD61," ",AH61))))</f>
        <v>SHINZUI BODY CLEANSER REFILL MATSU 420ML X 24 PCH</v>
      </c>
      <c r="O61" s="11">
        <f t="shared" ref="O61:O66" si="7">LEN(N61)</f>
        <v>49</v>
      </c>
      <c r="Q61" s="7" t="s">
        <v>662</v>
      </c>
      <c r="R61" s="4" t="s">
        <v>680</v>
      </c>
      <c r="S61" s="48" t="s">
        <v>755</v>
      </c>
      <c r="T61" s="49" t="s">
        <v>667</v>
      </c>
      <c r="U61" s="7">
        <v>1</v>
      </c>
      <c r="V61" s="49" t="s">
        <v>668</v>
      </c>
      <c r="W61" s="48" t="s">
        <v>1067</v>
      </c>
      <c r="X61" s="4" t="s">
        <v>681</v>
      </c>
      <c r="Y61" s="50" t="s">
        <v>753</v>
      </c>
      <c r="Z61" s="4" t="s">
        <v>1120</v>
      </c>
      <c r="AA61" s="50" t="s">
        <v>1121</v>
      </c>
      <c r="AB61" s="4" t="s">
        <v>671</v>
      </c>
      <c r="AC61" s="7">
        <v>1</v>
      </c>
      <c r="AE61" s="7">
        <v>0</v>
      </c>
      <c r="AI61" s="7" t="s">
        <v>178</v>
      </c>
      <c r="AJ61" s="7">
        <v>2</v>
      </c>
      <c r="AL61" s="38">
        <v>21687.747747747744</v>
      </c>
      <c r="AM61" s="39">
        <f>Table43[[#This Row],[Harga Beli Pcs
(-PPN)]]*Table43[[#This Row],[ISI/CTN]]</f>
        <v>520505.94594594586</v>
      </c>
      <c r="AN61" s="39">
        <f>Table43[[#This Row],[Harga Beli Pcs
(-PPN)]]*1.11</f>
        <v>24073.399999999998</v>
      </c>
      <c r="AO61" s="39">
        <f>Table43[[#This Row],[Harga Beli Krt
(- PPN)]]*1.11</f>
        <v>577761.6</v>
      </c>
      <c r="AP61" s="39">
        <v>23423.423423423421</v>
      </c>
      <c r="AQ61" s="39">
        <f>Table43[[#This Row],[Harga Jual Pcs GT
(-PPN)]]*Table43[[#This Row],[ISI/CTN]]</f>
        <v>562162.16216216213</v>
      </c>
      <c r="AR61" s="39">
        <f>Table43[[#This Row],[Harga Jual Pcs GT
(-PPN)]]*1.11</f>
        <v>26000</v>
      </c>
      <c r="AS61" s="39">
        <f>Table43[[#This Row],[Harga Jual Krt GT
(- PPN)]]*1.11</f>
        <v>624000</v>
      </c>
      <c r="AT61" s="39"/>
      <c r="AU61" s="39">
        <f>Table43[[#This Row],[Harga Jual Pcs MT
(-PPN)]]*Table43[[#This Row],[ISI/CTN]]</f>
        <v>0</v>
      </c>
      <c r="AV61" s="39">
        <f>Table43[[#This Row],[Harga Jual Pcs MT
(-PPN)]]*1.11</f>
        <v>0</v>
      </c>
      <c r="AW61" s="39">
        <f>Table43[[#This Row],[Harga Jual Pcs MT
(+PPN)]]*Table43[[#This Row],[ISI/CTN]]</f>
        <v>0</v>
      </c>
      <c r="AX61" s="47">
        <f>IFERROR((Table43[[#This Row],[Harga Jual Pcs GT
(-PPN)]]-Table43[[#This Row],[Harga Beli Pcs
(-PPN)]])/Table43[[#This Row],[Harga Jual Pcs GT
(-PPN)]],0)</f>
        <v>7.4100000000000055E-2</v>
      </c>
      <c r="AY61" s="51">
        <v>45909</v>
      </c>
      <c r="AZ61" s="7"/>
      <c r="BA61" s="7" t="str">
        <f ca="1">IF(TODAY()-Table43[[#This Row],[Efektif
Pembuatan]]&gt;60,"Lama","Baru")</f>
        <v>Lama</v>
      </c>
      <c r="BB61" s="7" t="str">
        <f ca="1">IF(TODAY()-Table43[[#This Row],[Efektif Naik Harga]]&lt;30,"Naik","Sama")</f>
        <v>Sama</v>
      </c>
      <c r="BC61" s="7"/>
      <c r="BD61" s="7" t="str">
        <f>IF(Table43[[#This Row],[Kode BARANG Win2]]&lt;&gt;"","IDR","")</f>
        <v>IDR</v>
      </c>
      <c r="BE61" s="7" t="str">
        <f>CONCATENATE(Table43[[#This Row],[kode  1 Digit
(Nomor)]],Table43[[#This Row],[kode  4 Digit                (Nomor)]])</f>
        <v>20420</v>
      </c>
      <c r="BF61" s="7" t="str">
        <f>Table43[[#This Row],[Nama            Gramasi atau Jumlah Pack per CTN]]</f>
        <v>420ML</v>
      </c>
      <c r="BG61" s="7"/>
      <c r="BH61" s="7"/>
      <c r="BI61" s="4" t="str">
        <f>IF(Table43[[#This Row],[SATUAN Fix Win]]&lt;&gt;"","KRT")</f>
        <v>KRT</v>
      </c>
      <c r="BJ61" s="4" t="str">
        <f>IF(Table43[[#This Row],[SATUAN Fix Win]]&lt;&gt;"","GD01")</f>
        <v>GD01</v>
      </c>
      <c r="BK61" s="4">
        <f>IF(Table43[[#This Row],[SATUAN Fix Win]]&lt;&gt;"",11611)</f>
        <v>11611</v>
      </c>
      <c r="BL61" s="4">
        <f>IF(Table43[[#This Row],[SATUAN Fix Win]]&lt;&gt;"",11612)</f>
        <v>11612</v>
      </c>
      <c r="BM61" s="52"/>
      <c r="BN61" s="4">
        <f>IF(Table43[[#This Row],[SATUAN Fix Win]]&lt;&gt;"",1)</f>
        <v>1</v>
      </c>
    </row>
    <row r="62" spans="1:70">
      <c r="A62" s="4" t="str">
        <f>CONCATENATE(Table43[[#This Row],[Kode BARANG Win2]],Table43[[#This Row],[No. Urut
Item Sama]])</f>
        <v>F40613010420101</v>
      </c>
      <c r="B62" s="7">
        <v>1</v>
      </c>
      <c r="C62" s="4">
        <v>54</v>
      </c>
      <c r="D62" s="27" t="s">
        <v>1104</v>
      </c>
      <c r="E62" s="27" t="s">
        <v>628</v>
      </c>
      <c r="F62" s="27" t="s">
        <v>1110</v>
      </c>
      <c r="G62" s="27">
        <v>24</v>
      </c>
      <c r="H62" s="54"/>
      <c r="I62" s="27" t="str">
        <f>Table43[[#This Row],[Nama Jenis Kemasan]]</f>
        <v>PCH</v>
      </c>
      <c r="J62" s="4" t="str">
        <f>TRIM(CONCATENATE(Table43[[#This Row],[Nama            KLP]]," ",Table43[[#This Row],[Nama            Sub KLP]]))</f>
        <v>SHINZUI BODY CLEANSER</v>
      </c>
      <c r="K62" s="4" t="str">
        <f>CONCATENATE(Table43[[#This Row],[kode  2 Digit                (hrf+No)]],Table43[[#This Row],[kode  2 Digit                (Nomor)]],Table43[[#This Row],[kode  1 Digit                (Nomor)]])</f>
        <v>F4061</v>
      </c>
      <c r="L62" s="4" t="str">
        <f>IF(AG62="",CONCATENATE(Q62,S62,U62,W62,Y62,AA62,AC62,AE62,Table43[[#This Row],[Tanda Kode Revisi]]),CONCATENATE(Q62,S62,U62,W62,Y62,AA62,AC62,AG62))</f>
        <v>F4061301042010</v>
      </c>
      <c r="M62" s="11">
        <f t="shared" si="6"/>
        <v>14</v>
      </c>
      <c r="N62" s="14" t="str">
        <f>IF(AF62&lt;&gt;"",TRIM(UPPER(CONCATENATE(P62," ",R62," ",T62," ",V62," ",X62," ",Z62," ","X"," ",Table43[[#This Row],[ISI/CTN]]," ",AF62," ",AB62," ",AD62," ",AH62))),TRIM(UPPER(CONCATENATE(P62," ",R62," ",T62," ",V62," ",X62," ",Z62," ","X"," ",Table43[[#This Row],[ISI/CTN]]," ",AB62," ",AD62," ",AH62))))</f>
        <v>SHINZUI BODY CLEANSER REFILL HANA 420ML X 24 PCH</v>
      </c>
      <c r="O62" s="11">
        <f t="shared" si="7"/>
        <v>48</v>
      </c>
      <c r="Q62" s="7" t="s">
        <v>662</v>
      </c>
      <c r="R62" s="4" t="s">
        <v>680</v>
      </c>
      <c r="S62" s="48" t="s">
        <v>755</v>
      </c>
      <c r="T62" s="49" t="s">
        <v>667</v>
      </c>
      <c r="U62" s="7">
        <v>1</v>
      </c>
      <c r="V62" s="49" t="s">
        <v>668</v>
      </c>
      <c r="W62" s="48" t="s">
        <v>1115</v>
      </c>
      <c r="X62" s="4" t="s">
        <v>682</v>
      </c>
      <c r="Y62" s="50" t="s">
        <v>749</v>
      </c>
      <c r="Z62" s="4" t="s">
        <v>1120</v>
      </c>
      <c r="AA62" s="50" t="s">
        <v>1121</v>
      </c>
      <c r="AB62" s="4" t="s">
        <v>671</v>
      </c>
      <c r="AC62" s="7">
        <v>1</v>
      </c>
      <c r="AE62" s="7">
        <v>0</v>
      </c>
      <c r="AI62" s="7" t="s">
        <v>178</v>
      </c>
      <c r="AJ62" s="7">
        <v>2</v>
      </c>
      <c r="AL62" s="38">
        <v>21687.747747747744</v>
      </c>
      <c r="AM62" s="39">
        <f>Table43[[#This Row],[Harga Beli Pcs
(-PPN)]]*Table43[[#This Row],[ISI/CTN]]</f>
        <v>520505.94594594586</v>
      </c>
      <c r="AN62" s="39">
        <f>Table43[[#This Row],[Harga Beli Pcs
(-PPN)]]*1.11</f>
        <v>24073.399999999998</v>
      </c>
      <c r="AO62" s="39">
        <f>Table43[[#This Row],[Harga Beli Krt
(- PPN)]]*1.11</f>
        <v>577761.6</v>
      </c>
      <c r="AP62" s="39">
        <v>23423.423423423421</v>
      </c>
      <c r="AQ62" s="39">
        <f>Table43[[#This Row],[Harga Jual Pcs GT
(-PPN)]]*Table43[[#This Row],[ISI/CTN]]</f>
        <v>562162.16216216213</v>
      </c>
      <c r="AR62" s="39">
        <f>Table43[[#This Row],[Harga Jual Pcs GT
(-PPN)]]*1.11</f>
        <v>26000</v>
      </c>
      <c r="AS62" s="39">
        <f>Table43[[#This Row],[Harga Jual Krt GT
(- PPN)]]*1.11</f>
        <v>624000</v>
      </c>
      <c r="AT62" s="39"/>
      <c r="AU62" s="39">
        <f>Table43[[#This Row],[Harga Jual Pcs MT
(-PPN)]]*Table43[[#This Row],[ISI/CTN]]</f>
        <v>0</v>
      </c>
      <c r="AV62" s="39">
        <f>Table43[[#This Row],[Harga Jual Pcs MT
(-PPN)]]*1.11</f>
        <v>0</v>
      </c>
      <c r="AW62" s="39">
        <f>Table43[[#This Row],[Harga Jual Pcs MT
(+PPN)]]*Table43[[#This Row],[ISI/CTN]]</f>
        <v>0</v>
      </c>
      <c r="AX62" s="47">
        <f>IFERROR((Table43[[#This Row],[Harga Jual Pcs GT
(-PPN)]]-Table43[[#This Row],[Harga Beli Pcs
(-PPN)]])/Table43[[#This Row],[Harga Jual Pcs GT
(-PPN)]],0)</f>
        <v>7.4100000000000055E-2</v>
      </c>
      <c r="AY62" s="51">
        <v>45909</v>
      </c>
      <c r="AZ62" s="7"/>
      <c r="BA62" s="7" t="str">
        <f ca="1">IF(TODAY()-Table43[[#This Row],[Efektif
Pembuatan]]&gt;60,"Lama","Baru")</f>
        <v>Lama</v>
      </c>
      <c r="BB62" s="7" t="str">
        <f ca="1">IF(TODAY()-Table43[[#This Row],[Efektif Naik Harga]]&lt;30,"Naik","Sama")</f>
        <v>Sama</v>
      </c>
      <c r="BC62" s="7"/>
      <c r="BD62" s="7" t="str">
        <f>IF(Table43[[#This Row],[Kode BARANG Win2]]&lt;&gt;"","IDR","")</f>
        <v>IDR</v>
      </c>
      <c r="BE62" s="7" t="str">
        <f>CONCATENATE(Table43[[#This Row],[kode  1 Digit
(Nomor)]],Table43[[#This Row],[kode  4 Digit                (Nomor)]])</f>
        <v>20420</v>
      </c>
      <c r="BF62" s="7" t="str">
        <f>Table43[[#This Row],[Nama            Gramasi atau Jumlah Pack per CTN]]</f>
        <v>420ML</v>
      </c>
      <c r="BG62" s="7"/>
      <c r="BH62" s="7"/>
      <c r="BI62" s="4" t="str">
        <f>IF(Table43[[#This Row],[SATUAN Fix Win]]&lt;&gt;"","KRT")</f>
        <v>KRT</v>
      </c>
      <c r="BJ62" s="4" t="str">
        <f>IF(Table43[[#This Row],[SATUAN Fix Win]]&lt;&gt;"","GD01")</f>
        <v>GD01</v>
      </c>
      <c r="BK62" s="4">
        <f>IF(Table43[[#This Row],[SATUAN Fix Win]]&lt;&gt;"",11611)</f>
        <v>11611</v>
      </c>
      <c r="BL62" s="4">
        <f>IF(Table43[[#This Row],[SATUAN Fix Win]]&lt;&gt;"",11612)</f>
        <v>11612</v>
      </c>
      <c r="BM62" s="52"/>
      <c r="BN62" s="4">
        <f>IF(Table43[[#This Row],[SATUAN Fix Win]]&lt;&gt;"",1)</f>
        <v>1</v>
      </c>
    </row>
    <row r="63" spans="1:70">
      <c r="A63" s="4" t="str">
        <f>CONCATENATE(Table43[[#This Row],[Kode BARANG Win2]],Table43[[#This Row],[No. Urut
Item Sama]])</f>
        <v>F40614030420101</v>
      </c>
      <c r="B63" s="7">
        <v>1</v>
      </c>
      <c r="C63" s="4">
        <v>55</v>
      </c>
      <c r="D63" s="27" t="s">
        <v>1105</v>
      </c>
      <c r="E63" s="27" t="s">
        <v>628</v>
      </c>
      <c r="F63" s="27" t="s">
        <v>1111</v>
      </c>
      <c r="G63" s="27">
        <v>24</v>
      </c>
      <c r="H63" s="54"/>
      <c r="I63" s="27" t="str">
        <f>Table43[[#This Row],[Nama Jenis Kemasan]]</f>
        <v>PCH</v>
      </c>
      <c r="J63" s="4" t="str">
        <f>TRIM(CONCATENATE(Table43[[#This Row],[Nama            KLP]]," ",Table43[[#This Row],[Nama            Sub KLP]]))</f>
        <v>SHINZUI BODY CLEANSER</v>
      </c>
      <c r="K63" s="4" t="str">
        <f>CONCATENATE(Table43[[#This Row],[kode  2 Digit                (hrf+No)]],Table43[[#This Row],[kode  2 Digit                (Nomor)]],Table43[[#This Row],[kode  1 Digit                (Nomor)]])</f>
        <v>F4061</v>
      </c>
      <c r="L63" s="4" t="str">
        <f>IF(AG63="",CONCATENATE(Q63,S63,U63,W63,Y63,AA63,AC63,AE63,Table43[[#This Row],[Tanda Kode Revisi]]),CONCATENATE(Q63,S63,U63,W63,Y63,AA63,AC63,AG63))</f>
        <v>F4061403042010</v>
      </c>
      <c r="M63" s="11">
        <f t="shared" si="6"/>
        <v>14</v>
      </c>
      <c r="N63" s="14" t="str">
        <f>IF(AF63&lt;&gt;"",TRIM(UPPER(CONCATENATE(P63," ",R63," ",T63," ",V63," ",X63," ",Z63," ","X"," ",Table43[[#This Row],[ISI/CTN]]," ",AF63," ",AB63," ",AD63," ",AH63))),TRIM(UPPER(CONCATENATE(P63," ",R63," ",T63," ",V63," ",X63," ",Z63," ","X"," ",Table43[[#This Row],[ISI/CTN]]," ",AB63," ",AD63," ",AH63))))</f>
        <v>SHINZUI BODY CLEANSER REFILL KIREI 420ML X 24 PCH</v>
      </c>
      <c r="O63" s="11">
        <f t="shared" si="7"/>
        <v>49</v>
      </c>
      <c r="Q63" s="7" t="s">
        <v>662</v>
      </c>
      <c r="R63" s="4" t="s">
        <v>680</v>
      </c>
      <c r="S63" s="48" t="s">
        <v>755</v>
      </c>
      <c r="T63" s="49" t="s">
        <v>667</v>
      </c>
      <c r="U63" s="7">
        <v>1</v>
      </c>
      <c r="V63" s="49" t="s">
        <v>668</v>
      </c>
      <c r="W63" s="48" t="s">
        <v>1116</v>
      </c>
      <c r="X63" s="4" t="s">
        <v>683</v>
      </c>
      <c r="Y63" s="50" t="s">
        <v>752</v>
      </c>
      <c r="Z63" s="4" t="s">
        <v>1120</v>
      </c>
      <c r="AA63" s="50" t="s">
        <v>1121</v>
      </c>
      <c r="AB63" s="4" t="s">
        <v>671</v>
      </c>
      <c r="AC63" s="7">
        <v>1</v>
      </c>
      <c r="AE63" s="7">
        <v>0</v>
      </c>
      <c r="AI63" s="7" t="s">
        <v>178</v>
      </c>
      <c r="AJ63" s="7">
        <v>2</v>
      </c>
      <c r="AL63" s="38">
        <v>21687.747747747744</v>
      </c>
      <c r="AM63" s="39">
        <f>Table43[[#This Row],[Harga Beli Pcs
(-PPN)]]*Table43[[#This Row],[ISI/CTN]]</f>
        <v>520505.94594594586</v>
      </c>
      <c r="AN63" s="39">
        <f>Table43[[#This Row],[Harga Beli Pcs
(-PPN)]]*1.11</f>
        <v>24073.399999999998</v>
      </c>
      <c r="AO63" s="39">
        <f>Table43[[#This Row],[Harga Beli Krt
(- PPN)]]*1.11</f>
        <v>577761.6</v>
      </c>
      <c r="AP63" s="39">
        <v>23423.423423423421</v>
      </c>
      <c r="AQ63" s="39">
        <f>Table43[[#This Row],[Harga Jual Pcs GT
(-PPN)]]*Table43[[#This Row],[ISI/CTN]]</f>
        <v>562162.16216216213</v>
      </c>
      <c r="AR63" s="39">
        <f>Table43[[#This Row],[Harga Jual Pcs GT
(-PPN)]]*1.11</f>
        <v>26000</v>
      </c>
      <c r="AS63" s="39">
        <f>Table43[[#This Row],[Harga Jual Krt GT
(- PPN)]]*1.11</f>
        <v>624000</v>
      </c>
      <c r="AT63" s="39"/>
      <c r="AU63" s="39">
        <f>Table43[[#This Row],[Harga Jual Pcs MT
(-PPN)]]*Table43[[#This Row],[ISI/CTN]]</f>
        <v>0</v>
      </c>
      <c r="AV63" s="39">
        <f>Table43[[#This Row],[Harga Jual Pcs MT
(-PPN)]]*1.11</f>
        <v>0</v>
      </c>
      <c r="AW63" s="39">
        <f>Table43[[#This Row],[Harga Jual Pcs MT
(+PPN)]]*Table43[[#This Row],[ISI/CTN]]</f>
        <v>0</v>
      </c>
      <c r="AX63" s="47">
        <f>IFERROR((Table43[[#This Row],[Harga Jual Pcs GT
(-PPN)]]-Table43[[#This Row],[Harga Beli Pcs
(-PPN)]])/Table43[[#This Row],[Harga Jual Pcs GT
(-PPN)]],0)</f>
        <v>7.4100000000000055E-2</v>
      </c>
      <c r="AY63" s="51">
        <v>45909</v>
      </c>
      <c r="AZ63" s="7"/>
      <c r="BA63" s="7" t="str">
        <f ca="1">IF(TODAY()-Table43[[#This Row],[Efektif
Pembuatan]]&gt;60,"Lama","Baru")</f>
        <v>Lama</v>
      </c>
      <c r="BB63" s="7" t="str">
        <f ca="1">IF(TODAY()-Table43[[#This Row],[Efektif Naik Harga]]&lt;30,"Naik","Sama")</f>
        <v>Sama</v>
      </c>
      <c r="BC63" s="7"/>
      <c r="BD63" s="7" t="str">
        <f>IF(Table43[[#This Row],[Kode BARANG Win2]]&lt;&gt;"","IDR","")</f>
        <v>IDR</v>
      </c>
      <c r="BE63" s="7" t="str">
        <f>CONCATENATE(Table43[[#This Row],[kode  1 Digit
(Nomor)]],Table43[[#This Row],[kode  4 Digit                (Nomor)]])</f>
        <v>20420</v>
      </c>
      <c r="BF63" s="7" t="str">
        <f>Table43[[#This Row],[Nama            Gramasi atau Jumlah Pack per CTN]]</f>
        <v>420ML</v>
      </c>
      <c r="BG63" s="7"/>
      <c r="BH63" s="7"/>
      <c r="BI63" s="4" t="str">
        <f>IF(Table43[[#This Row],[SATUAN Fix Win]]&lt;&gt;"","KRT")</f>
        <v>KRT</v>
      </c>
      <c r="BJ63" s="4" t="str">
        <f>IF(Table43[[#This Row],[SATUAN Fix Win]]&lt;&gt;"","GD01")</f>
        <v>GD01</v>
      </c>
      <c r="BK63" s="4">
        <f>IF(Table43[[#This Row],[SATUAN Fix Win]]&lt;&gt;"",11611)</f>
        <v>11611</v>
      </c>
      <c r="BL63" s="4">
        <f>IF(Table43[[#This Row],[SATUAN Fix Win]]&lt;&gt;"",11612)</f>
        <v>11612</v>
      </c>
      <c r="BM63" s="52"/>
      <c r="BN63" s="4">
        <f>IF(Table43[[#This Row],[SATUAN Fix Win]]&lt;&gt;"",1)</f>
        <v>1</v>
      </c>
    </row>
    <row r="64" spans="1:70">
      <c r="A64" s="4" t="str">
        <f>CONCATENATE(Table43[[#This Row],[Kode BARANG Win2]],Table43[[#This Row],[No. Urut
Item Sama]])</f>
        <v>F40615100420101</v>
      </c>
      <c r="B64" s="7">
        <v>1</v>
      </c>
      <c r="C64" s="4">
        <v>56</v>
      </c>
      <c r="D64" s="27" t="s">
        <v>1106</v>
      </c>
      <c r="E64" s="27" t="s">
        <v>628</v>
      </c>
      <c r="F64" s="27" t="s">
        <v>1112</v>
      </c>
      <c r="G64" s="27">
        <v>24</v>
      </c>
      <c r="H64" s="54"/>
      <c r="I64" s="27" t="str">
        <f>Table43[[#This Row],[Nama Jenis Kemasan]]</f>
        <v>PCH</v>
      </c>
      <c r="J64" s="4" t="str">
        <f>TRIM(CONCATENATE(Table43[[#This Row],[Nama            KLP]]," ",Table43[[#This Row],[Nama            Sub KLP]]))</f>
        <v>SHINZUI BODY CLEANSER</v>
      </c>
      <c r="K64" s="4" t="str">
        <f>CONCATENATE(Table43[[#This Row],[kode  2 Digit                (hrf+No)]],Table43[[#This Row],[kode  2 Digit                (Nomor)]],Table43[[#This Row],[kode  1 Digit                (Nomor)]])</f>
        <v>F4061</v>
      </c>
      <c r="L64" s="4" t="str">
        <f>IF(AG64="",CONCATENATE(Q64,S64,U64,W64,Y64,AA64,AC64,AE64,Table43[[#This Row],[Tanda Kode Revisi]]),CONCATENATE(Q64,S64,U64,W64,Y64,AA64,AC64,AG64))</f>
        <v>F4061510042010</v>
      </c>
      <c r="M64" s="11">
        <f t="shared" si="6"/>
        <v>14</v>
      </c>
      <c r="N64" s="14" t="str">
        <f>IF(AF64&lt;&gt;"",TRIM(UPPER(CONCATENATE(P64," ",R64," ",T64," ",V64," ",X64," ",Z64," ","X"," ",Table43[[#This Row],[ISI/CTN]]," ",AF64," ",AB64," ",AD64," ",AH64))),TRIM(UPPER(CONCATENATE(P64," ",R64," ",T64," ",V64," ",X64," ",Z64," ","X"," ",Table43[[#This Row],[ISI/CTN]]," ",AB64," ",AD64," ",AH64))))</f>
        <v>SHINZUI BODY CLEANSER REFILL MYORI 420ML X 24 PCH</v>
      </c>
      <c r="O64" s="11">
        <f t="shared" si="7"/>
        <v>49</v>
      </c>
      <c r="Q64" s="7" t="s">
        <v>662</v>
      </c>
      <c r="R64" s="4" t="s">
        <v>680</v>
      </c>
      <c r="S64" s="48" t="s">
        <v>755</v>
      </c>
      <c r="T64" s="49" t="s">
        <v>667</v>
      </c>
      <c r="U64" s="7">
        <v>1</v>
      </c>
      <c r="V64" s="49" t="s">
        <v>668</v>
      </c>
      <c r="W64" s="48" t="s">
        <v>1117</v>
      </c>
      <c r="X64" s="4" t="s">
        <v>692</v>
      </c>
      <c r="Y64" s="50" t="s">
        <v>773</v>
      </c>
      <c r="Z64" s="4" t="s">
        <v>1120</v>
      </c>
      <c r="AA64" s="50" t="s">
        <v>1121</v>
      </c>
      <c r="AB64" s="4" t="s">
        <v>671</v>
      </c>
      <c r="AC64" s="7">
        <v>1</v>
      </c>
      <c r="AE64" s="7">
        <v>0</v>
      </c>
      <c r="AI64" s="7" t="s">
        <v>178</v>
      </c>
      <c r="AJ64" s="7">
        <v>2</v>
      </c>
      <c r="AL64" s="38">
        <v>21687.747747747744</v>
      </c>
      <c r="AM64" s="39">
        <f>Table43[[#This Row],[Harga Beli Pcs
(-PPN)]]*Table43[[#This Row],[ISI/CTN]]</f>
        <v>520505.94594594586</v>
      </c>
      <c r="AN64" s="39">
        <f>Table43[[#This Row],[Harga Beli Pcs
(-PPN)]]*1.11</f>
        <v>24073.399999999998</v>
      </c>
      <c r="AO64" s="39">
        <f>Table43[[#This Row],[Harga Beli Krt
(- PPN)]]*1.11</f>
        <v>577761.6</v>
      </c>
      <c r="AP64" s="39">
        <v>23423.423423423421</v>
      </c>
      <c r="AQ64" s="39">
        <f>Table43[[#This Row],[Harga Jual Pcs GT
(-PPN)]]*Table43[[#This Row],[ISI/CTN]]</f>
        <v>562162.16216216213</v>
      </c>
      <c r="AR64" s="39">
        <f>Table43[[#This Row],[Harga Jual Pcs GT
(-PPN)]]*1.11</f>
        <v>26000</v>
      </c>
      <c r="AS64" s="39">
        <f>Table43[[#This Row],[Harga Jual Krt GT
(- PPN)]]*1.11</f>
        <v>624000</v>
      </c>
      <c r="AT64" s="39"/>
      <c r="AU64" s="39">
        <f>Table43[[#This Row],[Harga Jual Pcs MT
(-PPN)]]*Table43[[#This Row],[ISI/CTN]]</f>
        <v>0</v>
      </c>
      <c r="AV64" s="39">
        <f>Table43[[#This Row],[Harga Jual Pcs MT
(-PPN)]]*1.11</f>
        <v>0</v>
      </c>
      <c r="AW64" s="39">
        <f>Table43[[#This Row],[Harga Jual Pcs MT
(+PPN)]]*Table43[[#This Row],[ISI/CTN]]</f>
        <v>0</v>
      </c>
      <c r="AX64" s="47">
        <f>IFERROR((Table43[[#This Row],[Harga Jual Pcs GT
(-PPN)]]-Table43[[#This Row],[Harga Beli Pcs
(-PPN)]])/Table43[[#This Row],[Harga Jual Pcs GT
(-PPN)]],0)</f>
        <v>7.4100000000000055E-2</v>
      </c>
      <c r="AY64" s="51">
        <v>45909</v>
      </c>
      <c r="AZ64" s="7"/>
      <c r="BA64" s="7" t="str">
        <f ca="1">IF(TODAY()-Table43[[#This Row],[Efektif
Pembuatan]]&gt;60,"Lama","Baru")</f>
        <v>Lama</v>
      </c>
      <c r="BB64" s="7" t="str">
        <f ca="1">IF(TODAY()-Table43[[#This Row],[Efektif Naik Harga]]&lt;30,"Naik","Sama")</f>
        <v>Sama</v>
      </c>
      <c r="BC64" s="7"/>
      <c r="BD64" s="7" t="str">
        <f>IF(Table43[[#This Row],[Kode BARANG Win2]]&lt;&gt;"","IDR","")</f>
        <v>IDR</v>
      </c>
      <c r="BE64" s="7" t="str">
        <f>CONCATENATE(Table43[[#This Row],[kode  1 Digit
(Nomor)]],Table43[[#This Row],[kode  4 Digit                (Nomor)]])</f>
        <v>20420</v>
      </c>
      <c r="BF64" s="7" t="str">
        <f>Table43[[#This Row],[Nama            Gramasi atau Jumlah Pack per CTN]]</f>
        <v>420ML</v>
      </c>
      <c r="BG64" s="7"/>
      <c r="BH64" s="7"/>
      <c r="BI64" s="4" t="str">
        <f>IF(Table43[[#This Row],[SATUAN Fix Win]]&lt;&gt;"","KRT")</f>
        <v>KRT</v>
      </c>
      <c r="BJ64" s="4" t="str">
        <f>IF(Table43[[#This Row],[SATUAN Fix Win]]&lt;&gt;"","GD01")</f>
        <v>GD01</v>
      </c>
      <c r="BK64" s="4">
        <f>IF(Table43[[#This Row],[SATUAN Fix Win]]&lt;&gt;"",11611)</f>
        <v>11611</v>
      </c>
      <c r="BL64" s="4">
        <f>IF(Table43[[#This Row],[SATUAN Fix Win]]&lt;&gt;"",11612)</f>
        <v>11612</v>
      </c>
      <c r="BM64" s="52"/>
      <c r="BN64" s="4">
        <f>IF(Table43[[#This Row],[SATUAN Fix Win]]&lt;&gt;"",1)</f>
        <v>1</v>
      </c>
    </row>
    <row r="65" spans="1:70">
      <c r="A65" s="4" t="str">
        <f>CONCATENATE(Table43[[#This Row],[Kode BARANG Win2]],Table43[[#This Row],[No. Urut
Item Sama]])</f>
        <v>F40616110420101</v>
      </c>
      <c r="B65" s="7">
        <v>1</v>
      </c>
      <c r="C65" s="4">
        <v>57</v>
      </c>
      <c r="D65" s="27" t="s">
        <v>1107</v>
      </c>
      <c r="E65" s="27" t="s">
        <v>628</v>
      </c>
      <c r="F65" s="27" t="s">
        <v>1113</v>
      </c>
      <c r="G65" s="27">
        <v>24</v>
      </c>
      <c r="H65" s="54"/>
      <c r="I65" s="27" t="str">
        <f>Table43[[#This Row],[Nama Jenis Kemasan]]</f>
        <v>PCH</v>
      </c>
      <c r="J65" s="4" t="str">
        <f>TRIM(CONCATENATE(Table43[[#This Row],[Nama            KLP]]," ",Table43[[#This Row],[Nama            Sub KLP]]))</f>
        <v>SHINZUI BODY CLEANSER</v>
      </c>
      <c r="K65" s="4" t="str">
        <f>CONCATENATE(Table43[[#This Row],[kode  2 Digit                (hrf+No)]],Table43[[#This Row],[kode  2 Digit                (Nomor)]],Table43[[#This Row],[kode  1 Digit                (Nomor)]])</f>
        <v>F4061</v>
      </c>
      <c r="L65" s="4" t="str">
        <f>IF(AG65="",CONCATENATE(Q65,S65,U65,W65,Y65,AA65,AC65,AE65,Table43[[#This Row],[Tanda Kode Revisi]]),CONCATENATE(Q65,S65,U65,W65,Y65,AA65,AC65,AG65))</f>
        <v>F4061611042010</v>
      </c>
      <c r="M65" s="11">
        <f t="shared" si="6"/>
        <v>14</v>
      </c>
      <c r="N65" s="14" t="str">
        <f>IF(AF65&lt;&gt;"",TRIM(UPPER(CONCATENATE(P65," ",R65," ",T65," ",V65," ",X65," ",Z65," ","X"," ",Table43[[#This Row],[ISI/CTN]]," ",AF65," ",AB65," ",AD65," ",AH65))),TRIM(UPPER(CONCATENATE(P65," ",R65," ",T65," ",V65," ",X65," ",Z65," ","X"," ",Table43[[#This Row],[ISI/CTN]]," ",AB65," ",AD65," ",AH65))))</f>
        <v>SHINZUI BODY CLEANSER REFILL SAKURA 420ML X 24 PCH</v>
      </c>
      <c r="O65" s="11">
        <f t="shared" si="7"/>
        <v>50</v>
      </c>
      <c r="Q65" s="7" t="s">
        <v>662</v>
      </c>
      <c r="R65" s="4" t="s">
        <v>680</v>
      </c>
      <c r="S65" s="48" t="s">
        <v>755</v>
      </c>
      <c r="T65" s="49" t="s">
        <v>667</v>
      </c>
      <c r="U65" s="7">
        <v>1</v>
      </c>
      <c r="V65" s="49" t="s">
        <v>668</v>
      </c>
      <c r="W65" s="48" t="s">
        <v>1118</v>
      </c>
      <c r="X65" s="4" t="s">
        <v>693</v>
      </c>
      <c r="Y65" s="50" t="s">
        <v>774</v>
      </c>
      <c r="Z65" s="4" t="s">
        <v>1120</v>
      </c>
      <c r="AA65" s="50" t="s">
        <v>1121</v>
      </c>
      <c r="AB65" s="4" t="s">
        <v>671</v>
      </c>
      <c r="AC65" s="7">
        <v>1</v>
      </c>
      <c r="AE65" s="7">
        <v>0</v>
      </c>
      <c r="AI65" s="7" t="s">
        <v>178</v>
      </c>
      <c r="AJ65" s="7">
        <v>2</v>
      </c>
      <c r="AL65" s="38">
        <v>21687.747747747744</v>
      </c>
      <c r="AM65" s="39">
        <f>Table43[[#This Row],[Harga Beli Pcs
(-PPN)]]*Table43[[#This Row],[ISI/CTN]]</f>
        <v>520505.94594594586</v>
      </c>
      <c r="AN65" s="39">
        <f>Table43[[#This Row],[Harga Beli Pcs
(-PPN)]]*1.11</f>
        <v>24073.399999999998</v>
      </c>
      <c r="AO65" s="39">
        <f>Table43[[#This Row],[Harga Beli Krt
(- PPN)]]*1.11</f>
        <v>577761.6</v>
      </c>
      <c r="AP65" s="39">
        <v>23423.423423423421</v>
      </c>
      <c r="AQ65" s="39">
        <f>Table43[[#This Row],[Harga Jual Pcs GT
(-PPN)]]*Table43[[#This Row],[ISI/CTN]]</f>
        <v>562162.16216216213</v>
      </c>
      <c r="AR65" s="39">
        <f>Table43[[#This Row],[Harga Jual Pcs GT
(-PPN)]]*1.11</f>
        <v>26000</v>
      </c>
      <c r="AS65" s="39">
        <f>Table43[[#This Row],[Harga Jual Krt GT
(- PPN)]]*1.11</f>
        <v>624000</v>
      </c>
      <c r="AT65" s="39"/>
      <c r="AU65" s="39">
        <f>Table43[[#This Row],[Harga Jual Pcs MT
(-PPN)]]*Table43[[#This Row],[ISI/CTN]]</f>
        <v>0</v>
      </c>
      <c r="AV65" s="39">
        <f>Table43[[#This Row],[Harga Jual Pcs MT
(-PPN)]]*1.11</f>
        <v>0</v>
      </c>
      <c r="AW65" s="39">
        <f>Table43[[#This Row],[Harga Jual Pcs MT
(+PPN)]]*Table43[[#This Row],[ISI/CTN]]</f>
        <v>0</v>
      </c>
      <c r="AX65" s="47">
        <f>IFERROR((Table43[[#This Row],[Harga Jual Pcs GT
(-PPN)]]-Table43[[#This Row],[Harga Beli Pcs
(-PPN)]])/Table43[[#This Row],[Harga Jual Pcs GT
(-PPN)]],0)</f>
        <v>7.4100000000000055E-2</v>
      </c>
      <c r="AY65" s="51">
        <v>45909</v>
      </c>
      <c r="AZ65" s="7"/>
      <c r="BA65" s="7" t="str">
        <f ca="1">IF(TODAY()-Table43[[#This Row],[Efektif
Pembuatan]]&gt;60,"Lama","Baru")</f>
        <v>Lama</v>
      </c>
      <c r="BB65" s="7" t="str">
        <f ca="1">IF(TODAY()-Table43[[#This Row],[Efektif Naik Harga]]&lt;30,"Naik","Sama")</f>
        <v>Sama</v>
      </c>
      <c r="BC65" s="7"/>
      <c r="BD65" s="7" t="str">
        <f>IF(Table43[[#This Row],[Kode BARANG Win2]]&lt;&gt;"","IDR","")</f>
        <v>IDR</v>
      </c>
      <c r="BE65" s="7" t="str">
        <f>CONCATENATE(Table43[[#This Row],[kode  1 Digit
(Nomor)]],Table43[[#This Row],[kode  4 Digit                (Nomor)]])</f>
        <v>20420</v>
      </c>
      <c r="BF65" s="7" t="str">
        <f>Table43[[#This Row],[Nama            Gramasi atau Jumlah Pack per CTN]]</f>
        <v>420ML</v>
      </c>
      <c r="BG65" s="7"/>
      <c r="BH65" s="7"/>
      <c r="BI65" s="4" t="str">
        <f>IF(Table43[[#This Row],[SATUAN Fix Win]]&lt;&gt;"","KRT")</f>
        <v>KRT</v>
      </c>
      <c r="BJ65" s="4" t="str">
        <f>IF(Table43[[#This Row],[SATUAN Fix Win]]&lt;&gt;"","GD01")</f>
        <v>GD01</v>
      </c>
      <c r="BK65" s="4">
        <f>IF(Table43[[#This Row],[SATUAN Fix Win]]&lt;&gt;"",11611)</f>
        <v>11611</v>
      </c>
      <c r="BL65" s="4">
        <f>IF(Table43[[#This Row],[SATUAN Fix Win]]&lt;&gt;"",11612)</f>
        <v>11612</v>
      </c>
      <c r="BM65" s="52"/>
      <c r="BN65" s="4">
        <f>IF(Table43[[#This Row],[SATUAN Fix Win]]&lt;&gt;"",1)</f>
        <v>1</v>
      </c>
    </row>
    <row r="66" spans="1:70">
      <c r="A66" s="4" t="str">
        <f>CONCATENATE(Table43[[#This Row],[Kode BARANG Win2]],Table43[[#This Row],[No. Urut
Item Sama]])</f>
        <v>F40617020420101</v>
      </c>
      <c r="B66" s="7">
        <v>1</v>
      </c>
      <c r="C66" s="4">
        <v>58</v>
      </c>
      <c r="D66" s="27" t="s">
        <v>1108</v>
      </c>
      <c r="E66" s="27" t="s">
        <v>628</v>
      </c>
      <c r="F66" s="27" t="s">
        <v>1114</v>
      </c>
      <c r="G66" s="27">
        <v>24</v>
      </c>
      <c r="H66" s="54"/>
      <c r="I66" s="27" t="str">
        <f>Table43[[#This Row],[Nama Jenis Kemasan]]</f>
        <v>PCH</v>
      </c>
      <c r="J66" s="4" t="str">
        <f>TRIM(CONCATENATE(Table43[[#This Row],[Nama            KLP]]," ",Table43[[#This Row],[Nama            Sub KLP]]))</f>
        <v>SHINZUI BODY CLEANSER</v>
      </c>
      <c r="K66" s="4" t="str">
        <f>CONCATENATE(Table43[[#This Row],[kode  2 Digit                (hrf+No)]],Table43[[#This Row],[kode  2 Digit                (Nomor)]],Table43[[#This Row],[kode  1 Digit                (Nomor)]])</f>
        <v>F4061</v>
      </c>
      <c r="L66" s="4" t="str">
        <f>IF(AG66="",CONCATENATE(Q66,S66,U66,W66,Y66,AA66,AC66,AE66,Table43[[#This Row],[Tanda Kode Revisi]]),CONCATENATE(Q66,S66,U66,W66,Y66,AA66,AC66,AG66))</f>
        <v>F4061702042010</v>
      </c>
      <c r="M66" s="11">
        <f t="shared" si="6"/>
        <v>14</v>
      </c>
      <c r="N66" s="14" t="str">
        <f>IF(AF66&lt;&gt;"",TRIM(UPPER(CONCATENATE(P66," ",R66," ",T66," ",V66," ",X66," ",Z66," ","X"," ",Table43[[#This Row],[ISI/CTN]]," ",AF66," ",AB66," ",AD66," ",AH66))),TRIM(UPPER(CONCATENATE(P66," ",R66," ",T66," ",V66," ",X66," ",Z66," ","X"," ",Table43[[#This Row],[ISI/CTN]]," ",AB66," ",AD66," ",AH66))))</f>
        <v>SHINZUI BODY CLEANSER REFILL KENSHO 420ML X 24 PCH</v>
      </c>
      <c r="O66" s="11">
        <f t="shared" si="7"/>
        <v>50</v>
      </c>
      <c r="Q66" s="7" t="s">
        <v>662</v>
      </c>
      <c r="R66" s="4" t="s">
        <v>680</v>
      </c>
      <c r="S66" s="48" t="s">
        <v>755</v>
      </c>
      <c r="T66" s="49" t="s">
        <v>667</v>
      </c>
      <c r="U66" s="7">
        <v>1</v>
      </c>
      <c r="V66" s="49" t="s">
        <v>668</v>
      </c>
      <c r="W66" s="48" t="s">
        <v>1119</v>
      </c>
      <c r="X66" s="4" t="s">
        <v>694</v>
      </c>
      <c r="Y66" s="50" t="s">
        <v>751</v>
      </c>
      <c r="Z66" s="4" t="s">
        <v>1120</v>
      </c>
      <c r="AA66" s="50" t="s">
        <v>1121</v>
      </c>
      <c r="AB66" s="4" t="s">
        <v>671</v>
      </c>
      <c r="AC66" s="7">
        <v>1</v>
      </c>
      <c r="AE66" s="7">
        <v>0</v>
      </c>
      <c r="AI66" s="7" t="s">
        <v>178</v>
      </c>
      <c r="AJ66" s="7">
        <v>2</v>
      </c>
      <c r="AL66" s="38">
        <v>21687.747747747744</v>
      </c>
      <c r="AM66" s="39">
        <f>Table43[[#This Row],[Harga Beli Pcs
(-PPN)]]*Table43[[#This Row],[ISI/CTN]]</f>
        <v>520505.94594594586</v>
      </c>
      <c r="AN66" s="39">
        <f>Table43[[#This Row],[Harga Beli Pcs
(-PPN)]]*1.11</f>
        <v>24073.399999999998</v>
      </c>
      <c r="AO66" s="39">
        <f>Table43[[#This Row],[Harga Beli Krt
(- PPN)]]*1.11</f>
        <v>577761.6</v>
      </c>
      <c r="AP66" s="39">
        <v>23423.423423423421</v>
      </c>
      <c r="AQ66" s="39">
        <f>Table43[[#This Row],[Harga Jual Pcs GT
(-PPN)]]*Table43[[#This Row],[ISI/CTN]]</f>
        <v>562162.16216216213</v>
      </c>
      <c r="AR66" s="39">
        <f>Table43[[#This Row],[Harga Jual Pcs GT
(-PPN)]]*1.11</f>
        <v>26000</v>
      </c>
      <c r="AS66" s="39">
        <f>Table43[[#This Row],[Harga Jual Krt GT
(- PPN)]]*1.11</f>
        <v>624000</v>
      </c>
      <c r="AT66" s="39"/>
      <c r="AU66" s="39">
        <f>Table43[[#This Row],[Harga Jual Pcs MT
(-PPN)]]*Table43[[#This Row],[ISI/CTN]]</f>
        <v>0</v>
      </c>
      <c r="AV66" s="39">
        <f>Table43[[#This Row],[Harga Jual Pcs MT
(-PPN)]]*1.11</f>
        <v>0</v>
      </c>
      <c r="AW66" s="39">
        <f>Table43[[#This Row],[Harga Jual Pcs MT
(+PPN)]]*Table43[[#This Row],[ISI/CTN]]</f>
        <v>0</v>
      </c>
      <c r="AX66" s="47">
        <f>IFERROR((Table43[[#This Row],[Harga Jual Pcs GT
(-PPN)]]-Table43[[#This Row],[Harga Beli Pcs
(-PPN)]])/Table43[[#This Row],[Harga Jual Pcs GT
(-PPN)]],0)</f>
        <v>7.4100000000000055E-2</v>
      </c>
      <c r="AY66" s="51">
        <v>45909</v>
      </c>
      <c r="AZ66" s="7"/>
      <c r="BA66" s="7" t="str">
        <f ca="1">IF(TODAY()-Table43[[#This Row],[Efektif
Pembuatan]]&gt;60,"Lama","Baru")</f>
        <v>Lama</v>
      </c>
      <c r="BB66" s="7" t="str">
        <f ca="1">IF(TODAY()-Table43[[#This Row],[Efektif Naik Harga]]&lt;30,"Naik","Sama")</f>
        <v>Sama</v>
      </c>
      <c r="BC66" s="7"/>
      <c r="BD66" s="7" t="str">
        <f>IF(Table43[[#This Row],[Kode BARANG Win2]]&lt;&gt;"","IDR","")</f>
        <v>IDR</v>
      </c>
      <c r="BE66" s="7" t="str">
        <f>CONCATENATE(Table43[[#This Row],[kode  1 Digit
(Nomor)]],Table43[[#This Row],[kode  4 Digit                (Nomor)]])</f>
        <v>20420</v>
      </c>
      <c r="BF66" s="7" t="str">
        <f>Table43[[#This Row],[Nama            Gramasi atau Jumlah Pack per CTN]]</f>
        <v>420ML</v>
      </c>
      <c r="BG66" s="7"/>
      <c r="BH66" s="7"/>
      <c r="BI66" s="4" t="str">
        <f>IF(Table43[[#This Row],[SATUAN Fix Win]]&lt;&gt;"","KRT")</f>
        <v>KRT</v>
      </c>
      <c r="BJ66" s="4" t="str">
        <f>IF(Table43[[#This Row],[SATUAN Fix Win]]&lt;&gt;"","GD01")</f>
        <v>GD01</v>
      </c>
      <c r="BK66" s="4">
        <f>IF(Table43[[#This Row],[SATUAN Fix Win]]&lt;&gt;"",11611)</f>
        <v>11611</v>
      </c>
      <c r="BL66" s="4">
        <f>IF(Table43[[#This Row],[SATUAN Fix Win]]&lt;&gt;"",11612)</f>
        <v>11612</v>
      </c>
      <c r="BM66" s="52"/>
      <c r="BN66" s="4">
        <f>IF(Table43[[#This Row],[SATUAN Fix Win]]&lt;&gt;"",1)</f>
        <v>1</v>
      </c>
    </row>
    <row r="67" spans="1:70" s="105" customFormat="1">
      <c r="A67" s="91" t="str">
        <f>CONCATENATE(Table43[[#This Row],[Kode BARANG Win2]],Table43[[#This Row],[No. Urut
Item Sama]])</f>
        <v>F40611111500101</v>
      </c>
      <c r="B67" s="92">
        <v>1</v>
      </c>
      <c r="C67" s="91">
        <v>163</v>
      </c>
      <c r="D67" s="106" t="s">
        <v>1225</v>
      </c>
      <c r="E67" s="93" t="s">
        <v>628</v>
      </c>
      <c r="F67" s="93" t="s">
        <v>1226</v>
      </c>
      <c r="G67" s="93">
        <v>6</v>
      </c>
      <c r="H67" s="107">
        <v>8992946535540</v>
      </c>
      <c r="I67" s="93" t="str">
        <f>Table43[[#This Row],[Nama Jenis Kemasan]]</f>
        <v>PCH</v>
      </c>
      <c r="J67" s="4" t="str">
        <f>TRIM(CONCATENATE(Table43[[#This Row],[Nama            KLP]]," ",Table43[[#This Row],[Nama            Sub KLP]]))</f>
        <v>SHINZUI BODY CLEANSER</v>
      </c>
      <c r="K67" s="91" t="str">
        <f>CONCATENATE(Table43[[#This Row],[kode  2 Digit                (hrf+No)]],Table43[[#This Row],[kode  2 Digit                (Nomor)]],Table43[[#This Row],[kode  1 Digit                (Nomor)]])</f>
        <v>F4061</v>
      </c>
      <c r="L67" s="91" t="str">
        <f>IF(AG67="",CONCATENATE(Q67,S67,U67,W67,Y67,AA67,AC67,AE67,Table43[[#This Row],[Tanda Kode Revisi]]),CONCATENATE(Q67,S67,U67,W67,Y67,AA67,AC67,AG67))</f>
        <v>F4061111150010</v>
      </c>
      <c r="M67" s="95">
        <f>LEN(L67)</f>
        <v>14</v>
      </c>
      <c r="N67" s="96" t="str">
        <f>IF(AF67&lt;&gt;"",TRIM(UPPER(CONCATENATE(P67," ",R67," ",T67," ",V67," ",X67," ",Z67," ","X"," ",Table43[[#This Row],[ISI/CTN]]," ",AF67," ",AB67," ",AD67," ",AH67))),TRIM(UPPER(CONCATENATE(P67," ",R67," ",T67," ",V67," ",X67," ",Z67," ","X"," ",Table43[[#This Row],[ISI/CTN]]," ",AB67," ",AD67," ",AH67))))</f>
        <v>SHINZUI BODY CLEANSER REF SAKURA 1500ML X 6 PCH</v>
      </c>
      <c r="O67" s="95">
        <f>LEN(N67)</f>
        <v>47</v>
      </c>
      <c r="P67" s="91"/>
      <c r="Q67" s="92" t="s">
        <v>662</v>
      </c>
      <c r="R67" s="91" t="s">
        <v>680</v>
      </c>
      <c r="S67" s="97" t="s">
        <v>755</v>
      </c>
      <c r="T67" s="49" t="s">
        <v>667</v>
      </c>
      <c r="U67" s="92">
        <v>1</v>
      </c>
      <c r="V67" s="62" t="s">
        <v>776</v>
      </c>
      <c r="W67" s="97" t="s">
        <v>750</v>
      </c>
      <c r="X67" s="91" t="s">
        <v>693</v>
      </c>
      <c r="Y67" s="99" t="s">
        <v>774</v>
      </c>
      <c r="Z67" s="91" t="s">
        <v>1227</v>
      </c>
      <c r="AA67" s="99" t="s">
        <v>1228</v>
      </c>
      <c r="AB67" s="91" t="s">
        <v>671</v>
      </c>
      <c r="AC67" s="92">
        <v>1</v>
      </c>
      <c r="AD67" s="91"/>
      <c r="AE67" s="92">
        <v>0</v>
      </c>
      <c r="AF67" s="92"/>
      <c r="AG67" s="92"/>
      <c r="AH67" s="92"/>
      <c r="AI67" s="7" t="s">
        <v>178</v>
      </c>
      <c r="AJ67" s="7">
        <v>2</v>
      </c>
      <c r="AK67" s="92"/>
      <c r="AL67" s="100"/>
      <c r="AM67" s="101">
        <f>Table43[[#This Row],[Harga Beli Pcs
(-PPN)]]*Table43[[#This Row],[ISI/CTN]]</f>
        <v>0</v>
      </c>
      <c r="AN67" s="101">
        <f>Table43[[#This Row],[Harga Beli Pcs
(-PPN)]]*1.11</f>
        <v>0</v>
      </c>
      <c r="AO67" s="101">
        <f>Table43[[#This Row],[Harga Beli Krt
(- PPN)]]*1.11</f>
        <v>0</v>
      </c>
      <c r="AP67" s="101"/>
      <c r="AQ67" s="101">
        <f>Table43[[#This Row],[Harga Jual Pcs GT
(-PPN)]]*Table43[[#This Row],[ISI/CTN]]</f>
        <v>0</v>
      </c>
      <c r="AR67" s="101">
        <f>Table43[[#This Row],[Harga Jual Pcs GT
(-PPN)]]*1.11</f>
        <v>0</v>
      </c>
      <c r="AS67" s="101">
        <f>Table43[[#This Row],[Harga Jual Krt GT
(- PPN)]]*1.11</f>
        <v>0</v>
      </c>
      <c r="AT67" s="101"/>
      <c r="AU67" s="101">
        <f>Table43[[#This Row],[Harga Jual Pcs MT
(-PPN)]]*Table43[[#This Row],[ISI/CTN]]</f>
        <v>0</v>
      </c>
      <c r="AV67" s="101">
        <f>Table43[[#This Row],[Harga Jual Pcs MT
(-PPN)]]*1.11</f>
        <v>0</v>
      </c>
      <c r="AW67" s="101">
        <f>Table43[[#This Row],[Harga Jual Pcs MT
(+PPN)]]*Table43[[#This Row],[ISI/CTN]]</f>
        <v>0</v>
      </c>
      <c r="AX67" s="102">
        <f>IFERROR((Table43[[#This Row],[Harga Jual Pcs GT
(-PPN)]]-Table43[[#This Row],[Harga Beli Pcs
(-PPN)]])/Table43[[#This Row],[Harga Jual Pcs GT
(-PPN)]],0)</f>
        <v>0</v>
      </c>
      <c r="AY67" s="103"/>
      <c r="AZ67" s="92"/>
      <c r="BA67" s="92" t="str">
        <f ca="1">IF(TODAY()-Table43[[#This Row],[Efektif
Pembuatan]]&gt;60,"Lama","Baru")</f>
        <v>Lama</v>
      </c>
      <c r="BB67" s="92" t="str">
        <f ca="1">IF(TODAY()-Table43[[#This Row],[Efektif Naik Harga]]&lt;30,"Naik","Sama")</f>
        <v>Sama</v>
      </c>
      <c r="BC67" s="92"/>
      <c r="BD67" s="92" t="str">
        <f>IF(Table43[[#This Row],[Kode BARANG Win2]]&lt;&gt;"","IDR","")</f>
        <v>IDR</v>
      </c>
      <c r="BE67" s="92" t="str">
        <f>CONCATENATE(Table43[[#This Row],[kode  1 Digit
(Nomor)]],Table43[[#This Row],[kode  4 Digit                (Nomor)]])</f>
        <v>21500</v>
      </c>
      <c r="BF67" s="92" t="str">
        <f>Table43[[#This Row],[Nama            Gramasi atau Jumlah Pack per CTN]]</f>
        <v>1500ML</v>
      </c>
      <c r="BG67" s="92"/>
      <c r="BH67" s="92"/>
      <c r="BI67" s="91" t="str">
        <f>IF(Table43[[#This Row],[SATUAN Fix Win]]&lt;&gt;"","KRT")</f>
        <v>KRT</v>
      </c>
      <c r="BJ67" s="91" t="str">
        <f>IF(Table43[[#This Row],[SATUAN Fix Win]]&lt;&gt;"","GD01")</f>
        <v>GD01</v>
      </c>
      <c r="BK67" s="91">
        <f>IF(Table43[[#This Row],[SATUAN Fix Win]]&lt;&gt;"",11611)</f>
        <v>11611</v>
      </c>
      <c r="BL67" s="91">
        <f>IF(Table43[[#This Row],[SATUAN Fix Win]]&lt;&gt;"",11612)</f>
        <v>11612</v>
      </c>
      <c r="BM67" s="104"/>
      <c r="BN67" s="91">
        <f>IF(Table43[[#This Row],[SATUAN Fix Win]]&lt;&gt;"",1)</f>
        <v>1</v>
      </c>
      <c r="BO67" s="91"/>
      <c r="BP67" s="91"/>
      <c r="BQ67" s="91"/>
      <c r="BR67" s="91"/>
    </row>
    <row r="68" spans="1:70" s="69" customFormat="1">
      <c r="A68" s="55" t="str">
        <f>CONCATENATE(Table43[[#This Row],[Kode BARANG Win2]],Table43[[#This Row],[No. Urut
Item Sama]])</f>
        <v>F40611110400111</v>
      </c>
      <c r="B68" s="56">
        <v>1</v>
      </c>
      <c r="C68" s="4">
        <v>59</v>
      </c>
      <c r="D68" s="57" t="s">
        <v>1084</v>
      </c>
      <c r="E68" s="57" t="s">
        <v>628</v>
      </c>
      <c r="F68" s="57" t="s">
        <v>1078</v>
      </c>
      <c r="G68" s="57">
        <v>24</v>
      </c>
      <c r="H68" s="58">
        <v>8992946523561</v>
      </c>
      <c r="I68" s="57" t="str">
        <f>Table43[[#This Row],[Nama Jenis Kemasan]]</f>
        <v>PCH</v>
      </c>
      <c r="J68" s="55" t="str">
        <f>TRIM(CONCATENATE(Table43[[#This Row],[Nama            KLP]]," ",Table43[[#This Row],[Nama            Sub KLP]]))</f>
        <v>SHINZUI BODY CLEANSER</v>
      </c>
      <c r="K68" s="55" t="str">
        <f>CONCATENATE(Table43[[#This Row],[kode  2 Digit                (hrf+No)]],Table43[[#This Row],[kode  2 Digit                (Nomor)]],Table43[[#This Row],[kode  1 Digit                (Nomor)]])</f>
        <v>F4061</v>
      </c>
      <c r="L68" s="55" t="str">
        <f>IF(AG68="",CONCATENATE(Q68,S68,U68,W68,Y68,AA68,AC68,AE68,Table43[[#This Row],[Tanda Kode Revisi]]),CONCATENATE(Q68,S68,U68,W68,Y68,AA68,AC68,AG68))</f>
        <v>F4061111040011</v>
      </c>
      <c r="M68" s="59">
        <f>LEN(L68)</f>
        <v>14</v>
      </c>
      <c r="N68" s="60" t="str">
        <f>IF(AF68&lt;&gt;"",TRIM(UPPER(CONCATENATE(P68," ",R68," ",T68," ",V68," ",X68," ",Z68," ","X"," ",Table43[[#This Row],[ISI/CTN]]," ",AF68," ",AB68," ",AD68," ",AH68))),TRIM(UPPER(CONCATENATE(P68," ",R68," ",T68," ",V68," ",X68," ",Z68," ","X"," ",Table43[[#This Row],[ISI/CTN]]," ",AB68," ",AD68," ",AH68))))</f>
        <v>SHINZUI BODY CLEANSER REF SAKURA 400ML X 24 PCH BND</v>
      </c>
      <c r="O68" s="59">
        <f>LEN(N68)</f>
        <v>51</v>
      </c>
      <c r="P68" s="55"/>
      <c r="Q68" s="56" t="s">
        <v>662</v>
      </c>
      <c r="R68" s="55" t="s">
        <v>680</v>
      </c>
      <c r="S68" s="61" t="s">
        <v>755</v>
      </c>
      <c r="T68" s="62" t="s">
        <v>667</v>
      </c>
      <c r="U68" s="56">
        <v>1</v>
      </c>
      <c r="V68" s="62" t="s">
        <v>776</v>
      </c>
      <c r="W68" s="61" t="s">
        <v>750</v>
      </c>
      <c r="X68" s="55" t="s">
        <v>693</v>
      </c>
      <c r="Y68" s="63" t="s">
        <v>774</v>
      </c>
      <c r="Z68" s="55" t="s">
        <v>670</v>
      </c>
      <c r="AA68" s="63" t="s">
        <v>739</v>
      </c>
      <c r="AB68" s="55" t="s">
        <v>671</v>
      </c>
      <c r="AC68" s="56">
        <v>1</v>
      </c>
      <c r="AD68" s="55" t="s">
        <v>1074</v>
      </c>
      <c r="AE68" s="56">
        <v>1</v>
      </c>
      <c r="AF68" s="56"/>
      <c r="AG68" s="56"/>
      <c r="AH68" s="56"/>
      <c r="AI68" s="56" t="s">
        <v>178</v>
      </c>
      <c r="AJ68" s="56">
        <v>2</v>
      </c>
      <c r="AK68" s="56"/>
      <c r="AL68" s="64">
        <v>21687.747747747744</v>
      </c>
      <c r="AM68" s="65">
        <f>Table43[[#This Row],[Harga Beli Pcs
(-PPN)]]*Table43[[#This Row],[ISI/CTN]]</f>
        <v>520505.94594594586</v>
      </c>
      <c r="AN68" s="65">
        <f>Table43[[#This Row],[Harga Beli Pcs
(-PPN)]]*1.11</f>
        <v>24073.399999999998</v>
      </c>
      <c r="AO68" s="65">
        <f>Table43[[#This Row],[Harga Beli Krt
(- PPN)]]*1.11</f>
        <v>577761.6</v>
      </c>
      <c r="AP68" s="65">
        <v>23423.423423423421</v>
      </c>
      <c r="AQ68" s="65">
        <f>Table43[[#This Row],[Harga Jual Pcs GT
(-PPN)]]*Table43[[#This Row],[ISI/CTN]]</f>
        <v>562162.16216216213</v>
      </c>
      <c r="AR68" s="65">
        <f>Table43[[#This Row],[Harga Jual Pcs GT
(-PPN)]]*1.11</f>
        <v>26000</v>
      </c>
      <c r="AS68" s="65">
        <f>Table43[[#This Row],[Harga Jual Krt GT
(- PPN)]]*1.11</f>
        <v>624000</v>
      </c>
      <c r="AT68" s="65"/>
      <c r="AU68" s="65">
        <f>Table43[[#This Row],[Harga Jual Pcs MT
(-PPN)]]*Table43[[#This Row],[ISI/CTN]]</f>
        <v>0</v>
      </c>
      <c r="AV68" s="65">
        <f>Table43[[#This Row],[Harga Jual Pcs MT
(-PPN)]]*1.11</f>
        <v>0</v>
      </c>
      <c r="AW68" s="65">
        <f>Table43[[#This Row],[Harga Jual Pcs MT
(+PPN)]]*Table43[[#This Row],[ISI/CTN]]</f>
        <v>0</v>
      </c>
      <c r="AX68" s="66">
        <f>IFERROR((Table43[[#This Row],[Harga Jual Pcs GT
(-PPN)]]-Table43[[#This Row],[Harga Beli Pcs
(-PPN)]])/Table43[[#This Row],[Harga Jual Pcs GT
(-PPN)]],0)</f>
        <v>7.4100000000000055E-2</v>
      </c>
      <c r="AY68" s="67">
        <v>45864</v>
      </c>
      <c r="AZ68" s="56"/>
      <c r="BA68" s="56" t="str">
        <f ca="1">IF(TODAY()-Table43[[#This Row],[Efektif
Pembuatan]]&gt;60,"Lama","Baru")</f>
        <v>Lama</v>
      </c>
      <c r="BB68" s="56" t="str">
        <f ca="1">IF(TODAY()-Table43[[#This Row],[Efektif Naik Harga]]&lt;30,"Naik","Sama")</f>
        <v>Sama</v>
      </c>
      <c r="BC68" s="56" t="s">
        <v>185</v>
      </c>
      <c r="BD68" s="56" t="str">
        <f>IF(Table43[[#This Row],[Kode BARANG Win2]]&lt;&gt;"","IDR","")</f>
        <v>IDR</v>
      </c>
      <c r="BE68" s="56" t="str">
        <f>CONCATENATE(Table43[[#This Row],[kode  1 Digit
(Nomor)]],Table43[[#This Row],[kode  4 Digit                (Nomor)]])</f>
        <v>20400</v>
      </c>
      <c r="BF68" s="56" t="str">
        <f>Table43[[#This Row],[Nama            Gramasi atau Jumlah Pack per CTN]]</f>
        <v>400ML</v>
      </c>
      <c r="BG68" s="56"/>
      <c r="BH68" s="56"/>
      <c r="BI68" s="55" t="str">
        <f>IF(Table43[[#This Row],[SATUAN Fix Win]]&lt;&gt;"","KRT")</f>
        <v>KRT</v>
      </c>
      <c r="BJ68" s="55" t="str">
        <f>IF(Table43[[#This Row],[SATUAN Fix Win]]&lt;&gt;"","GD01")</f>
        <v>GD01</v>
      </c>
      <c r="BK68" s="55">
        <f>IF(Table43[[#This Row],[SATUAN Fix Win]]&lt;&gt;"",11611)</f>
        <v>11611</v>
      </c>
      <c r="BL68" s="55">
        <f>IF(Table43[[#This Row],[SATUAN Fix Win]]&lt;&gt;"",11612)</f>
        <v>11612</v>
      </c>
      <c r="BM68" s="68"/>
      <c r="BN68" s="55">
        <f>IF(Table43[[#This Row],[SATUAN Fix Win]]&lt;&gt;"",1)</f>
        <v>1</v>
      </c>
      <c r="BO68" s="4" t="s">
        <v>637</v>
      </c>
      <c r="BP68" s="55"/>
      <c r="BQ68" s="55"/>
      <c r="BR68" s="55"/>
    </row>
    <row r="69" spans="1:70">
      <c r="A69" s="4" t="str">
        <f>CONCATENATE(Table43[[#This Row],[Kode BARANG Win2]],Table43[[#This Row],[No. Urut
Item Sama]])</f>
        <v>F40620010100101</v>
      </c>
      <c r="B69" s="7">
        <v>1</v>
      </c>
      <c r="C69" s="4">
        <v>60</v>
      </c>
      <c r="D69" s="27" t="s">
        <v>489</v>
      </c>
      <c r="E69" s="27" t="s">
        <v>628</v>
      </c>
      <c r="F69" s="27" t="s">
        <v>610</v>
      </c>
      <c r="G69" s="27">
        <v>48</v>
      </c>
      <c r="H69" s="54">
        <v>8992946513292</v>
      </c>
      <c r="I69" s="27" t="str">
        <f>Table43[[#This Row],[Nama Jenis Kemasan]]</f>
        <v>BTL</v>
      </c>
      <c r="J69" s="4" t="str">
        <f>TRIM(CONCATENATE(Table43[[#This Row],[Nama            KLP]]," ",Table43[[#This Row],[Nama            Sub KLP]]))</f>
        <v>SHINZUI BODY LATION</v>
      </c>
      <c r="K69" s="4" t="str">
        <f>CONCATENATE(Table43[[#This Row],[kode  2 Digit                (hrf+No)]],Table43[[#This Row],[kode  2 Digit                (Nomor)]],Table43[[#This Row],[kode  1 Digit                (Nomor)]])</f>
        <v>F4062</v>
      </c>
      <c r="L69" s="4" t="str">
        <f>IF(AG69="",CONCATENATE(Q69,S69,U69,W69,Y69,AA69,AC69,AE69,Table43[[#This Row],[Tanda Kode Revisi]]),CONCATENATE(Q69,S69,U69,W69,Y69,AA69,AC69,AG69))</f>
        <v>F4062001010010</v>
      </c>
      <c r="M69" s="11">
        <f t="shared" si="2"/>
        <v>14</v>
      </c>
      <c r="N69" s="14" t="str">
        <f>IF(AF69&lt;&gt;"",TRIM(UPPER(CONCATENATE(P69," ",R69," ",T69," ",V69," ",X69," ",Z69," ","X"," ",Table43[[#This Row],[ISI/CTN]]," ",AF69," ",AB69," ",AD69," ",AH69))),TRIM(UPPER(CONCATENATE(P69," ",R69," ",T69," ",V69," ",X69," ",Z69," ","X"," ",Table43[[#This Row],[ISI/CTN]]," ",AB69," ",AD69," ",AH69))))</f>
        <v>SHINZUI BODY LATION HANA 100ML X 48 BTL</v>
      </c>
      <c r="O69" s="11">
        <f t="shared" si="3"/>
        <v>39</v>
      </c>
      <c r="Q69" s="7" t="s">
        <v>662</v>
      </c>
      <c r="R69" s="4" t="s">
        <v>680</v>
      </c>
      <c r="S69" s="48" t="s">
        <v>755</v>
      </c>
      <c r="T69" s="49" t="s">
        <v>699</v>
      </c>
      <c r="U69" s="7">
        <v>2</v>
      </c>
      <c r="V69" s="49"/>
      <c r="W69" s="48" t="s">
        <v>370</v>
      </c>
      <c r="X69" s="4" t="s">
        <v>682</v>
      </c>
      <c r="Y69" s="50" t="s">
        <v>749</v>
      </c>
      <c r="Z69" s="4" t="s">
        <v>708</v>
      </c>
      <c r="AA69" s="50" t="s">
        <v>741</v>
      </c>
      <c r="AB69" s="4" t="s">
        <v>705</v>
      </c>
      <c r="AC69" s="7">
        <v>1</v>
      </c>
      <c r="AE69" s="7">
        <v>0</v>
      </c>
      <c r="AI69" s="7" t="s">
        <v>178</v>
      </c>
      <c r="AJ69" s="7">
        <v>2</v>
      </c>
      <c r="AL69" s="38">
        <v>9175.5855855855862</v>
      </c>
      <c r="AM69" s="39">
        <f>Table43[[#This Row],[Harga Beli Pcs
(-PPN)]]*Table43[[#This Row],[ISI/CTN]]</f>
        <v>440428.10810810816</v>
      </c>
      <c r="AN69" s="39">
        <f>Table43[[#This Row],[Harga Beli Pcs
(-PPN)]]*1.11</f>
        <v>10184.900000000001</v>
      </c>
      <c r="AO69" s="39">
        <f>Table43[[#This Row],[Harga Beli Krt
(- PPN)]]*1.11</f>
        <v>488875.20000000013</v>
      </c>
      <c r="AP69" s="39">
        <v>9909.9099099099094</v>
      </c>
      <c r="AQ69" s="39">
        <f>Table43[[#This Row],[Harga Jual Pcs GT
(-PPN)]]*Table43[[#This Row],[ISI/CTN]]</f>
        <v>475675.67567567562</v>
      </c>
      <c r="AR69" s="39">
        <f>Table43[[#This Row],[Harga Jual Pcs GT
(-PPN)]]*1.11</f>
        <v>11000</v>
      </c>
      <c r="AS69" s="39">
        <f>Table43[[#This Row],[Harga Jual Krt GT
(- PPN)]]*1.11</f>
        <v>528000</v>
      </c>
      <c r="AT69" s="39"/>
      <c r="AU69" s="39">
        <f>Table43[[#This Row],[Harga Jual Pcs MT
(-PPN)]]*Table43[[#This Row],[ISI/CTN]]</f>
        <v>0</v>
      </c>
      <c r="AV69" s="39">
        <f>Table43[[#This Row],[Harga Jual Pcs MT
(-PPN)]]*1.11</f>
        <v>0</v>
      </c>
      <c r="AW69" s="39">
        <f>Table43[[#This Row],[Harga Jual Pcs MT
(+PPN)]]*Table43[[#This Row],[ISI/CTN]]</f>
        <v>0</v>
      </c>
      <c r="AX69" s="47">
        <f>IFERROR((Table43[[#This Row],[Harga Jual Pcs GT
(-PPN)]]-Table43[[#This Row],[Harga Beli Pcs
(-PPN)]])/Table43[[#This Row],[Harga Jual Pcs GT
(-PPN)]],0)</f>
        <v>7.4099999999999888E-2</v>
      </c>
      <c r="AY69" s="51">
        <v>45848</v>
      </c>
      <c r="AZ69" s="7"/>
      <c r="BA69" s="7" t="str">
        <f ca="1">IF(TODAY()-Table43[[#This Row],[Efektif
Pembuatan]]&gt;60,"Lama","Baru")</f>
        <v>Lama</v>
      </c>
      <c r="BB69" s="7" t="str">
        <f ca="1">IF(TODAY()-Table43[[#This Row],[Efektif Naik Harga]]&lt;30,"Naik","Sama")</f>
        <v>Sama</v>
      </c>
      <c r="BC69" s="7" t="s">
        <v>185</v>
      </c>
      <c r="BD69" s="7" t="str">
        <f>IF(Table43[[#This Row],[Kode BARANG Win2]]&lt;&gt;"","IDR","")</f>
        <v>IDR</v>
      </c>
      <c r="BE69" s="7" t="str">
        <f>CONCATENATE(Table43[[#This Row],[kode  1 Digit
(Nomor)]],Table43[[#This Row],[kode  4 Digit                (Nomor)]])</f>
        <v>20100</v>
      </c>
      <c r="BF69" s="7" t="str">
        <f>Table43[[#This Row],[Nama            Gramasi atau Jumlah Pack per CTN]]</f>
        <v>100ML</v>
      </c>
      <c r="BG69" s="7" t="s">
        <v>1060</v>
      </c>
      <c r="BH69" s="7" t="s">
        <v>377</v>
      </c>
      <c r="BI69" s="4" t="str">
        <f>IF(Table43[[#This Row],[SATUAN Fix Win]]&lt;&gt;"","KRT")</f>
        <v>KRT</v>
      </c>
      <c r="BJ69" s="4" t="str">
        <f>IF(Table43[[#This Row],[SATUAN Fix Win]]&lt;&gt;"","GD01")</f>
        <v>GD01</v>
      </c>
      <c r="BK69" s="4">
        <f>IF(Table43[[#This Row],[SATUAN Fix Win]]&lt;&gt;"",11611)</f>
        <v>11611</v>
      </c>
      <c r="BL69" s="4">
        <f>IF(Table43[[#This Row],[SATUAN Fix Win]]&lt;&gt;"",11612)</f>
        <v>11612</v>
      </c>
      <c r="BM69" s="52" t="s">
        <v>378</v>
      </c>
      <c r="BN69" s="4">
        <f>IF(Table43[[#This Row],[SATUAN Fix Win]]&lt;&gt;"",1)</f>
        <v>1</v>
      </c>
      <c r="BO69" s="4" t="s">
        <v>637</v>
      </c>
    </row>
    <row r="70" spans="1:70">
      <c r="A70" s="4" t="str">
        <f>CONCATENATE(Table43[[#This Row],[Kode BARANG Win2]],Table43[[#This Row],[No. Urut
Item Sama]])</f>
        <v>F40620010210101</v>
      </c>
      <c r="B70" s="7">
        <v>1</v>
      </c>
      <c r="C70" s="4">
        <v>61</v>
      </c>
      <c r="D70" s="27" t="s">
        <v>490</v>
      </c>
      <c r="E70" s="27" t="s">
        <v>628</v>
      </c>
      <c r="F70" s="27" t="s">
        <v>611</v>
      </c>
      <c r="G70" s="27">
        <v>48</v>
      </c>
      <c r="H70" s="54">
        <v>8992946518822</v>
      </c>
      <c r="I70" s="27" t="str">
        <f>Table43[[#This Row],[Nama Jenis Kemasan]]</f>
        <v>BTL</v>
      </c>
      <c r="J70" s="4" t="str">
        <f>TRIM(CONCATENATE(Table43[[#This Row],[Nama            KLP]]," ",Table43[[#This Row],[Nama            Sub KLP]]))</f>
        <v>SHINZUI BODY LATION</v>
      </c>
      <c r="K70" s="4" t="str">
        <f>CONCATENATE(Table43[[#This Row],[kode  2 Digit                (hrf+No)]],Table43[[#This Row],[kode  2 Digit                (Nomor)]],Table43[[#This Row],[kode  1 Digit                (Nomor)]])</f>
        <v>F4062</v>
      </c>
      <c r="L70" s="4" t="str">
        <f>IF(AG70="",CONCATENATE(Q70,S70,U70,W70,Y70,AA70,AC70,AE70,Table43[[#This Row],[Tanda Kode Revisi]]),CONCATENATE(Q70,S70,U70,W70,Y70,AA70,AC70,AG70))</f>
        <v>F4062001021010</v>
      </c>
      <c r="M70" s="11">
        <f t="shared" si="2"/>
        <v>14</v>
      </c>
      <c r="N70" s="14" t="str">
        <f>IF(AF70&lt;&gt;"",TRIM(UPPER(CONCATENATE(P70," ",R70," ",T70," ",V70," ",X70," ",Z70," ","X"," ",Table43[[#This Row],[ISI/CTN]]," ",AF70," ",AB70," ",AD70," ",AH70))),TRIM(UPPER(CONCATENATE(P70," ",R70," ",T70," ",V70," ",X70," ",Z70," ","X"," ",Table43[[#This Row],[ISI/CTN]]," ",AB70," ",AD70," ",AH70))))</f>
        <v>SHINZUI BODY LATION HANA 210ML X 48 BTL</v>
      </c>
      <c r="O70" s="11">
        <f t="shared" si="3"/>
        <v>39</v>
      </c>
      <c r="Q70" s="7" t="s">
        <v>662</v>
      </c>
      <c r="R70" s="4" t="s">
        <v>680</v>
      </c>
      <c r="S70" s="48" t="s">
        <v>755</v>
      </c>
      <c r="T70" s="49" t="s">
        <v>699</v>
      </c>
      <c r="U70" s="7">
        <v>2</v>
      </c>
      <c r="V70" s="49"/>
      <c r="W70" s="48" t="s">
        <v>370</v>
      </c>
      <c r="X70" s="4" t="s">
        <v>682</v>
      </c>
      <c r="Y70" s="50" t="s">
        <v>749</v>
      </c>
      <c r="Z70" s="4" t="s">
        <v>709</v>
      </c>
      <c r="AA70" s="50" t="s">
        <v>747</v>
      </c>
      <c r="AB70" s="4" t="s">
        <v>705</v>
      </c>
      <c r="AC70" s="7">
        <v>1</v>
      </c>
      <c r="AE70" s="7">
        <v>0</v>
      </c>
      <c r="AI70" s="7" t="s">
        <v>178</v>
      </c>
      <c r="AJ70" s="7">
        <v>2</v>
      </c>
      <c r="AL70" s="38">
        <v>16682.882882882881</v>
      </c>
      <c r="AM70" s="39">
        <f>Table43[[#This Row],[Harga Beli Pcs
(-PPN)]]*Table43[[#This Row],[ISI/CTN]]</f>
        <v>800778.37837837823</v>
      </c>
      <c r="AN70" s="39">
        <f>Table43[[#This Row],[Harga Beli Pcs
(-PPN)]]*1.11</f>
        <v>18518</v>
      </c>
      <c r="AO70" s="39">
        <f>Table43[[#This Row],[Harga Beli Krt
(- PPN)]]*1.11</f>
        <v>888863.99999999988</v>
      </c>
      <c r="AP70" s="39">
        <v>18018.018018018014</v>
      </c>
      <c r="AQ70" s="39">
        <f>Table43[[#This Row],[Harga Jual Pcs GT
(-PPN)]]*Table43[[#This Row],[ISI/CTN]]</f>
        <v>864864.86486486462</v>
      </c>
      <c r="AR70" s="39">
        <f>Table43[[#This Row],[Harga Jual Pcs GT
(-PPN)]]*1.11</f>
        <v>19999.999999999996</v>
      </c>
      <c r="AS70" s="39">
        <f>Table43[[#This Row],[Harga Jual Krt GT
(- PPN)]]*1.11</f>
        <v>959999.99999999977</v>
      </c>
      <c r="AT70" s="39"/>
      <c r="AU70" s="39">
        <f>Table43[[#This Row],[Harga Jual Pcs MT
(-PPN)]]*Table43[[#This Row],[ISI/CTN]]</f>
        <v>0</v>
      </c>
      <c r="AV70" s="39">
        <f>Table43[[#This Row],[Harga Jual Pcs MT
(-PPN)]]*1.11</f>
        <v>0</v>
      </c>
      <c r="AW70" s="39">
        <f>Table43[[#This Row],[Harga Jual Pcs MT
(+PPN)]]*Table43[[#This Row],[ISI/CTN]]</f>
        <v>0</v>
      </c>
      <c r="AX70" s="47">
        <f>IFERROR((Table43[[#This Row],[Harga Jual Pcs GT
(-PPN)]]-Table43[[#This Row],[Harga Beli Pcs
(-PPN)]])/Table43[[#This Row],[Harga Jual Pcs GT
(-PPN)]],0)</f>
        <v>7.4099999999999902E-2</v>
      </c>
      <c r="AY70" s="51">
        <v>45848</v>
      </c>
      <c r="AZ70" s="7"/>
      <c r="BA70" s="7" t="str">
        <f ca="1">IF(TODAY()-Table43[[#This Row],[Efektif
Pembuatan]]&gt;60,"Lama","Baru")</f>
        <v>Lama</v>
      </c>
      <c r="BB70" s="7" t="str">
        <f ca="1">IF(TODAY()-Table43[[#This Row],[Efektif Naik Harga]]&lt;30,"Naik","Sama")</f>
        <v>Sama</v>
      </c>
      <c r="BC70" s="7" t="s">
        <v>185</v>
      </c>
      <c r="BD70" s="7" t="str">
        <f>IF(Table43[[#This Row],[Kode BARANG Win2]]&lt;&gt;"","IDR","")</f>
        <v>IDR</v>
      </c>
      <c r="BE70" s="7" t="str">
        <f>CONCATENATE(Table43[[#This Row],[kode  1 Digit
(Nomor)]],Table43[[#This Row],[kode  4 Digit                (Nomor)]])</f>
        <v>20210</v>
      </c>
      <c r="BF70" s="7" t="str">
        <f>Table43[[#This Row],[Nama            Gramasi atau Jumlah Pack per CTN]]</f>
        <v>210ML</v>
      </c>
      <c r="BG70" s="7" t="s">
        <v>1060</v>
      </c>
      <c r="BH70" s="7" t="s">
        <v>377</v>
      </c>
      <c r="BI70" s="4" t="str">
        <f>IF(Table43[[#This Row],[SATUAN Fix Win]]&lt;&gt;"","KRT")</f>
        <v>KRT</v>
      </c>
      <c r="BJ70" s="4" t="str">
        <f>IF(Table43[[#This Row],[SATUAN Fix Win]]&lt;&gt;"","GD01")</f>
        <v>GD01</v>
      </c>
      <c r="BK70" s="4">
        <f>IF(Table43[[#This Row],[SATUAN Fix Win]]&lt;&gt;"",11611)</f>
        <v>11611</v>
      </c>
      <c r="BL70" s="4">
        <f>IF(Table43[[#This Row],[SATUAN Fix Win]]&lt;&gt;"",11612)</f>
        <v>11612</v>
      </c>
      <c r="BM70" s="52" t="s">
        <v>378</v>
      </c>
      <c r="BN70" s="4">
        <f>IF(Table43[[#This Row],[SATUAN Fix Win]]&lt;&gt;"",1)</f>
        <v>1</v>
      </c>
      <c r="BO70" s="4" t="s">
        <v>637</v>
      </c>
    </row>
    <row r="71" spans="1:70">
      <c r="A71" s="4" t="str">
        <f>CONCATENATE(Table43[[#This Row],[Kode BARANG Win2]],Table43[[#This Row],[No. Urut
Item Sama]])</f>
        <v>F40620020100101</v>
      </c>
      <c r="B71" s="7">
        <v>1</v>
      </c>
      <c r="C71" s="4">
        <v>62</v>
      </c>
      <c r="D71" s="27" t="s">
        <v>491</v>
      </c>
      <c r="E71" s="27" t="s">
        <v>628</v>
      </c>
      <c r="F71" s="27" t="s">
        <v>612</v>
      </c>
      <c r="G71" s="27">
        <v>48</v>
      </c>
      <c r="H71" s="54">
        <v>8992946513299</v>
      </c>
      <c r="I71" s="27" t="str">
        <f>Table43[[#This Row],[Nama Jenis Kemasan]]</f>
        <v>BTL</v>
      </c>
      <c r="J71" s="4" t="str">
        <f>TRIM(CONCATENATE(Table43[[#This Row],[Nama            KLP]]," ",Table43[[#This Row],[Nama            Sub KLP]]))</f>
        <v>SHINZUI BODY LATION</v>
      </c>
      <c r="K71" s="4" t="str">
        <f>CONCATENATE(Table43[[#This Row],[kode  2 Digit                (hrf+No)]],Table43[[#This Row],[kode  2 Digit                (Nomor)]],Table43[[#This Row],[kode  1 Digit                (Nomor)]])</f>
        <v>F4062</v>
      </c>
      <c r="L71" s="4" t="str">
        <f>IF(AG71="",CONCATENATE(Q71,S71,U71,W71,Y71,AA71,AC71,AE71,Table43[[#This Row],[Tanda Kode Revisi]]),CONCATENATE(Q71,S71,U71,W71,Y71,AA71,AC71,AG71))</f>
        <v>F4062002010010</v>
      </c>
      <c r="M71" s="11">
        <f t="shared" si="2"/>
        <v>14</v>
      </c>
      <c r="N71" s="14" t="str">
        <f>IF(AF71&lt;&gt;"",TRIM(UPPER(CONCATENATE(P71," ",R71," ",T71," ",V71," ",X71," ",Z71," ","X"," ",Table43[[#This Row],[ISI/CTN]]," ",AF71," ",AB71," ",AD71," ",AH71))),TRIM(UPPER(CONCATENATE(P71," ",R71," ",T71," ",V71," ",X71," ",Z71," ","X"," ",Table43[[#This Row],[ISI/CTN]]," ",AB71," ",AD71," ",AH71))))</f>
        <v>SHINZUI BODY LATION KIREI 100ML X 48 BTL</v>
      </c>
      <c r="O71" s="11">
        <f t="shared" si="3"/>
        <v>40</v>
      </c>
      <c r="Q71" s="7" t="s">
        <v>662</v>
      </c>
      <c r="R71" s="4" t="s">
        <v>680</v>
      </c>
      <c r="S71" s="48" t="s">
        <v>755</v>
      </c>
      <c r="T71" s="49" t="s">
        <v>699</v>
      </c>
      <c r="U71" s="7">
        <v>2</v>
      </c>
      <c r="V71" s="49"/>
      <c r="W71" s="48" t="s">
        <v>370</v>
      </c>
      <c r="X71" s="4" t="s">
        <v>683</v>
      </c>
      <c r="Y71" s="50" t="s">
        <v>751</v>
      </c>
      <c r="Z71" s="4" t="s">
        <v>708</v>
      </c>
      <c r="AA71" s="50" t="s">
        <v>741</v>
      </c>
      <c r="AB71" s="4" t="s">
        <v>705</v>
      </c>
      <c r="AC71" s="7">
        <v>1</v>
      </c>
      <c r="AE71" s="7">
        <v>0</v>
      </c>
      <c r="AI71" s="7" t="s">
        <v>178</v>
      </c>
      <c r="AJ71" s="7">
        <v>2</v>
      </c>
      <c r="AL71" s="38">
        <v>9175.5855855855862</v>
      </c>
      <c r="AM71" s="39">
        <f>Table43[[#This Row],[Harga Beli Pcs
(-PPN)]]*Table43[[#This Row],[ISI/CTN]]</f>
        <v>440428.10810810816</v>
      </c>
      <c r="AN71" s="39">
        <f>Table43[[#This Row],[Harga Beli Pcs
(-PPN)]]*1.11</f>
        <v>10184.900000000001</v>
      </c>
      <c r="AO71" s="39">
        <f>Table43[[#This Row],[Harga Beli Krt
(- PPN)]]*1.11</f>
        <v>488875.20000000013</v>
      </c>
      <c r="AP71" s="39">
        <v>9909.9099099099094</v>
      </c>
      <c r="AQ71" s="39">
        <f>Table43[[#This Row],[Harga Jual Pcs GT
(-PPN)]]*Table43[[#This Row],[ISI/CTN]]</f>
        <v>475675.67567567562</v>
      </c>
      <c r="AR71" s="39">
        <f>Table43[[#This Row],[Harga Jual Pcs GT
(-PPN)]]*1.11</f>
        <v>11000</v>
      </c>
      <c r="AS71" s="39">
        <f>Table43[[#This Row],[Harga Jual Krt GT
(- PPN)]]*1.11</f>
        <v>528000</v>
      </c>
      <c r="AT71" s="39"/>
      <c r="AU71" s="39">
        <f>Table43[[#This Row],[Harga Jual Pcs MT
(-PPN)]]*Table43[[#This Row],[ISI/CTN]]</f>
        <v>0</v>
      </c>
      <c r="AV71" s="39">
        <f>Table43[[#This Row],[Harga Jual Pcs MT
(-PPN)]]*1.11</f>
        <v>0</v>
      </c>
      <c r="AW71" s="39">
        <f>Table43[[#This Row],[Harga Jual Pcs MT
(+PPN)]]*Table43[[#This Row],[ISI/CTN]]</f>
        <v>0</v>
      </c>
      <c r="AX71" s="47">
        <f>IFERROR((Table43[[#This Row],[Harga Jual Pcs GT
(-PPN)]]-Table43[[#This Row],[Harga Beli Pcs
(-PPN)]])/Table43[[#This Row],[Harga Jual Pcs GT
(-PPN)]],0)</f>
        <v>7.4099999999999888E-2</v>
      </c>
      <c r="AY71" s="51">
        <v>45848</v>
      </c>
      <c r="AZ71" s="7"/>
      <c r="BA71" s="7" t="str">
        <f ca="1">IF(TODAY()-Table43[[#This Row],[Efektif
Pembuatan]]&gt;60,"Lama","Baru")</f>
        <v>Lama</v>
      </c>
      <c r="BB71" s="7" t="str">
        <f ca="1">IF(TODAY()-Table43[[#This Row],[Efektif Naik Harga]]&lt;30,"Naik","Sama")</f>
        <v>Sama</v>
      </c>
      <c r="BC71" s="7" t="s">
        <v>185</v>
      </c>
      <c r="BD71" s="7" t="str">
        <f>IF(Table43[[#This Row],[Kode BARANG Win2]]&lt;&gt;"","IDR","")</f>
        <v>IDR</v>
      </c>
      <c r="BE71" s="7" t="str">
        <f>CONCATENATE(Table43[[#This Row],[kode  1 Digit
(Nomor)]],Table43[[#This Row],[kode  4 Digit                (Nomor)]])</f>
        <v>20100</v>
      </c>
      <c r="BF71" s="7" t="str">
        <f>Table43[[#This Row],[Nama            Gramasi atau Jumlah Pack per CTN]]</f>
        <v>100ML</v>
      </c>
      <c r="BG71" s="7" t="s">
        <v>1060</v>
      </c>
      <c r="BH71" s="7" t="s">
        <v>377</v>
      </c>
      <c r="BI71" s="4" t="str">
        <f>IF(Table43[[#This Row],[SATUAN Fix Win]]&lt;&gt;"","KRT")</f>
        <v>KRT</v>
      </c>
      <c r="BJ71" s="4" t="str">
        <f>IF(Table43[[#This Row],[SATUAN Fix Win]]&lt;&gt;"","GD01")</f>
        <v>GD01</v>
      </c>
      <c r="BK71" s="4">
        <f>IF(Table43[[#This Row],[SATUAN Fix Win]]&lt;&gt;"",11611)</f>
        <v>11611</v>
      </c>
      <c r="BL71" s="4">
        <f>IF(Table43[[#This Row],[SATUAN Fix Win]]&lt;&gt;"",11612)</f>
        <v>11612</v>
      </c>
      <c r="BM71" s="52" t="s">
        <v>378</v>
      </c>
      <c r="BN71" s="4">
        <f>IF(Table43[[#This Row],[SATUAN Fix Win]]&lt;&gt;"",1)</f>
        <v>1</v>
      </c>
      <c r="BO71" s="4" t="s">
        <v>637</v>
      </c>
    </row>
    <row r="72" spans="1:70">
      <c r="A72" s="4" t="str">
        <f>CONCATENATE(Table43[[#This Row],[Kode BARANG Win2]],Table43[[#This Row],[No. Urut
Item Sama]])</f>
        <v>F40620020210101</v>
      </c>
      <c r="B72" s="7">
        <v>1</v>
      </c>
      <c r="C72" s="4">
        <v>63</v>
      </c>
      <c r="D72" s="27" t="s">
        <v>492</v>
      </c>
      <c r="E72" s="27" t="s">
        <v>628</v>
      </c>
      <c r="F72" s="27" t="s">
        <v>613</v>
      </c>
      <c r="G72" s="27">
        <v>48</v>
      </c>
      <c r="H72" s="54">
        <v>8992946518829</v>
      </c>
      <c r="I72" s="27" t="str">
        <f>Table43[[#This Row],[Nama Jenis Kemasan]]</f>
        <v>BTL</v>
      </c>
      <c r="J72" s="4" t="str">
        <f>TRIM(CONCATENATE(Table43[[#This Row],[Nama            KLP]]," ",Table43[[#This Row],[Nama            Sub KLP]]))</f>
        <v>SHINZUI BODY LATION</v>
      </c>
      <c r="K72" s="4" t="str">
        <f>CONCATENATE(Table43[[#This Row],[kode  2 Digit                (hrf+No)]],Table43[[#This Row],[kode  2 Digit                (Nomor)]],Table43[[#This Row],[kode  1 Digit                (Nomor)]])</f>
        <v>F4062</v>
      </c>
      <c r="L72" s="4" t="str">
        <f>IF(AG72="",CONCATENATE(Q72,S72,U72,W72,Y72,AA72,AC72,AE72,Table43[[#This Row],[Tanda Kode Revisi]]),CONCATENATE(Q72,S72,U72,W72,Y72,AA72,AC72,AG72))</f>
        <v>F4062002021010</v>
      </c>
      <c r="M72" s="11">
        <f t="shared" si="2"/>
        <v>14</v>
      </c>
      <c r="N72" s="14" t="str">
        <f>IF(AF72&lt;&gt;"",TRIM(UPPER(CONCATENATE(P72," ",R72," ",T72," ",V72," ",X72," ",Z72," ","X"," ",Table43[[#This Row],[ISI/CTN]]," ",AF72," ",AB72," ",AD72," ",AH72))),TRIM(UPPER(CONCATENATE(P72," ",R72," ",T72," ",V72," ",X72," ",Z72," ","X"," ",Table43[[#This Row],[ISI/CTN]]," ",AB72," ",AD72," ",AH72))))</f>
        <v>SHINZUI BODY LATION KIREI 210ML X 48 BTL</v>
      </c>
      <c r="O72" s="11">
        <f t="shared" si="3"/>
        <v>40</v>
      </c>
      <c r="Q72" s="7" t="s">
        <v>662</v>
      </c>
      <c r="R72" s="4" t="s">
        <v>680</v>
      </c>
      <c r="S72" s="48" t="s">
        <v>755</v>
      </c>
      <c r="T72" s="49" t="s">
        <v>699</v>
      </c>
      <c r="U72" s="7">
        <v>2</v>
      </c>
      <c r="V72" s="49"/>
      <c r="W72" s="48" t="s">
        <v>370</v>
      </c>
      <c r="X72" s="4" t="s">
        <v>683</v>
      </c>
      <c r="Y72" s="50" t="s">
        <v>751</v>
      </c>
      <c r="Z72" s="4" t="s">
        <v>709</v>
      </c>
      <c r="AA72" s="50" t="s">
        <v>747</v>
      </c>
      <c r="AB72" s="4" t="s">
        <v>705</v>
      </c>
      <c r="AC72" s="7">
        <v>1</v>
      </c>
      <c r="AE72" s="7">
        <v>0</v>
      </c>
      <c r="AI72" s="7" t="s">
        <v>178</v>
      </c>
      <c r="AJ72" s="7">
        <v>2</v>
      </c>
      <c r="AL72" s="38">
        <v>16682.882882882881</v>
      </c>
      <c r="AM72" s="39">
        <f>Table43[[#This Row],[Harga Beli Pcs
(-PPN)]]*Table43[[#This Row],[ISI/CTN]]</f>
        <v>800778.37837837823</v>
      </c>
      <c r="AN72" s="39">
        <f>Table43[[#This Row],[Harga Beli Pcs
(-PPN)]]*1.11</f>
        <v>18518</v>
      </c>
      <c r="AO72" s="39">
        <f>Table43[[#This Row],[Harga Beli Krt
(- PPN)]]*1.11</f>
        <v>888863.99999999988</v>
      </c>
      <c r="AP72" s="39">
        <v>18018.018018018014</v>
      </c>
      <c r="AQ72" s="39">
        <f>Table43[[#This Row],[Harga Jual Pcs GT
(-PPN)]]*Table43[[#This Row],[ISI/CTN]]</f>
        <v>864864.86486486462</v>
      </c>
      <c r="AR72" s="39">
        <f>Table43[[#This Row],[Harga Jual Pcs GT
(-PPN)]]*1.11</f>
        <v>19999.999999999996</v>
      </c>
      <c r="AS72" s="39">
        <f>Table43[[#This Row],[Harga Jual Krt GT
(- PPN)]]*1.11</f>
        <v>959999.99999999977</v>
      </c>
      <c r="AT72" s="39"/>
      <c r="AU72" s="39">
        <f>Table43[[#This Row],[Harga Jual Pcs MT
(-PPN)]]*Table43[[#This Row],[ISI/CTN]]</f>
        <v>0</v>
      </c>
      <c r="AV72" s="39">
        <f>Table43[[#This Row],[Harga Jual Pcs MT
(-PPN)]]*1.11</f>
        <v>0</v>
      </c>
      <c r="AW72" s="39">
        <f>Table43[[#This Row],[Harga Jual Pcs MT
(+PPN)]]*Table43[[#This Row],[ISI/CTN]]</f>
        <v>0</v>
      </c>
      <c r="AX72" s="47">
        <f>IFERROR((Table43[[#This Row],[Harga Jual Pcs GT
(-PPN)]]-Table43[[#This Row],[Harga Beli Pcs
(-PPN)]])/Table43[[#This Row],[Harga Jual Pcs GT
(-PPN)]],0)</f>
        <v>7.4099999999999902E-2</v>
      </c>
      <c r="AY72" s="51">
        <v>45848</v>
      </c>
      <c r="AZ72" s="7"/>
      <c r="BA72" s="7" t="str">
        <f ca="1">IF(TODAY()-Table43[[#This Row],[Efektif
Pembuatan]]&gt;60,"Lama","Baru")</f>
        <v>Lama</v>
      </c>
      <c r="BB72" s="7" t="str">
        <f ca="1">IF(TODAY()-Table43[[#This Row],[Efektif Naik Harga]]&lt;30,"Naik","Sama")</f>
        <v>Sama</v>
      </c>
      <c r="BC72" s="7" t="s">
        <v>185</v>
      </c>
      <c r="BD72" s="7" t="str">
        <f>IF(Table43[[#This Row],[Kode BARANG Win2]]&lt;&gt;"","IDR","")</f>
        <v>IDR</v>
      </c>
      <c r="BE72" s="7" t="str">
        <f>CONCATENATE(Table43[[#This Row],[kode  1 Digit
(Nomor)]],Table43[[#This Row],[kode  4 Digit                (Nomor)]])</f>
        <v>20210</v>
      </c>
      <c r="BF72" s="7" t="str">
        <f>Table43[[#This Row],[Nama            Gramasi atau Jumlah Pack per CTN]]</f>
        <v>210ML</v>
      </c>
      <c r="BG72" s="7" t="s">
        <v>1060</v>
      </c>
      <c r="BH72" s="7" t="s">
        <v>377</v>
      </c>
      <c r="BI72" s="4" t="str">
        <f>IF(Table43[[#This Row],[SATUAN Fix Win]]&lt;&gt;"","KRT")</f>
        <v>KRT</v>
      </c>
      <c r="BJ72" s="4" t="str">
        <f>IF(Table43[[#This Row],[SATUAN Fix Win]]&lt;&gt;"","GD01")</f>
        <v>GD01</v>
      </c>
      <c r="BK72" s="4">
        <f>IF(Table43[[#This Row],[SATUAN Fix Win]]&lt;&gt;"",11611)</f>
        <v>11611</v>
      </c>
      <c r="BL72" s="4">
        <f>IF(Table43[[#This Row],[SATUAN Fix Win]]&lt;&gt;"",11612)</f>
        <v>11612</v>
      </c>
      <c r="BM72" s="52" t="s">
        <v>378</v>
      </c>
      <c r="BN72" s="4">
        <f>IF(Table43[[#This Row],[SATUAN Fix Win]]&lt;&gt;"",1)</f>
        <v>1</v>
      </c>
      <c r="BO72" s="4" t="s">
        <v>637</v>
      </c>
    </row>
    <row r="73" spans="1:70">
      <c r="A73" s="4" t="str">
        <f>CONCATENATE(Table43[[#This Row],[Kode BARANG Win2]],Table43[[#This Row],[No. Urut
Item Sama]])</f>
        <v>F40620030100101</v>
      </c>
      <c r="B73" s="7">
        <v>1</v>
      </c>
      <c r="C73" s="4">
        <v>64</v>
      </c>
      <c r="D73" s="27" t="s">
        <v>487</v>
      </c>
      <c r="E73" s="27" t="s">
        <v>628</v>
      </c>
      <c r="F73" s="27" t="s">
        <v>608</v>
      </c>
      <c r="G73" s="27">
        <v>48</v>
      </c>
      <c r="H73" s="54">
        <v>8992946513275</v>
      </c>
      <c r="I73" s="27" t="str">
        <f>Table43[[#This Row],[Nama Jenis Kemasan]]</f>
        <v>BTL</v>
      </c>
      <c r="J73" s="4" t="str">
        <f>TRIM(CONCATENATE(Table43[[#This Row],[Nama            KLP]]," ",Table43[[#This Row],[Nama            Sub KLP]]))</f>
        <v>SHINZUI BODY LATION</v>
      </c>
      <c r="K73" s="4" t="str">
        <f>CONCATENATE(Table43[[#This Row],[kode  2 Digit                (hrf+No)]],Table43[[#This Row],[kode  2 Digit                (Nomor)]],Table43[[#This Row],[kode  1 Digit                (Nomor)]])</f>
        <v>F4062</v>
      </c>
      <c r="L73" s="4" t="str">
        <f>IF(AG73="",CONCATENATE(Q73,S73,U73,W73,Y73,AA73,AC73,AE73,Table43[[#This Row],[Tanda Kode Revisi]]),CONCATENATE(Q73,S73,U73,W73,Y73,AA73,AC73,AG73))</f>
        <v>F4062003010010</v>
      </c>
      <c r="M73" s="11">
        <f t="shared" si="2"/>
        <v>14</v>
      </c>
      <c r="N73" s="14" t="str">
        <f>IF(AF73&lt;&gt;"",TRIM(UPPER(CONCATENATE(P73," ",R73," ",T73," ",V73," ",X73," ",Z73," ","X"," ",Table43[[#This Row],[ISI/CTN]]," ",AF73," ",AB73," ",AD73," ",AH73))),TRIM(UPPER(CONCATENATE(P73," ",R73," ",T73," ",V73," ",X73," ",Z73," ","X"," ",Table43[[#This Row],[ISI/CTN]]," ",AB73," ",AD73," ",AH73))))</f>
        <v>SHINZUI BODY LATION MATSU 100ML X 48 BTL</v>
      </c>
      <c r="O73" s="11">
        <f t="shared" si="3"/>
        <v>40</v>
      </c>
      <c r="Q73" s="7" t="s">
        <v>662</v>
      </c>
      <c r="R73" s="4" t="s">
        <v>680</v>
      </c>
      <c r="S73" s="48" t="s">
        <v>755</v>
      </c>
      <c r="T73" s="49" t="s">
        <v>699</v>
      </c>
      <c r="U73" s="7">
        <v>2</v>
      </c>
      <c r="V73" s="49"/>
      <c r="W73" s="48" t="s">
        <v>370</v>
      </c>
      <c r="X73" s="4" t="s">
        <v>681</v>
      </c>
      <c r="Y73" s="50" t="s">
        <v>752</v>
      </c>
      <c r="Z73" s="4" t="s">
        <v>708</v>
      </c>
      <c r="AA73" s="50" t="s">
        <v>741</v>
      </c>
      <c r="AB73" s="4" t="s">
        <v>705</v>
      </c>
      <c r="AC73" s="7">
        <v>1</v>
      </c>
      <c r="AE73" s="7">
        <v>0</v>
      </c>
      <c r="AI73" s="7" t="s">
        <v>178</v>
      </c>
      <c r="AJ73" s="7">
        <v>2</v>
      </c>
      <c r="AL73" s="38">
        <v>9175.5855855855862</v>
      </c>
      <c r="AM73" s="39">
        <f>Table43[[#This Row],[Harga Beli Pcs
(-PPN)]]*Table43[[#This Row],[ISI/CTN]]</f>
        <v>440428.10810810816</v>
      </c>
      <c r="AN73" s="39">
        <f>Table43[[#This Row],[Harga Beli Pcs
(-PPN)]]*1.11</f>
        <v>10184.900000000001</v>
      </c>
      <c r="AO73" s="39">
        <f>Table43[[#This Row],[Harga Beli Krt
(- PPN)]]*1.11</f>
        <v>488875.20000000013</v>
      </c>
      <c r="AP73" s="39">
        <v>9909.9099099099094</v>
      </c>
      <c r="AQ73" s="39">
        <f>Table43[[#This Row],[Harga Jual Pcs GT
(-PPN)]]*Table43[[#This Row],[ISI/CTN]]</f>
        <v>475675.67567567562</v>
      </c>
      <c r="AR73" s="39">
        <f>Table43[[#This Row],[Harga Jual Pcs GT
(-PPN)]]*1.11</f>
        <v>11000</v>
      </c>
      <c r="AS73" s="39">
        <f>Table43[[#This Row],[Harga Jual Krt GT
(- PPN)]]*1.11</f>
        <v>528000</v>
      </c>
      <c r="AT73" s="39"/>
      <c r="AU73" s="39">
        <f>Table43[[#This Row],[Harga Jual Pcs MT
(-PPN)]]*Table43[[#This Row],[ISI/CTN]]</f>
        <v>0</v>
      </c>
      <c r="AV73" s="39">
        <f>Table43[[#This Row],[Harga Jual Pcs MT
(-PPN)]]*1.11</f>
        <v>0</v>
      </c>
      <c r="AW73" s="39">
        <f>Table43[[#This Row],[Harga Jual Pcs MT
(+PPN)]]*Table43[[#This Row],[ISI/CTN]]</f>
        <v>0</v>
      </c>
      <c r="AX73" s="47">
        <f>IFERROR((Table43[[#This Row],[Harga Jual Pcs GT
(-PPN)]]-Table43[[#This Row],[Harga Beli Pcs
(-PPN)]])/Table43[[#This Row],[Harga Jual Pcs GT
(-PPN)]],0)</f>
        <v>7.4099999999999888E-2</v>
      </c>
      <c r="AY73" s="51">
        <v>45848</v>
      </c>
      <c r="AZ73" s="7"/>
      <c r="BA73" s="7" t="str">
        <f ca="1">IF(TODAY()-Table43[[#This Row],[Efektif
Pembuatan]]&gt;60,"Lama","Baru")</f>
        <v>Lama</v>
      </c>
      <c r="BB73" s="7" t="str">
        <f ca="1">IF(TODAY()-Table43[[#This Row],[Efektif Naik Harga]]&lt;30,"Naik","Sama")</f>
        <v>Sama</v>
      </c>
      <c r="BC73" s="7" t="s">
        <v>185</v>
      </c>
      <c r="BD73" s="7" t="str">
        <f>IF(Table43[[#This Row],[Kode BARANG Win2]]&lt;&gt;"","IDR","")</f>
        <v>IDR</v>
      </c>
      <c r="BE73" s="7" t="str">
        <f>CONCATENATE(Table43[[#This Row],[kode  1 Digit
(Nomor)]],Table43[[#This Row],[kode  4 Digit                (Nomor)]])</f>
        <v>20100</v>
      </c>
      <c r="BF73" s="7" t="str">
        <f>Table43[[#This Row],[Nama            Gramasi atau Jumlah Pack per CTN]]</f>
        <v>100ML</v>
      </c>
      <c r="BG73" s="7" t="s">
        <v>1060</v>
      </c>
      <c r="BH73" s="7" t="s">
        <v>377</v>
      </c>
      <c r="BI73" s="4" t="str">
        <f>IF(Table43[[#This Row],[SATUAN Fix Win]]&lt;&gt;"","KRT")</f>
        <v>KRT</v>
      </c>
      <c r="BJ73" s="4" t="str">
        <f>IF(Table43[[#This Row],[SATUAN Fix Win]]&lt;&gt;"","GD01")</f>
        <v>GD01</v>
      </c>
      <c r="BK73" s="4">
        <f>IF(Table43[[#This Row],[SATUAN Fix Win]]&lt;&gt;"",11611)</f>
        <v>11611</v>
      </c>
      <c r="BL73" s="4">
        <f>IF(Table43[[#This Row],[SATUAN Fix Win]]&lt;&gt;"",11612)</f>
        <v>11612</v>
      </c>
      <c r="BM73" s="52" t="s">
        <v>378</v>
      </c>
      <c r="BN73" s="4">
        <f>IF(Table43[[#This Row],[SATUAN Fix Win]]&lt;&gt;"",1)</f>
        <v>1</v>
      </c>
      <c r="BO73" s="4" t="s">
        <v>637</v>
      </c>
    </row>
    <row r="74" spans="1:70">
      <c r="A74" s="4" t="str">
        <f>CONCATENATE(Table43[[#This Row],[Kode BARANG Win2]],Table43[[#This Row],[No. Urut
Item Sama]])</f>
        <v>F40620030210101</v>
      </c>
      <c r="B74" s="7">
        <v>1</v>
      </c>
      <c r="C74" s="4">
        <v>65</v>
      </c>
      <c r="D74" s="27" t="s">
        <v>488</v>
      </c>
      <c r="E74" s="27" t="s">
        <v>628</v>
      </c>
      <c r="F74" s="27" t="s">
        <v>609</v>
      </c>
      <c r="G74" s="27">
        <v>48</v>
      </c>
      <c r="H74" s="54">
        <v>8992946518805</v>
      </c>
      <c r="I74" s="27" t="str">
        <f>Table43[[#This Row],[Nama Jenis Kemasan]]</f>
        <v>BTL</v>
      </c>
      <c r="J74" s="4" t="str">
        <f>TRIM(CONCATENATE(Table43[[#This Row],[Nama            KLP]]," ",Table43[[#This Row],[Nama            Sub KLP]]))</f>
        <v>SHINZUI BODY LATION</v>
      </c>
      <c r="K74" s="4" t="str">
        <f>CONCATENATE(Table43[[#This Row],[kode  2 Digit                (hrf+No)]],Table43[[#This Row],[kode  2 Digit                (Nomor)]],Table43[[#This Row],[kode  1 Digit                (Nomor)]])</f>
        <v>F4062</v>
      </c>
      <c r="L74" s="4" t="str">
        <f>IF(AG74="",CONCATENATE(Q74,S74,U74,W74,Y74,AA74,AC74,AE74,Table43[[#This Row],[Tanda Kode Revisi]]),CONCATENATE(Q74,S74,U74,W74,Y74,AA74,AC74,AG74))</f>
        <v>F4062003021010</v>
      </c>
      <c r="M74" s="11">
        <f t="shared" si="2"/>
        <v>14</v>
      </c>
      <c r="N74" s="14" t="str">
        <f>IF(AF74&lt;&gt;"",TRIM(UPPER(CONCATENATE(P74," ",R74," ",T74," ",V74," ",X74," ",Z74," ","X"," ",Table43[[#This Row],[ISI/CTN]]," ",AF74," ",AB74," ",AD74," ",AH74))),TRIM(UPPER(CONCATENATE(P74," ",R74," ",T74," ",V74," ",X74," ",Z74," ","X"," ",Table43[[#This Row],[ISI/CTN]]," ",AB74," ",AD74," ",AH74))))</f>
        <v>SHINZUI BODY LATION MATSU 210ML X 48 BTL</v>
      </c>
      <c r="O74" s="11">
        <f t="shared" si="3"/>
        <v>40</v>
      </c>
      <c r="Q74" s="7" t="s">
        <v>662</v>
      </c>
      <c r="R74" s="4" t="s">
        <v>680</v>
      </c>
      <c r="S74" s="48" t="s">
        <v>755</v>
      </c>
      <c r="T74" s="49" t="s">
        <v>699</v>
      </c>
      <c r="U74" s="7">
        <v>2</v>
      </c>
      <c r="V74" s="49"/>
      <c r="W74" s="48" t="s">
        <v>370</v>
      </c>
      <c r="X74" s="4" t="s">
        <v>681</v>
      </c>
      <c r="Y74" s="50" t="s">
        <v>752</v>
      </c>
      <c r="Z74" s="4" t="s">
        <v>709</v>
      </c>
      <c r="AA74" s="50" t="s">
        <v>747</v>
      </c>
      <c r="AB74" s="4" t="s">
        <v>705</v>
      </c>
      <c r="AC74" s="7">
        <v>1</v>
      </c>
      <c r="AE74" s="7">
        <v>0</v>
      </c>
      <c r="AI74" s="7" t="s">
        <v>178</v>
      </c>
      <c r="AJ74" s="7">
        <v>2</v>
      </c>
      <c r="AL74" s="38">
        <v>16682.882882882881</v>
      </c>
      <c r="AM74" s="39">
        <f>Table43[[#This Row],[Harga Beli Pcs
(-PPN)]]*Table43[[#This Row],[ISI/CTN]]</f>
        <v>800778.37837837823</v>
      </c>
      <c r="AN74" s="39">
        <f>Table43[[#This Row],[Harga Beli Pcs
(-PPN)]]*1.11</f>
        <v>18518</v>
      </c>
      <c r="AO74" s="39">
        <f>Table43[[#This Row],[Harga Beli Krt
(- PPN)]]*1.11</f>
        <v>888863.99999999988</v>
      </c>
      <c r="AP74" s="39">
        <v>18018.018018018014</v>
      </c>
      <c r="AQ74" s="39">
        <f>Table43[[#This Row],[Harga Jual Pcs GT
(-PPN)]]*Table43[[#This Row],[ISI/CTN]]</f>
        <v>864864.86486486462</v>
      </c>
      <c r="AR74" s="39">
        <f>Table43[[#This Row],[Harga Jual Pcs GT
(-PPN)]]*1.11</f>
        <v>19999.999999999996</v>
      </c>
      <c r="AS74" s="39">
        <f>Table43[[#This Row],[Harga Jual Krt GT
(- PPN)]]*1.11</f>
        <v>959999.99999999977</v>
      </c>
      <c r="AT74" s="39"/>
      <c r="AU74" s="39">
        <f>Table43[[#This Row],[Harga Jual Pcs MT
(-PPN)]]*Table43[[#This Row],[ISI/CTN]]</f>
        <v>0</v>
      </c>
      <c r="AV74" s="39">
        <f>Table43[[#This Row],[Harga Jual Pcs MT
(-PPN)]]*1.11</f>
        <v>0</v>
      </c>
      <c r="AW74" s="39">
        <f>Table43[[#This Row],[Harga Jual Pcs MT
(+PPN)]]*Table43[[#This Row],[ISI/CTN]]</f>
        <v>0</v>
      </c>
      <c r="AX74" s="47">
        <f>IFERROR((Table43[[#This Row],[Harga Jual Pcs GT
(-PPN)]]-Table43[[#This Row],[Harga Beli Pcs
(-PPN)]])/Table43[[#This Row],[Harga Jual Pcs GT
(-PPN)]],0)</f>
        <v>7.4099999999999902E-2</v>
      </c>
      <c r="AY74" s="51">
        <v>45848</v>
      </c>
      <c r="AZ74" s="7"/>
      <c r="BA74" s="7" t="str">
        <f ca="1">IF(TODAY()-Table43[[#This Row],[Efektif
Pembuatan]]&gt;60,"Lama","Baru")</f>
        <v>Lama</v>
      </c>
      <c r="BB74" s="7" t="str">
        <f ca="1">IF(TODAY()-Table43[[#This Row],[Efektif Naik Harga]]&lt;30,"Naik","Sama")</f>
        <v>Sama</v>
      </c>
      <c r="BC74" s="7" t="s">
        <v>185</v>
      </c>
      <c r="BD74" s="7" t="str">
        <f>IF(Table43[[#This Row],[Kode BARANG Win2]]&lt;&gt;"","IDR","")</f>
        <v>IDR</v>
      </c>
      <c r="BE74" s="7" t="str">
        <f>CONCATENATE(Table43[[#This Row],[kode  1 Digit
(Nomor)]],Table43[[#This Row],[kode  4 Digit                (Nomor)]])</f>
        <v>20210</v>
      </c>
      <c r="BF74" s="7" t="str">
        <f>Table43[[#This Row],[Nama            Gramasi atau Jumlah Pack per CTN]]</f>
        <v>210ML</v>
      </c>
      <c r="BG74" s="7" t="s">
        <v>1060</v>
      </c>
      <c r="BH74" s="7" t="s">
        <v>377</v>
      </c>
      <c r="BI74" s="4" t="str">
        <f>IF(Table43[[#This Row],[SATUAN Fix Win]]&lt;&gt;"","KRT")</f>
        <v>KRT</v>
      </c>
      <c r="BJ74" s="4" t="str">
        <f>IF(Table43[[#This Row],[SATUAN Fix Win]]&lt;&gt;"","GD01")</f>
        <v>GD01</v>
      </c>
      <c r="BK74" s="4">
        <f>IF(Table43[[#This Row],[SATUAN Fix Win]]&lt;&gt;"",11611)</f>
        <v>11611</v>
      </c>
      <c r="BL74" s="4">
        <f>IF(Table43[[#This Row],[SATUAN Fix Win]]&lt;&gt;"",11612)</f>
        <v>11612</v>
      </c>
      <c r="BM74" s="52" t="s">
        <v>378</v>
      </c>
      <c r="BN74" s="4">
        <f>IF(Table43[[#This Row],[SATUAN Fix Win]]&lt;&gt;"",1)</f>
        <v>1</v>
      </c>
      <c r="BO74" s="4" t="s">
        <v>637</v>
      </c>
    </row>
    <row r="75" spans="1:70">
      <c r="A75" s="4" t="str">
        <f>CONCATENATE(Table43[[#This Row],[Kode BARANG Win2]],Table43[[#This Row],[No. Urut
Item Sama]])</f>
        <v>F40620040100101</v>
      </c>
      <c r="B75" s="7">
        <v>1</v>
      </c>
      <c r="C75" s="4">
        <v>66</v>
      </c>
      <c r="D75" s="27" t="s">
        <v>493</v>
      </c>
      <c r="E75" s="27" t="s">
        <v>628</v>
      </c>
      <c r="F75" s="27" t="s">
        <v>614</v>
      </c>
      <c r="G75" s="27">
        <v>48</v>
      </c>
      <c r="H75" s="54">
        <v>8992946522301</v>
      </c>
      <c r="I75" s="27" t="str">
        <f>Table43[[#This Row],[Nama Jenis Kemasan]]</f>
        <v>BTL</v>
      </c>
      <c r="J75" s="4" t="str">
        <f>TRIM(CONCATENATE(Table43[[#This Row],[Nama            KLP]]," ",Table43[[#This Row],[Nama            Sub KLP]]))</f>
        <v>SHINZUI BODY LATION</v>
      </c>
      <c r="K75" s="4" t="str">
        <f>CONCATENATE(Table43[[#This Row],[kode  2 Digit                (hrf+No)]],Table43[[#This Row],[kode  2 Digit                (Nomor)]],Table43[[#This Row],[kode  1 Digit                (Nomor)]])</f>
        <v>F4062</v>
      </c>
      <c r="L75" s="4" t="str">
        <f>IF(AG75="",CONCATENATE(Q75,S75,U75,W75,Y75,AA75,AC75,AE75,Table43[[#This Row],[Tanda Kode Revisi]]),CONCATENATE(Q75,S75,U75,W75,Y75,AA75,AC75,AG75))</f>
        <v>F4062004010010</v>
      </c>
      <c r="M75" s="11">
        <f t="shared" si="2"/>
        <v>14</v>
      </c>
      <c r="N75" s="14" t="str">
        <f>IF(AF75&lt;&gt;"",TRIM(UPPER(CONCATENATE(P75," ",R75," ",T75," ",V75," ",X75," ",Z75," ","X"," ",Table43[[#This Row],[ISI/CTN]]," ",AF75," ",AB75," ",AD75," ",AH75))),TRIM(UPPER(CONCATENATE(P75," ",R75," ",T75," ",V75," ",X75," ",Z75," ","X"," ",Table43[[#This Row],[ISI/CTN]]," ",AB75," ",AD75," ",AH75))))</f>
        <v>SHINZUI BODY LATION SAKURA 100ML X 48 BTL</v>
      </c>
      <c r="O75" s="11">
        <f t="shared" si="3"/>
        <v>41</v>
      </c>
      <c r="Q75" s="7" t="s">
        <v>662</v>
      </c>
      <c r="R75" s="4" t="s">
        <v>680</v>
      </c>
      <c r="S75" s="48" t="s">
        <v>755</v>
      </c>
      <c r="T75" s="49" t="s">
        <v>699</v>
      </c>
      <c r="U75" s="7">
        <v>2</v>
      </c>
      <c r="V75" s="49"/>
      <c r="W75" s="48" t="s">
        <v>370</v>
      </c>
      <c r="X75" s="4" t="s">
        <v>693</v>
      </c>
      <c r="Y75" s="50" t="s">
        <v>753</v>
      </c>
      <c r="Z75" s="4" t="s">
        <v>708</v>
      </c>
      <c r="AA75" s="50" t="s">
        <v>741</v>
      </c>
      <c r="AB75" s="4" t="s">
        <v>705</v>
      </c>
      <c r="AC75" s="7">
        <v>1</v>
      </c>
      <c r="AE75" s="7">
        <v>0</v>
      </c>
      <c r="AI75" s="7" t="s">
        <v>178</v>
      </c>
      <c r="AJ75" s="7">
        <v>2</v>
      </c>
      <c r="AL75" s="38">
        <v>9175.5855855855862</v>
      </c>
      <c r="AM75" s="39">
        <f>Table43[[#This Row],[Harga Beli Pcs
(-PPN)]]*Table43[[#This Row],[ISI/CTN]]</f>
        <v>440428.10810810816</v>
      </c>
      <c r="AN75" s="39">
        <f>Table43[[#This Row],[Harga Beli Pcs
(-PPN)]]*1.11</f>
        <v>10184.900000000001</v>
      </c>
      <c r="AO75" s="39">
        <f>Table43[[#This Row],[Harga Beli Krt
(- PPN)]]*1.11</f>
        <v>488875.20000000013</v>
      </c>
      <c r="AP75" s="39">
        <v>9909.9099099099094</v>
      </c>
      <c r="AQ75" s="39">
        <f>Table43[[#This Row],[Harga Jual Pcs GT
(-PPN)]]*Table43[[#This Row],[ISI/CTN]]</f>
        <v>475675.67567567562</v>
      </c>
      <c r="AR75" s="39">
        <f>Table43[[#This Row],[Harga Jual Pcs GT
(-PPN)]]*1.11</f>
        <v>11000</v>
      </c>
      <c r="AS75" s="39">
        <f>Table43[[#This Row],[Harga Jual Krt GT
(- PPN)]]*1.11</f>
        <v>528000</v>
      </c>
      <c r="AT75" s="39"/>
      <c r="AU75" s="39">
        <f>Table43[[#This Row],[Harga Jual Pcs MT
(-PPN)]]*Table43[[#This Row],[ISI/CTN]]</f>
        <v>0</v>
      </c>
      <c r="AV75" s="39">
        <f>Table43[[#This Row],[Harga Jual Pcs MT
(-PPN)]]*1.11</f>
        <v>0</v>
      </c>
      <c r="AW75" s="39">
        <f>Table43[[#This Row],[Harga Jual Pcs MT
(+PPN)]]*Table43[[#This Row],[ISI/CTN]]</f>
        <v>0</v>
      </c>
      <c r="AX75" s="47">
        <f>IFERROR((Table43[[#This Row],[Harga Jual Pcs GT
(-PPN)]]-Table43[[#This Row],[Harga Beli Pcs
(-PPN)]])/Table43[[#This Row],[Harga Jual Pcs GT
(-PPN)]],0)</f>
        <v>7.4099999999999888E-2</v>
      </c>
      <c r="AY75" s="51">
        <v>45848</v>
      </c>
      <c r="AZ75" s="7"/>
      <c r="BA75" s="7" t="str">
        <f ca="1">IF(TODAY()-Table43[[#This Row],[Efektif
Pembuatan]]&gt;60,"Lama","Baru")</f>
        <v>Lama</v>
      </c>
      <c r="BB75" s="7" t="str">
        <f ca="1">IF(TODAY()-Table43[[#This Row],[Efektif Naik Harga]]&lt;30,"Naik","Sama")</f>
        <v>Sama</v>
      </c>
      <c r="BC75" s="7" t="s">
        <v>185</v>
      </c>
      <c r="BD75" s="7" t="str">
        <f>IF(Table43[[#This Row],[Kode BARANG Win2]]&lt;&gt;"","IDR","")</f>
        <v>IDR</v>
      </c>
      <c r="BE75" s="7" t="str">
        <f>CONCATENATE(Table43[[#This Row],[kode  1 Digit
(Nomor)]],Table43[[#This Row],[kode  4 Digit                (Nomor)]])</f>
        <v>20100</v>
      </c>
      <c r="BF75" s="7" t="str">
        <f>Table43[[#This Row],[Nama            Gramasi atau Jumlah Pack per CTN]]</f>
        <v>100ML</v>
      </c>
      <c r="BG75" s="7" t="s">
        <v>1060</v>
      </c>
      <c r="BH75" s="7" t="s">
        <v>377</v>
      </c>
      <c r="BI75" s="4" t="str">
        <f>IF(Table43[[#This Row],[SATUAN Fix Win]]&lt;&gt;"","KRT")</f>
        <v>KRT</v>
      </c>
      <c r="BJ75" s="4" t="str">
        <f>IF(Table43[[#This Row],[SATUAN Fix Win]]&lt;&gt;"","GD01")</f>
        <v>GD01</v>
      </c>
      <c r="BK75" s="4">
        <f>IF(Table43[[#This Row],[SATUAN Fix Win]]&lt;&gt;"",11611)</f>
        <v>11611</v>
      </c>
      <c r="BL75" s="4">
        <f>IF(Table43[[#This Row],[SATUAN Fix Win]]&lt;&gt;"",11612)</f>
        <v>11612</v>
      </c>
      <c r="BM75" s="52" t="s">
        <v>378</v>
      </c>
      <c r="BN75" s="4">
        <f>IF(Table43[[#This Row],[SATUAN Fix Win]]&lt;&gt;"",1)</f>
        <v>1</v>
      </c>
      <c r="BO75" s="4" t="s">
        <v>637</v>
      </c>
    </row>
    <row r="76" spans="1:70">
      <c r="A76" s="4" t="str">
        <f>CONCATENATE(Table43[[#This Row],[Kode BARANG Win2]],Table43[[#This Row],[No. Urut
Item Sama]])</f>
        <v>F40620040210101</v>
      </c>
      <c r="B76" s="7">
        <v>1</v>
      </c>
      <c r="C76" s="4">
        <v>67</v>
      </c>
      <c r="D76" s="27" t="s">
        <v>494</v>
      </c>
      <c r="E76" s="27" t="s">
        <v>628</v>
      </c>
      <c r="F76" s="27" t="s">
        <v>615</v>
      </c>
      <c r="G76" s="27">
        <v>48</v>
      </c>
      <c r="H76" s="54">
        <v>8992946522331</v>
      </c>
      <c r="I76" s="27" t="str">
        <f>Table43[[#This Row],[Nama Jenis Kemasan]]</f>
        <v>BTL</v>
      </c>
      <c r="J76" s="4" t="str">
        <f>TRIM(CONCATENATE(Table43[[#This Row],[Nama            KLP]]," ",Table43[[#This Row],[Nama            Sub KLP]]))</f>
        <v>SHINZUI BODY LATION</v>
      </c>
      <c r="K76" s="4" t="str">
        <f>CONCATENATE(Table43[[#This Row],[kode  2 Digit                (hrf+No)]],Table43[[#This Row],[kode  2 Digit                (Nomor)]],Table43[[#This Row],[kode  1 Digit                (Nomor)]])</f>
        <v>F4062</v>
      </c>
      <c r="L76" s="4" t="str">
        <f>IF(AG76="",CONCATENATE(Q76,S76,U76,W76,Y76,AA76,AC76,AE76,Table43[[#This Row],[Tanda Kode Revisi]]),CONCATENATE(Q76,S76,U76,W76,Y76,AA76,AC76,AG76))</f>
        <v>F4062004021010</v>
      </c>
      <c r="M76" s="11">
        <f t="shared" si="2"/>
        <v>14</v>
      </c>
      <c r="N76" s="14" t="str">
        <f>IF(AF76&lt;&gt;"",TRIM(UPPER(CONCATENATE(P76," ",R76," ",T76," ",V76," ",X76," ",Z76," ","X"," ",Table43[[#This Row],[ISI/CTN]]," ",AF76," ",AB76," ",AD76," ",AH76))),TRIM(UPPER(CONCATENATE(P76," ",R76," ",T76," ",V76," ",X76," ",Z76," ","X"," ",Table43[[#This Row],[ISI/CTN]]," ",AB76," ",AD76," ",AH76))))</f>
        <v>SHINZUI BODY LATION SAKURA 210ML X 48 BTL</v>
      </c>
      <c r="O76" s="11">
        <f t="shared" si="3"/>
        <v>41</v>
      </c>
      <c r="Q76" s="7" t="s">
        <v>662</v>
      </c>
      <c r="R76" s="4" t="s">
        <v>680</v>
      </c>
      <c r="S76" s="48" t="s">
        <v>755</v>
      </c>
      <c r="T76" s="49" t="s">
        <v>699</v>
      </c>
      <c r="U76" s="7">
        <v>2</v>
      </c>
      <c r="V76" s="49"/>
      <c r="W76" s="48" t="s">
        <v>370</v>
      </c>
      <c r="X76" s="4" t="s">
        <v>693</v>
      </c>
      <c r="Y76" s="50" t="s">
        <v>753</v>
      </c>
      <c r="Z76" s="4" t="s">
        <v>709</v>
      </c>
      <c r="AA76" s="50" t="s">
        <v>747</v>
      </c>
      <c r="AB76" s="4" t="s">
        <v>705</v>
      </c>
      <c r="AC76" s="7">
        <v>1</v>
      </c>
      <c r="AE76" s="7">
        <v>0</v>
      </c>
      <c r="AI76" s="7" t="s">
        <v>178</v>
      </c>
      <c r="AJ76" s="7">
        <v>2</v>
      </c>
      <c r="AL76" s="38">
        <v>16682.882882882881</v>
      </c>
      <c r="AM76" s="39">
        <f>Table43[[#This Row],[Harga Beli Pcs
(-PPN)]]*Table43[[#This Row],[ISI/CTN]]</f>
        <v>800778.37837837823</v>
      </c>
      <c r="AN76" s="39">
        <f>Table43[[#This Row],[Harga Beli Pcs
(-PPN)]]*1.11</f>
        <v>18518</v>
      </c>
      <c r="AO76" s="39">
        <f>Table43[[#This Row],[Harga Beli Krt
(- PPN)]]*1.11</f>
        <v>888863.99999999988</v>
      </c>
      <c r="AP76" s="39">
        <v>18018.018018018014</v>
      </c>
      <c r="AQ76" s="39">
        <f>Table43[[#This Row],[Harga Jual Pcs GT
(-PPN)]]*Table43[[#This Row],[ISI/CTN]]</f>
        <v>864864.86486486462</v>
      </c>
      <c r="AR76" s="39">
        <f>Table43[[#This Row],[Harga Jual Pcs GT
(-PPN)]]*1.11</f>
        <v>19999.999999999996</v>
      </c>
      <c r="AS76" s="39">
        <f>Table43[[#This Row],[Harga Jual Krt GT
(- PPN)]]*1.11</f>
        <v>959999.99999999977</v>
      </c>
      <c r="AT76" s="39"/>
      <c r="AU76" s="39">
        <f>Table43[[#This Row],[Harga Jual Pcs MT
(-PPN)]]*Table43[[#This Row],[ISI/CTN]]</f>
        <v>0</v>
      </c>
      <c r="AV76" s="39">
        <f>Table43[[#This Row],[Harga Jual Pcs MT
(-PPN)]]*1.11</f>
        <v>0</v>
      </c>
      <c r="AW76" s="39">
        <f>Table43[[#This Row],[Harga Jual Pcs MT
(+PPN)]]*Table43[[#This Row],[ISI/CTN]]</f>
        <v>0</v>
      </c>
      <c r="AX76" s="47">
        <f>IFERROR((Table43[[#This Row],[Harga Jual Pcs GT
(-PPN)]]-Table43[[#This Row],[Harga Beli Pcs
(-PPN)]])/Table43[[#This Row],[Harga Jual Pcs GT
(-PPN)]],0)</f>
        <v>7.4099999999999902E-2</v>
      </c>
      <c r="AY76" s="51">
        <v>45848</v>
      </c>
      <c r="AZ76" s="7"/>
      <c r="BA76" s="7" t="str">
        <f ca="1">IF(TODAY()-Table43[[#This Row],[Efektif
Pembuatan]]&gt;60,"Lama","Baru")</f>
        <v>Lama</v>
      </c>
      <c r="BB76" s="7" t="str">
        <f ca="1">IF(TODAY()-Table43[[#This Row],[Efektif Naik Harga]]&lt;30,"Naik","Sama")</f>
        <v>Sama</v>
      </c>
      <c r="BC76" s="7" t="s">
        <v>185</v>
      </c>
      <c r="BD76" s="7" t="str">
        <f>IF(Table43[[#This Row],[Kode BARANG Win2]]&lt;&gt;"","IDR","")</f>
        <v>IDR</v>
      </c>
      <c r="BE76" s="7" t="str">
        <f>CONCATENATE(Table43[[#This Row],[kode  1 Digit
(Nomor)]],Table43[[#This Row],[kode  4 Digit                (Nomor)]])</f>
        <v>20210</v>
      </c>
      <c r="BF76" s="7" t="str">
        <f>Table43[[#This Row],[Nama            Gramasi atau Jumlah Pack per CTN]]</f>
        <v>210ML</v>
      </c>
      <c r="BG76" s="7" t="s">
        <v>1060</v>
      </c>
      <c r="BH76" s="7" t="s">
        <v>377</v>
      </c>
      <c r="BI76" s="4" t="str">
        <f>IF(Table43[[#This Row],[SATUAN Fix Win]]&lt;&gt;"","KRT")</f>
        <v>KRT</v>
      </c>
      <c r="BJ76" s="4" t="str">
        <f>IF(Table43[[#This Row],[SATUAN Fix Win]]&lt;&gt;"","GD01")</f>
        <v>GD01</v>
      </c>
      <c r="BK76" s="4">
        <f>IF(Table43[[#This Row],[SATUAN Fix Win]]&lt;&gt;"",11611)</f>
        <v>11611</v>
      </c>
      <c r="BL76" s="4">
        <f>IF(Table43[[#This Row],[SATUAN Fix Win]]&lt;&gt;"",11612)</f>
        <v>11612</v>
      </c>
      <c r="BM76" s="52" t="s">
        <v>378</v>
      </c>
      <c r="BN76" s="4">
        <f>IF(Table43[[#This Row],[SATUAN Fix Win]]&lt;&gt;"",1)</f>
        <v>1</v>
      </c>
      <c r="BO76" s="4" t="s">
        <v>637</v>
      </c>
    </row>
    <row r="77" spans="1:70" s="126" customFormat="1">
      <c r="A77" s="111" t="str">
        <f>CONCATENATE(Table43[[#This Row],[Kode BARANG Win2]],Table43[[#This Row],[No. Urut
Item Sama]])</f>
        <v>F40620050210101</v>
      </c>
      <c r="B77" s="112">
        <v>1</v>
      </c>
      <c r="C77" s="111"/>
      <c r="D77" s="128" t="s">
        <v>1283</v>
      </c>
      <c r="E77" s="113" t="s">
        <v>628</v>
      </c>
      <c r="F77" s="113" t="s">
        <v>1282</v>
      </c>
      <c r="G77" s="113">
        <v>48</v>
      </c>
      <c r="H77" s="127"/>
      <c r="I77" s="113" t="str">
        <f>Table43[[#This Row],[Nama Jenis Kemasan]]</f>
        <v>BTL</v>
      </c>
      <c r="J77" s="111" t="str">
        <f>TRIM(CONCATENATE(Table43[[#This Row],[Nama            KLP]]," ",Table43[[#This Row],[Nama            Sub KLP]]))</f>
        <v>SHINZUI BODY LATION</v>
      </c>
      <c r="K77" s="111" t="str">
        <f>CONCATENATE(Table43[[#This Row],[kode  2 Digit                (hrf+No)]],Table43[[#This Row],[kode  2 Digit                (Nomor)]],Table43[[#This Row],[kode  1 Digit                (Nomor)]])</f>
        <v>F4062</v>
      </c>
      <c r="L77" s="111" t="str">
        <f>IF(AG77="",CONCATENATE(Q77,S77,U77,W77,Y77,AA77,AC77,AE77,Table43[[#This Row],[Tanda Kode Revisi]]),CONCATENATE(Q77,S77,U77,W77,Y77,AA77,AC77,AG77))</f>
        <v>F4062005021010</v>
      </c>
      <c r="M77" s="116">
        <f>LEN(L77)</f>
        <v>14</v>
      </c>
      <c r="N77" s="117" t="str">
        <f>IF(AF77&lt;&gt;"",TRIM(UPPER(CONCATENATE(P77," ",R77," ",T77," ",V77," ",X77," ",Z77," ","X"," ",Table43[[#This Row],[ISI/CTN]]," ",AF77," ",AB77," ",AD77," ",AH77))),TRIM(UPPER(CONCATENATE(P77," ",R77," ",T77," ",V77," ",X77," ",Z77," ","X"," ",Table43[[#This Row],[ISI/CTN]]," ",AB77," ",AD77," ",AH77))))</f>
        <v>SHINZUI BODY LATION MYORI 210ML X 48 BTL</v>
      </c>
      <c r="O77" s="116">
        <f>LEN(N77)</f>
        <v>40</v>
      </c>
      <c r="P77" s="111"/>
      <c r="Q77" s="112" t="s">
        <v>662</v>
      </c>
      <c r="R77" s="111" t="s">
        <v>680</v>
      </c>
      <c r="S77" s="118" t="s">
        <v>755</v>
      </c>
      <c r="T77" s="119" t="s">
        <v>699</v>
      </c>
      <c r="U77" s="112">
        <v>2</v>
      </c>
      <c r="V77" s="119"/>
      <c r="W77" s="118" t="s">
        <v>370</v>
      </c>
      <c r="X77" s="111" t="s">
        <v>692</v>
      </c>
      <c r="Y77" s="120" t="s">
        <v>754</v>
      </c>
      <c r="Z77" s="111" t="s">
        <v>709</v>
      </c>
      <c r="AA77" s="120" t="s">
        <v>747</v>
      </c>
      <c r="AB77" s="111" t="s">
        <v>705</v>
      </c>
      <c r="AC77" s="112">
        <v>1</v>
      </c>
      <c r="AD77" s="111"/>
      <c r="AE77" s="112">
        <v>0</v>
      </c>
      <c r="AF77" s="112"/>
      <c r="AG77" s="112"/>
      <c r="AH77" s="112"/>
      <c r="AI77" s="112" t="s">
        <v>178</v>
      </c>
      <c r="AJ77" s="112">
        <v>2</v>
      </c>
      <c r="AK77" s="112"/>
      <c r="AL77" s="121">
        <v>16682.882882882881</v>
      </c>
      <c r="AM77" s="122">
        <f>Table43[[#This Row],[Harga Beli Pcs
(-PPN)]]*Table43[[#This Row],[ISI/CTN]]</f>
        <v>800778.37837837823</v>
      </c>
      <c r="AN77" s="122">
        <f>Table43[[#This Row],[Harga Beli Pcs
(-PPN)]]*1.11</f>
        <v>18518</v>
      </c>
      <c r="AO77" s="122">
        <f>Table43[[#This Row],[Harga Beli Krt
(- PPN)]]*1.11</f>
        <v>888863.99999999988</v>
      </c>
      <c r="AP77" s="122">
        <v>18018.018018018014</v>
      </c>
      <c r="AQ77" s="122">
        <f>Table43[[#This Row],[Harga Jual Pcs GT
(-PPN)]]*Table43[[#This Row],[ISI/CTN]]</f>
        <v>864864.86486486462</v>
      </c>
      <c r="AR77" s="122">
        <f>Table43[[#This Row],[Harga Jual Pcs GT
(-PPN)]]*1.11</f>
        <v>19999.999999999996</v>
      </c>
      <c r="AS77" s="122">
        <f>Table43[[#This Row],[Harga Jual Krt GT
(- PPN)]]*1.11</f>
        <v>959999.99999999977</v>
      </c>
      <c r="AT77" s="122"/>
      <c r="AU77" s="122">
        <f>Table43[[#This Row],[Harga Jual Pcs MT
(-PPN)]]*Table43[[#This Row],[ISI/CTN]]</f>
        <v>0</v>
      </c>
      <c r="AV77" s="122">
        <f>Table43[[#This Row],[Harga Jual Pcs MT
(-PPN)]]*1.11</f>
        <v>0</v>
      </c>
      <c r="AW77" s="122">
        <f>Table43[[#This Row],[Harga Jual Pcs MT
(+PPN)]]*Table43[[#This Row],[ISI/CTN]]</f>
        <v>0</v>
      </c>
      <c r="AX77" s="123">
        <f>IFERROR((Table43[[#This Row],[Harga Jual Pcs GT
(-PPN)]]-Table43[[#This Row],[Harga Beli Pcs
(-PPN)]])/Table43[[#This Row],[Harga Jual Pcs GT
(-PPN)]],0)</f>
        <v>7.4099999999999902E-2</v>
      </c>
      <c r="AY77" s="124"/>
      <c r="AZ77" s="112"/>
      <c r="BA77" s="112" t="str">
        <f ca="1">IF(TODAY()-Table43[[#This Row],[Efektif
Pembuatan]]&gt;60,"Lama","Baru")</f>
        <v>Lama</v>
      </c>
      <c r="BB77" s="112" t="str">
        <f ca="1">IF(TODAY()-Table43[[#This Row],[Efektif Naik Harga]]&lt;30,"Naik","Sama")</f>
        <v>Sama</v>
      </c>
      <c r="BC77" s="112"/>
      <c r="BD77" s="112" t="str">
        <f>IF(Table43[[#This Row],[Kode BARANG Win2]]&lt;&gt;"","IDR","")</f>
        <v>IDR</v>
      </c>
      <c r="BE77" s="112" t="str">
        <f>CONCATENATE(Table43[[#This Row],[kode  1 Digit
(Nomor)]],Table43[[#This Row],[kode  4 Digit                (Nomor)]])</f>
        <v>20210</v>
      </c>
      <c r="BF77" s="112" t="str">
        <f>Table43[[#This Row],[Nama            Gramasi atau Jumlah Pack per CTN]]</f>
        <v>210ML</v>
      </c>
      <c r="BG77" s="112"/>
      <c r="BH77" s="112"/>
      <c r="BI77" s="111" t="str">
        <f>IF(Table43[[#This Row],[SATUAN Fix Win]]&lt;&gt;"","KRT")</f>
        <v>KRT</v>
      </c>
      <c r="BJ77" s="111" t="str">
        <f>IF(Table43[[#This Row],[SATUAN Fix Win]]&lt;&gt;"","GD01")</f>
        <v>GD01</v>
      </c>
      <c r="BK77" s="111">
        <f>IF(Table43[[#This Row],[SATUAN Fix Win]]&lt;&gt;"",11611)</f>
        <v>11611</v>
      </c>
      <c r="BL77" s="111">
        <f>IF(Table43[[#This Row],[SATUAN Fix Win]]&lt;&gt;"",11612)</f>
        <v>11612</v>
      </c>
      <c r="BM77" s="125"/>
      <c r="BN77" s="111">
        <f>IF(Table43[[#This Row],[SATUAN Fix Win]]&lt;&gt;"",1)</f>
        <v>1</v>
      </c>
      <c r="BO77" s="111"/>
      <c r="BP77" s="111"/>
      <c r="BQ77" s="111"/>
      <c r="BR77" s="111"/>
    </row>
    <row r="78" spans="1:70" s="126" customFormat="1">
      <c r="A78" s="4" t="str">
        <f>CONCATENATE(Table43[[#This Row],[Kode BARANG Win2]],Table43[[#This Row],[No. Urut
Item Sama]])</f>
        <v>F4062005010010</v>
      </c>
      <c r="B78" s="7"/>
      <c r="C78" s="4"/>
      <c r="D78" s="73" t="s">
        <v>1310</v>
      </c>
      <c r="E78" s="113" t="s">
        <v>628</v>
      </c>
      <c r="F78" s="113" t="s">
        <v>1311</v>
      </c>
      <c r="G78" s="113">
        <v>48</v>
      </c>
      <c r="H78" s="54"/>
      <c r="I78" s="27" t="str">
        <f>Table43[[#This Row],[Nama Jenis Kemasan]]</f>
        <v>BTL</v>
      </c>
      <c r="J78" s="4" t="str">
        <f>TRIM(CONCATENATE(Table43[[#This Row],[Nama            KLP]]," ",Table43[[#This Row],[Nama            Sub KLP]]))</f>
        <v>SHINZUI BODY LATION</v>
      </c>
      <c r="K78" s="4" t="str">
        <f>CONCATENATE(Table43[[#This Row],[kode  2 Digit                (hrf+No)]],Table43[[#This Row],[kode  2 Digit                (Nomor)]],Table43[[#This Row],[kode  1 Digit                (Nomor)]])</f>
        <v>F4062</v>
      </c>
      <c r="L78" s="4" t="str">
        <f>IF(AG78="",CONCATENATE(Q78,S78,U78,W78,Y78,AA78,AC78,AE78,Table43[[#This Row],[Tanda Kode Revisi]]),CONCATENATE(Q78,S78,U78,W78,Y78,AA78,AC78,AG78))</f>
        <v>F4062005010010</v>
      </c>
      <c r="M78" s="11">
        <f>LEN(L78)</f>
        <v>14</v>
      </c>
      <c r="N78" s="14" t="str">
        <f>IF(AF78&lt;&gt;"",TRIM(UPPER(CONCATENATE(P78," ",R78," ",T78," ",V78," ",X78," ",Z78," ","X"," ",Table43[[#This Row],[ISI/CTN]]," ",AF78," ",AB78," ",AD78," ",AH78))),TRIM(UPPER(CONCATENATE(P78," ",R78," ",T78," ",V78," ",X78," ",Z78," ","X"," ",Table43[[#This Row],[ISI/CTN]]," ",AB78," ",AD78," ",AH78))))</f>
        <v>SHINZUI BODY LATION MYORI 100ML X 48 BTL</v>
      </c>
      <c r="O78" s="11">
        <f>LEN(N78)</f>
        <v>40</v>
      </c>
      <c r="P78" s="4"/>
      <c r="Q78" s="7" t="s">
        <v>662</v>
      </c>
      <c r="R78" s="4" t="s">
        <v>680</v>
      </c>
      <c r="S78" s="48" t="s">
        <v>755</v>
      </c>
      <c r="T78" s="49" t="s">
        <v>699</v>
      </c>
      <c r="U78" s="7">
        <v>2</v>
      </c>
      <c r="V78" s="49"/>
      <c r="W78" s="48" t="s">
        <v>370</v>
      </c>
      <c r="X78" s="4" t="s">
        <v>692</v>
      </c>
      <c r="Y78" s="50" t="s">
        <v>754</v>
      </c>
      <c r="Z78" s="4" t="s">
        <v>708</v>
      </c>
      <c r="AA78" s="50" t="s">
        <v>741</v>
      </c>
      <c r="AB78" s="4" t="s">
        <v>705</v>
      </c>
      <c r="AC78" s="7">
        <v>1</v>
      </c>
      <c r="AD78" s="4"/>
      <c r="AE78" s="7">
        <v>0</v>
      </c>
      <c r="AF78" s="7"/>
      <c r="AG78" s="7"/>
      <c r="AH78" s="7"/>
      <c r="AI78" s="7" t="s">
        <v>178</v>
      </c>
      <c r="AJ78" s="7">
        <v>2</v>
      </c>
      <c r="AK78" s="7"/>
      <c r="AL78" s="38">
        <v>9175.5855855855862</v>
      </c>
      <c r="AM78" s="39">
        <f>Table43[[#This Row],[Harga Beli Pcs
(-PPN)]]*Table43[[#This Row],[ISI/CTN]]</f>
        <v>440428.10810810816</v>
      </c>
      <c r="AN78" s="39">
        <f>Table43[[#This Row],[Harga Beli Pcs
(-PPN)]]*1.11</f>
        <v>10184.900000000001</v>
      </c>
      <c r="AO78" s="39">
        <f>Table43[[#This Row],[Harga Beli Krt
(- PPN)]]*1.11</f>
        <v>488875.20000000013</v>
      </c>
      <c r="AP78" s="39">
        <v>9909.9099099099094</v>
      </c>
      <c r="AQ78" s="39">
        <f>Table43[[#This Row],[Harga Jual Pcs GT
(-PPN)]]*Table43[[#This Row],[ISI/CTN]]</f>
        <v>475675.67567567562</v>
      </c>
      <c r="AR78" s="39">
        <f>Table43[[#This Row],[Harga Jual Pcs GT
(-PPN)]]*1.11</f>
        <v>11000</v>
      </c>
      <c r="AS78" s="39">
        <f>Table43[[#This Row],[Harga Jual Krt GT
(- PPN)]]*1.11</f>
        <v>528000</v>
      </c>
      <c r="AT78" s="39"/>
      <c r="AU78" s="39">
        <f>Table43[[#This Row],[Harga Jual Pcs MT
(-PPN)]]*Table43[[#This Row],[ISI/CTN]]</f>
        <v>0</v>
      </c>
      <c r="AV78" s="39">
        <f>Table43[[#This Row],[Harga Jual Pcs MT
(-PPN)]]*1.11</f>
        <v>0</v>
      </c>
      <c r="AW78" s="39">
        <f>Table43[[#This Row],[Harga Jual Pcs MT
(+PPN)]]*Table43[[#This Row],[ISI/CTN]]</f>
        <v>0</v>
      </c>
      <c r="AX78" s="47">
        <f>IFERROR((Table43[[#This Row],[Harga Jual Pcs GT
(-PPN)]]-Table43[[#This Row],[Harga Beli Pcs
(-PPN)]])/Table43[[#This Row],[Harga Jual Pcs GT
(-PPN)]],0)</f>
        <v>7.4099999999999888E-2</v>
      </c>
      <c r="AY78" s="51"/>
      <c r="AZ78" s="7"/>
      <c r="BA78" s="7" t="str">
        <f ca="1">IF(TODAY()-Table43[[#This Row],[Efektif
Pembuatan]]&gt;60,"Lama","Baru")</f>
        <v>Lama</v>
      </c>
      <c r="BB78" s="7" t="str">
        <f ca="1">IF(TODAY()-Table43[[#This Row],[Efektif Naik Harga]]&lt;30,"Naik","Sama")</f>
        <v>Sama</v>
      </c>
      <c r="BC78" s="7"/>
      <c r="BD78" s="7" t="str">
        <f>IF(Table43[[#This Row],[Kode BARANG Win2]]&lt;&gt;"","IDR","")</f>
        <v>IDR</v>
      </c>
      <c r="BE78" s="7" t="str">
        <f>CONCATENATE(Table43[[#This Row],[kode  1 Digit
(Nomor)]],Table43[[#This Row],[kode  4 Digit                (Nomor)]])</f>
        <v>20100</v>
      </c>
      <c r="BF78" s="7" t="str">
        <f>Table43[[#This Row],[Nama            Gramasi atau Jumlah Pack per CTN]]</f>
        <v>100ML</v>
      </c>
      <c r="BG78" s="7"/>
      <c r="BH78" s="7"/>
      <c r="BI78" s="4" t="str">
        <f>IF(Table43[[#This Row],[SATUAN Fix Win]]&lt;&gt;"","KRT")</f>
        <v>KRT</v>
      </c>
      <c r="BJ78" s="4" t="str">
        <f>IF(Table43[[#This Row],[SATUAN Fix Win]]&lt;&gt;"","GD01")</f>
        <v>GD01</v>
      </c>
      <c r="BK78" s="4">
        <f>IF(Table43[[#This Row],[SATUAN Fix Win]]&lt;&gt;"",11611)</f>
        <v>11611</v>
      </c>
      <c r="BL78" s="4">
        <f>IF(Table43[[#This Row],[SATUAN Fix Win]]&lt;&gt;"",11612)</f>
        <v>11612</v>
      </c>
      <c r="BM78" s="52"/>
      <c r="BN78" s="4">
        <f>IF(Table43[[#This Row],[SATUAN Fix Win]]&lt;&gt;"",1)</f>
        <v>1</v>
      </c>
      <c r="BO78" s="4"/>
      <c r="BP78" s="111"/>
      <c r="BQ78" s="111"/>
      <c r="BR78" s="111"/>
    </row>
    <row r="79" spans="1:70">
      <c r="A79" s="4" t="str">
        <f>CONCATENATE(Table43[[#This Row],[Kode BARANG Win2]],Table43[[#This Row],[No. Urut
Item Sama]])</f>
        <v>F40630010110101</v>
      </c>
      <c r="B79" s="7">
        <v>1</v>
      </c>
      <c r="C79" s="4">
        <v>68</v>
      </c>
      <c r="D79" s="27" t="s">
        <v>472</v>
      </c>
      <c r="E79" s="27" t="s">
        <v>628</v>
      </c>
      <c r="F79" s="27" t="s">
        <v>593</v>
      </c>
      <c r="G79" s="27">
        <v>48</v>
      </c>
      <c r="H79" s="54">
        <v>8992946522178</v>
      </c>
      <c r="I79" s="27" t="str">
        <f>Table43[[#This Row],[Nama Jenis Kemasan]]</f>
        <v>JAR</v>
      </c>
      <c r="J79" s="4" t="str">
        <f>TRIM(CONCATENATE(Table43[[#This Row],[Nama            KLP]]," ",Table43[[#This Row],[Nama            Sub KLP]]))</f>
        <v>SHINZUI BODY SCRUB</v>
      </c>
      <c r="K79" s="4" t="str">
        <f>CONCATENATE(Table43[[#This Row],[kode  2 Digit                (hrf+No)]],Table43[[#This Row],[kode  2 Digit                (Nomor)]],Table43[[#This Row],[kode  1 Digit                (Nomor)]])</f>
        <v>F4063</v>
      </c>
      <c r="L79" s="4" t="str">
        <f>IF(AG79="",CONCATENATE(Q79,S79,U79,W79,Y79,AA79,AC79,AE79,Table43[[#This Row],[Tanda Kode Revisi]]),CONCATENATE(Q79,S79,U79,W79,Y79,AA79,AC79,AG79))</f>
        <v>F4063001011010</v>
      </c>
      <c r="M79" s="11">
        <f t="shared" si="2"/>
        <v>14</v>
      </c>
      <c r="N79" s="14" t="str">
        <f>IF(AF79&lt;&gt;"",TRIM(UPPER(CONCATENATE(P79," ",R79," ",T79," ",V79," ",X79," ",Z79," ","X"," ",Table43[[#This Row],[ISI/CTN]]," ",AF79," ",AB79," ",AD79," ",AH79))),TRIM(UPPER(CONCATENATE(P79," ",R79," ",T79," ",V79," ",X79," ",Z79," ","X"," ",Table43[[#This Row],[ISI/CTN]]," ",AB79," ",AD79," ",AH79))))</f>
        <v>SHINZUI BODY SCRUB HANA 110G X 48 JAR</v>
      </c>
      <c r="O79" s="11">
        <f t="shared" si="3"/>
        <v>37</v>
      </c>
      <c r="Q79" s="7" t="s">
        <v>662</v>
      </c>
      <c r="R79" s="4" t="s">
        <v>680</v>
      </c>
      <c r="S79" s="48" t="s">
        <v>755</v>
      </c>
      <c r="T79" s="49" t="s">
        <v>698</v>
      </c>
      <c r="U79" s="7">
        <v>3</v>
      </c>
      <c r="V79" s="49"/>
      <c r="W79" s="48" t="s">
        <v>370</v>
      </c>
      <c r="X79" s="4" t="s">
        <v>682</v>
      </c>
      <c r="Y79" s="50" t="s">
        <v>749</v>
      </c>
      <c r="Z79" s="4" t="s">
        <v>706</v>
      </c>
      <c r="AA79" s="50" t="s">
        <v>742</v>
      </c>
      <c r="AB79" s="4" t="s">
        <v>733</v>
      </c>
      <c r="AC79" s="7">
        <v>1</v>
      </c>
      <c r="AE79" s="7">
        <v>0</v>
      </c>
      <c r="AI79" s="7" t="s">
        <v>179</v>
      </c>
      <c r="AJ79" s="7">
        <v>1</v>
      </c>
      <c r="AL79" s="38">
        <v>7340.468468468468</v>
      </c>
      <c r="AM79" s="39">
        <f>Table43[[#This Row],[Harga Beli Pcs
(-PPN)]]*Table43[[#This Row],[ISI/CTN]]</f>
        <v>352342.48648648645</v>
      </c>
      <c r="AN79" s="39">
        <f>Table43[[#This Row],[Harga Beli Pcs
(-PPN)]]*1.11</f>
        <v>8147.92</v>
      </c>
      <c r="AO79" s="39">
        <f>Table43[[#This Row],[Harga Beli Krt
(- PPN)]]*1.11</f>
        <v>391100.15999999997</v>
      </c>
      <c r="AP79" s="39">
        <v>7927.9279279279281</v>
      </c>
      <c r="AQ79" s="39">
        <f>Table43[[#This Row],[Harga Jual Pcs GT
(-PPN)]]*Table43[[#This Row],[ISI/CTN]]</f>
        <v>380540.54054054053</v>
      </c>
      <c r="AR79" s="39">
        <f>Table43[[#This Row],[Harga Jual Pcs GT
(-PPN)]]*1.11</f>
        <v>8800.0000000000018</v>
      </c>
      <c r="AS79" s="39">
        <f>Table43[[#This Row],[Harga Jual Krt GT
(- PPN)]]*1.11</f>
        <v>422400</v>
      </c>
      <c r="AT79" s="39"/>
      <c r="AU79" s="39">
        <f>Table43[[#This Row],[Harga Jual Pcs MT
(-PPN)]]*Table43[[#This Row],[ISI/CTN]]</f>
        <v>0</v>
      </c>
      <c r="AV79" s="39">
        <f>Table43[[#This Row],[Harga Jual Pcs MT
(-PPN)]]*1.11</f>
        <v>0</v>
      </c>
      <c r="AW79" s="39">
        <f>Table43[[#This Row],[Harga Jual Pcs MT
(+PPN)]]*Table43[[#This Row],[ISI/CTN]]</f>
        <v>0</v>
      </c>
      <c r="AX79" s="47">
        <f>IFERROR((Table43[[#This Row],[Harga Jual Pcs GT
(-PPN)]]-Table43[[#This Row],[Harga Beli Pcs
(-PPN)]])/Table43[[#This Row],[Harga Jual Pcs GT
(-PPN)]],0)</f>
        <v>7.4100000000000069E-2</v>
      </c>
      <c r="AY79" s="51">
        <v>45848</v>
      </c>
      <c r="AZ79" s="7"/>
      <c r="BA79" s="7" t="str">
        <f ca="1">IF(TODAY()-Table43[[#This Row],[Efektif
Pembuatan]]&gt;60,"Lama","Baru")</f>
        <v>Lama</v>
      </c>
      <c r="BB79" s="7" t="str">
        <f ca="1">IF(TODAY()-Table43[[#This Row],[Efektif Naik Harga]]&lt;30,"Naik","Sama")</f>
        <v>Sama</v>
      </c>
      <c r="BC79" s="7" t="s">
        <v>185</v>
      </c>
      <c r="BD79" s="7" t="str">
        <f>IF(Table43[[#This Row],[Kode BARANG Win2]]&lt;&gt;"","IDR","")</f>
        <v>IDR</v>
      </c>
      <c r="BE79" s="7" t="str">
        <f>CONCATENATE(Table43[[#This Row],[kode  1 Digit
(Nomor)]],Table43[[#This Row],[kode  4 Digit                (Nomor)]])</f>
        <v>10110</v>
      </c>
      <c r="BF79" s="7" t="str">
        <f>Table43[[#This Row],[Nama            Gramasi atau Jumlah Pack per CTN]]</f>
        <v>110G</v>
      </c>
      <c r="BG79" s="7" t="s">
        <v>1060</v>
      </c>
      <c r="BH79" s="7" t="s">
        <v>377</v>
      </c>
      <c r="BI79" s="4" t="str">
        <f>IF(Table43[[#This Row],[SATUAN Fix Win]]&lt;&gt;"","KRT")</f>
        <v>KRT</v>
      </c>
      <c r="BJ79" s="4" t="str">
        <f>IF(Table43[[#This Row],[SATUAN Fix Win]]&lt;&gt;"","GD01")</f>
        <v>GD01</v>
      </c>
      <c r="BK79" s="4">
        <f>IF(Table43[[#This Row],[SATUAN Fix Win]]&lt;&gt;"",11611)</f>
        <v>11611</v>
      </c>
      <c r="BL79" s="4">
        <f>IF(Table43[[#This Row],[SATUAN Fix Win]]&lt;&gt;"",11612)</f>
        <v>11612</v>
      </c>
      <c r="BM79" s="52" t="s">
        <v>378</v>
      </c>
      <c r="BN79" s="4">
        <f>IF(Table43[[#This Row],[SATUAN Fix Win]]&lt;&gt;"",1)</f>
        <v>1</v>
      </c>
      <c r="BO79" s="4" t="s">
        <v>637</v>
      </c>
    </row>
    <row r="80" spans="1:70">
      <c r="A80" s="4" t="str">
        <f>CONCATENATE(Table43[[#This Row],[Kode BARANG Win2]],Table43[[#This Row],[No. Urut
Item Sama]])</f>
        <v>F40630010200101</v>
      </c>
      <c r="B80" s="7">
        <v>1</v>
      </c>
      <c r="C80" s="4">
        <v>69</v>
      </c>
      <c r="D80" s="27" t="s">
        <v>473</v>
      </c>
      <c r="E80" s="27" t="s">
        <v>628</v>
      </c>
      <c r="F80" s="27" t="s">
        <v>594</v>
      </c>
      <c r="G80" s="27">
        <v>48</v>
      </c>
      <c r="H80" s="54">
        <v>8992946519345</v>
      </c>
      <c r="I80" s="27" t="str">
        <f>Table43[[#This Row],[Nama Jenis Kemasan]]</f>
        <v>JAR</v>
      </c>
      <c r="J80" s="4" t="str">
        <f>TRIM(CONCATENATE(Table43[[#This Row],[Nama            KLP]]," ",Table43[[#This Row],[Nama            Sub KLP]]))</f>
        <v>SHINZUI BODY SCRUB</v>
      </c>
      <c r="K80" s="4" t="str">
        <f>CONCATENATE(Table43[[#This Row],[kode  2 Digit                (hrf+No)]],Table43[[#This Row],[kode  2 Digit                (Nomor)]],Table43[[#This Row],[kode  1 Digit                (Nomor)]])</f>
        <v>F4063</v>
      </c>
      <c r="L80" s="4" t="str">
        <f>IF(AG80="",CONCATENATE(Q80,S80,U80,W80,Y80,AA80,AC80,AE80,Table43[[#This Row],[Tanda Kode Revisi]]),CONCATENATE(Q80,S80,U80,W80,Y80,AA80,AC80,AG80))</f>
        <v>F4063001020010</v>
      </c>
      <c r="M80" s="11">
        <f t="shared" si="2"/>
        <v>14</v>
      </c>
      <c r="N80" s="14" t="str">
        <f>IF(AF80&lt;&gt;"",TRIM(UPPER(CONCATENATE(P80," ",R80," ",T80," ",V80," ",X80," ",Z80," ","X"," ",Table43[[#This Row],[ISI/CTN]]," ",AF80," ",AB80," ",AD80," ",AH80))),TRIM(UPPER(CONCATENATE(P80," ",R80," ",T80," ",V80," ",X80," ",Z80," ","X"," ",Table43[[#This Row],[ISI/CTN]]," ",AB80," ",AD80," ",AH80))))</f>
        <v>SHINZUI BODY SCRUB HANA 200G X 48 JAR</v>
      </c>
      <c r="O80" s="11">
        <f t="shared" si="3"/>
        <v>37</v>
      </c>
      <c r="Q80" s="7" t="s">
        <v>662</v>
      </c>
      <c r="R80" s="4" t="s">
        <v>680</v>
      </c>
      <c r="S80" s="48" t="s">
        <v>755</v>
      </c>
      <c r="T80" s="49" t="s">
        <v>698</v>
      </c>
      <c r="U80" s="7">
        <v>3</v>
      </c>
      <c r="V80" s="49"/>
      <c r="W80" s="48" t="s">
        <v>370</v>
      </c>
      <c r="X80" s="4" t="s">
        <v>682</v>
      </c>
      <c r="Y80" s="50" t="s">
        <v>749</v>
      </c>
      <c r="Z80" s="4" t="s">
        <v>707</v>
      </c>
      <c r="AA80" s="50" t="s">
        <v>745</v>
      </c>
      <c r="AB80" s="4" t="s">
        <v>733</v>
      </c>
      <c r="AC80" s="7">
        <v>1</v>
      </c>
      <c r="AE80" s="7">
        <v>0</v>
      </c>
      <c r="AI80" s="7" t="s">
        <v>179</v>
      </c>
      <c r="AJ80" s="7">
        <v>1</v>
      </c>
      <c r="AL80" s="38">
        <v>11094.117117117115</v>
      </c>
      <c r="AM80" s="39">
        <f>Table43[[#This Row],[Harga Beli Pcs
(-PPN)]]*Table43[[#This Row],[ISI/CTN]]</f>
        <v>532517.62162162154</v>
      </c>
      <c r="AN80" s="39">
        <f>Table43[[#This Row],[Harga Beli Pcs
(-PPN)]]*1.11</f>
        <v>12314.47</v>
      </c>
      <c r="AO80" s="39">
        <f>Table43[[#This Row],[Harga Beli Krt
(- PPN)]]*1.11</f>
        <v>591094.55999999994</v>
      </c>
      <c r="AP80" s="39">
        <v>11981.98198198198</v>
      </c>
      <c r="AQ80" s="39">
        <f>Table43[[#This Row],[Harga Jual Pcs GT
(-PPN)]]*Table43[[#This Row],[ISI/CTN]]</f>
        <v>575135.13513513503</v>
      </c>
      <c r="AR80" s="39">
        <f>Table43[[#This Row],[Harga Jual Pcs GT
(-PPN)]]*1.11</f>
        <v>13300</v>
      </c>
      <c r="AS80" s="39">
        <f>Table43[[#This Row],[Harga Jual Krt GT
(- PPN)]]*1.11</f>
        <v>638399.99999999988</v>
      </c>
      <c r="AT80" s="39"/>
      <c r="AU80" s="39">
        <f>Table43[[#This Row],[Harga Jual Pcs MT
(-PPN)]]*Table43[[#This Row],[ISI/CTN]]</f>
        <v>0</v>
      </c>
      <c r="AV80" s="39">
        <f>Table43[[#This Row],[Harga Jual Pcs MT
(-PPN)]]*1.11</f>
        <v>0</v>
      </c>
      <c r="AW80" s="39">
        <f>Table43[[#This Row],[Harga Jual Pcs MT
(+PPN)]]*Table43[[#This Row],[ISI/CTN]]</f>
        <v>0</v>
      </c>
      <c r="AX80" s="47">
        <f>IFERROR((Table43[[#This Row],[Harga Jual Pcs GT
(-PPN)]]-Table43[[#This Row],[Harga Beli Pcs
(-PPN)]])/Table43[[#This Row],[Harga Jual Pcs GT
(-PPN)]],0)</f>
        <v>7.4100000000000027E-2</v>
      </c>
      <c r="AY80" s="51">
        <v>45848</v>
      </c>
      <c r="AZ80" s="7"/>
      <c r="BA80" s="7" t="str">
        <f ca="1">IF(TODAY()-Table43[[#This Row],[Efektif
Pembuatan]]&gt;60,"Lama","Baru")</f>
        <v>Lama</v>
      </c>
      <c r="BB80" s="7" t="str">
        <f ca="1">IF(TODAY()-Table43[[#This Row],[Efektif Naik Harga]]&lt;30,"Naik","Sama")</f>
        <v>Sama</v>
      </c>
      <c r="BC80" s="7" t="s">
        <v>185</v>
      </c>
      <c r="BD80" s="7" t="str">
        <f>IF(Table43[[#This Row],[Kode BARANG Win2]]&lt;&gt;"","IDR","")</f>
        <v>IDR</v>
      </c>
      <c r="BE80" s="7" t="str">
        <f>CONCATENATE(Table43[[#This Row],[kode  1 Digit
(Nomor)]],Table43[[#This Row],[kode  4 Digit                (Nomor)]])</f>
        <v>10200</v>
      </c>
      <c r="BF80" s="7" t="str">
        <f>Table43[[#This Row],[Nama            Gramasi atau Jumlah Pack per CTN]]</f>
        <v>200G</v>
      </c>
      <c r="BG80" s="7" t="s">
        <v>1060</v>
      </c>
      <c r="BH80" s="7" t="s">
        <v>377</v>
      </c>
      <c r="BI80" s="4" t="str">
        <f>IF(Table43[[#This Row],[SATUAN Fix Win]]&lt;&gt;"","KRT")</f>
        <v>KRT</v>
      </c>
      <c r="BJ80" s="4" t="str">
        <f>IF(Table43[[#This Row],[SATUAN Fix Win]]&lt;&gt;"","GD01")</f>
        <v>GD01</v>
      </c>
      <c r="BK80" s="4">
        <f>IF(Table43[[#This Row],[SATUAN Fix Win]]&lt;&gt;"",11611)</f>
        <v>11611</v>
      </c>
      <c r="BL80" s="4">
        <f>IF(Table43[[#This Row],[SATUAN Fix Win]]&lt;&gt;"",11612)</f>
        <v>11612</v>
      </c>
      <c r="BM80" s="52" t="s">
        <v>378</v>
      </c>
      <c r="BN80" s="4">
        <f>IF(Table43[[#This Row],[SATUAN Fix Win]]&lt;&gt;"",1)</f>
        <v>1</v>
      </c>
      <c r="BO80" s="4" t="s">
        <v>637</v>
      </c>
    </row>
    <row r="81" spans="1:70">
      <c r="A81" s="4" t="str">
        <f>CONCATENATE(Table43[[#This Row],[Kode BARANG Win2]],Table43[[#This Row],[No. Urut
Item Sama]])</f>
        <v>F40630020110101</v>
      </c>
      <c r="B81" s="7">
        <v>1</v>
      </c>
      <c r="C81" s="4">
        <v>70</v>
      </c>
      <c r="D81" s="27" t="s">
        <v>480</v>
      </c>
      <c r="E81" s="27" t="s">
        <v>628</v>
      </c>
      <c r="F81" s="27" t="s">
        <v>601</v>
      </c>
      <c r="G81" s="27">
        <v>96</v>
      </c>
      <c r="H81" s="54">
        <v>8992946522215</v>
      </c>
      <c r="I81" s="27" t="str">
        <f>Table43[[#This Row],[Nama Jenis Kemasan]]</f>
        <v>JAR</v>
      </c>
      <c r="J81" s="4" t="str">
        <f>TRIM(CONCATENATE(Table43[[#This Row],[Nama            KLP]]," ",Table43[[#This Row],[Nama            Sub KLP]]))</f>
        <v>SHINZUI BODY SCRUB</v>
      </c>
      <c r="K81" s="4" t="str">
        <f>CONCATENATE(Table43[[#This Row],[kode  2 Digit                (hrf+No)]],Table43[[#This Row],[kode  2 Digit                (Nomor)]],Table43[[#This Row],[kode  1 Digit                (Nomor)]])</f>
        <v>F4063</v>
      </c>
      <c r="L81" s="4" t="str">
        <f>IF(AG81="",CONCATENATE(Q81,S81,U81,W81,Y81,AA81,AC81,AE81,Table43[[#This Row],[Tanda Kode Revisi]]),CONCATENATE(Q81,S81,U81,W81,Y81,AA81,AC81,AG81))</f>
        <v>F4063002011010</v>
      </c>
      <c r="M81" s="11">
        <f t="shared" si="2"/>
        <v>14</v>
      </c>
      <c r="N81" s="14" t="str">
        <f>IF(AF81&lt;&gt;"",TRIM(UPPER(CONCATENATE(P81," ",R81," ",T81," ",V81," ",X81," ",Z81," ","X"," ",Table43[[#This Row],[ISI/CTN]]," ",AF81," ",AB81," ",AD81," ",AH81))),TRIM(UPPER(CONCATENATE(P81," ",R81," ",T81," ",V81," ",X81," ",Z81," ","X"," ",Table43[[#This Row],[ISI/CTN]]," ",AB81," ",AD81," ",AH81))))</f>
        <v>SHINZUI BODY SCRUB KENSHO 110G X 96 JAR</v>
      </c>
      <c r="O81" s="11">
        <f t="shared" si="3"/>
        <v>39</v>
      </c>
      <c r="Q81" s="7" t="s">
        <v>662</v>
      </c>
      <c r="R81" s="4" t="s">
        <v>680</v>
      </c>
      <c r="S81" s="48" t="s">
        <v>755</v>
      </c>
      <c r="T81" s="49" t="s">
        <v>698</v>
      </c>
      <c r="U81" s="7">
        <v>3</v>
      </c>
      <c r="V81" s="49"/>
      <c r="W81" s="48" t="s">
        <v>370</v>
      </c>
      <c r="X81" s="4" t="s">
        <v>694</v>
      </c>
      <c r="Y81" s="50" t="s">
        <v>751</v>
      </c>
      <c r="Z81" s="4" t="s">
        <v>706</v>
      </c>
      <c r="AA81" s="50" t="s">
        <v>742</v>
      </c>
      <c r="AB81" s="4" t="s">
        <v>733</v>
      </c>
      <c r="AC81" s="7">
        <v>1</v>
      </c>
      <c r="AE81" s="7">
        <v>0</v>
      </c>
      <c r="AI81" s="7" t="s">
        <v>179</v>
      </c>
      <c r="AJ81" s="7">
        <v>1</v>
      </c>
      <c r="AL81" s="38">
        <v>7340.468468468468</v>
      </c>
      <c r="AM81" s="39">
        <f>Table43[[#This Row],[Harga Beli Pcs
(-PPN)]]*Table43[[#This Row],[ISI/CTN]]</f>
        <v>704684.9729729729</v>
      </c>
      <c r="AN81" s="39">
        <f>Table43[[#This Row],[Harga Beli Pcs
(-PPN)]]*1.11</f>
        <v>8147.92</v>
      </c>
      <c r="AO81" s="39">
        <f>Table43[[#This Row],[Harga Beli Krt
(- PPN)]]*1.11</f>
        <v>782200.31999999995</v>
      </c>
      <c r="AP81" s="39">
        <v>7927.9279279279281</v>
      </c>
      <c r="AQ81" s="39">
        <f>Table43[[#This Row],[Harga Jual Pcs GT
(-PPN)]]*Table43[[#This Row],[ISI/CTN]]</f>
        <v>761081.08108108107</v>
      </c>
      <c r="AR81" s="39">
        <f>Table43[[#This Row],[Harga Jual Pcs GT
(-PPN)]]*1.11</f>
        <v>8800.0000000000018</v>
      </c>
      <c r="AS81" s="39">
        <f>Table43[[#This Row],[Harga Jual Krt GT
(- PPN)]]*1.11</f>
        <v>844800</v>
      </c>
      <c r="AT81" s="39"/>
      <c r="AU81" s="39">
        <f>Table43[[#This Row],[Harga Jual Pcs MT
(-PPN)]]*Table43[[#This Row],[ISI/CTN]]</f>
        <v>0</v>
      </c>
      <c r="AV81" s="39">
        <f>Table43[[#This Row],[Harga Jual Pcs MT
(-PPN)]]*1.11</f>
        <v>0</v>
      </c>
      <c r="AW81" s="39">
        <f>Table43[[#This Row],[Harga Jual Pcs MT
(+PPN)]]*Table43[[#This Row],[ISI/CTN]]</f>
        <v>0</v>
      </c>
      <c r="AX81" s="47">
        <f>IFERROR((Table43[[#This Row],[Harga Jual Pcs GT
(-PPN)]]-Table43[[#This Row],[Harga Beli Pcs
(-PPN)]])/Table43[[#This Row],[Harga Jual Pcs GT
(-PPN)]],0)</f>
        <v>7.4100000000000069E-2</v>
      </c>
      <c r="AY81" s="51">
        <v>45848</v>
      </c>
      <c r="AZ81" s="7"/>
      <c r="BA81" s="7" t="str">
        <f ca="1">IF(TODAY()-Table43[[#This Row],[Efektif
Pembuatan]]&gt;60,"Lama","Baru")</f>
        <v>Lama</v>
      </c>
      <c r="BB81" s="7" t="str">
        <f ca="1">IF(TODAY()-Table43[[#This Row],[Efektif Naik Harga]]&lt;30,"Naik","Sama")</f>
        <v>Sama</v>
      </c>
      <c r="BC81" s="7" t="s">
        <v>185</v>
      </c>
      <c r="BD81" s="7" t="str">
        <f>IF(Table43[[#This Row],[Kode BARANG Win2]]&lt;&gt;"","IDR","")</f>
        <v>IDR</v>
      </c>
      <c r="BE81" s="7" t="str">
        <f>CONCATENATE(Table43[[#This Row],[kode  1 Digit
(Nomor)]],Table43[[#This Row],[kode  4 Digit                (Nomor)]])</f>
        <v>10110</v>
      </c>
      <c r="BF81" s="7" t="str">
        <f>Table43[[#This Row],[Nama            Gramasi atau Jumlah Pack per CTN]]</f>
        <v>110G</v>
      </c>
      <c r="BG81" s="7" t="s">
        <v>1060</v>
      </c>
      <c r="BH81" s="7" t="s">
        <v>377</v>
      </c>
      <c r="BI81" s="4" t="str">
        <f>IF(Table43[[#This Row],[SATUAN Fix Win]]&lt;&gt;"","KRT")</f>
        <v>KRT</v>
      </c>
      <c r="BJ81" s="4" t="str">
        <f>IF(Table43[[#This Row],[SATUAN Fix Win]]&lt;&gt;"","GD01")</f>
        <v>GD01</v>
      </c>
      <c r="BK81" s="4">
        <f>IF(Table43[[#This Row],[SATUAN Fix Win]]&lt;&gt;"",11611)</f>
        <v>11611</v>
      </c>
      <c r="BL81" s="4">
        <f>IF(Table43[[#This Row],[SATUAN Fix Win]]&lt;&gt;"",11612)</f>
        <v>11612</v>
      </c>
      <c r="BM81" s="52" t="s">
        <v>378</v>
      </c>
      <c r="BN81" s="4">
        <f>IF(Table43[[#This Row],[SATUAN Fix Win]]&lt;&gt;"",1)</f>
        <v>1</v>
      </c>
      <c r="BO81" s="4" t="s">
        <v>637</v>
      </c>
    </row>
    <row r="82" spans="1:70">
      <c r="A82" s="4" t="str">
        <f>CONCATENATE(Table43[[#This Row],[Kode BARANG Win2]],Table43[[#This Row],[No. Urut
Item Sama]])</f>
        <v>F40630020200101</v>
      </c>
      <c r="B82" s="7">
        <v>1</v>
      </c>
      <c r="C82" s="4">
        <v>71</v>
      </c>
      <c r="D82" s="27" t="s">
        <v>481</v>
      </c>
      <c r="E82" s="27" t="s">
        <v>628</v>
      </c>
      <c r="F82" s="27" t="s">
        <v>602</v>
      </c>
      <c r="G82" s="27">
        <v>48</v>
      </c>
      <c r="H82" s="54">
        <v>8992946513398</v>
      </c>
      <c r="I82" s="27" t="str">
        <f>Table43[[#This Row],[Nama Jenis Kemasan]]</f>
        <v>JAR</v>
      </c>
      <c r="J82" s="4" t="str">
        <f>TRIM(CONCATENATE(Table43[[#This Row],[Nama            KLP]]," ",Table43[[#This Row],[Nama            Sub KLP]]))</f>
        <v>SHINZUI BODY SCRUB</v>
      </c>
      <c r="K82" s="4" t="str">
        <f>CONCATENATE(Table43[[#This Row],[kode  2 Digit                (hrf+No)]],Table43[[#This Row],[kode  2 Digit                (Nomor)]],Table43[[#This Row],[kode  1 Digit                (Nomor)]])</f>
        <v>F4063</v>
      </c>
      <c r="L82" s="4" t="str">
        <f>IF(AG82="",CONCATENATE(Q82,S82,U82,W82,Y82,AA82,AC82,AE82,Table43[[#This Row],[Tanda Kode Revisi]]),CONCATENATE(Q82,S82,U82,W82,Y82,AA82,AC82,AG82))</f>
        <v>F4063002020010</v>
      </c>
      <c r="M82" s="11">
        <f t="shared" si="2"/>
        <v>14</v>
      </c>
      <c r="N82" s="14" t="str">
        <f>IF(AF82&lt;&gt;"",TRIM(UPPER(CONCATENATE(P82," ",R82," ",T82," ",V82," ",X82," ",Z82," ","X"," ",Table43[[#This Row],[ISI/CTN]]," ",AF82," ",AB82," ",AD82," ",AH82))),TRIM(UPPER(CONCATENATE(P82," ",R82," ",T82," ",V82," ",X82," ",Z82," ","X"," ",Table43[[#This Row],[ISI/CTN]]," ",AB82," ",AD82," ",AH82))))</f>
        <v>SHINZUI BODY SCRUB KENSHO 200G X 48 JAR</v>
      </c>
      <c r="O82" s="11">
        <f t="shared" si="3"/>
        <v>39</v>
      </c>
      <c r="Q82" s="7" t="s">
        <v>662</v>
      </c>
      <c r="R82" s="4" t="s">
        <v>680</v>
      </c>
      <c r="S82" s="48" t="s">
        <v>755</v>
      </c>
      <c r="T82" s="49" t="s">
        <v>698</v>
      </c>
      <c r="U82" s="7">
        <v>3</v>
      </c>
      <c r="V82" s="49"/>
      <c r="W82" s="48" t="s">
        <v>370</v>
      </c>
      <c r="X82" s="4" t="s">
        <v>694</v>
      </c>
      <c r="Y82" s="50" t="s">
        <v>751</v>
      </c>
      <c r="Z82" s="4" t="s">
        <v>707</v>
      </c>
      <c r="AA82" s="50" t="s">
        <v>745</v>
      </c>
      <c r="AB82" s="4" t="s">
        <v>733</v>
      </c>
      <c r="AC82" s="7">
        <v>1</v>
      </c>
      <c r="AE82" s="7">
        <v>0</v>
      </c>
      <c r="AI82" s="7" t="s">
        <v>179</v>
      </c>
      <c r="AJ82" s="7">
        <v>1</v>
      </c>
      <c r="AL82" s="38">
        <v>11094.117117117115</v>
      </c>
      <c r="AM82" s="39">
        <f>Table43[[#This Row],[Harga Beli Pcs
(-PPN)]]*Table43[[#This Row],[ISI/CTN]]</f>
        <v>532517.62162162154</v>
      </c>
      <c r="AN82" s="39">
        <f>Table43[[#This Row],[Harga Beli Pcs
(-PPN)]]*1.11</f>
        <v>12314.47</v>
      </c>
      <c r="AO82" s="39">
        <f>Table43[[#This Row],[Harga Beli Krt
(- PPN)]]*1.11</f>
        <v>591094.55999999994</v>
      </c>
      <c r="AP82" s="39">
        <v>11981.98198198198</v>
      </c>
      <c r="AQ82" s="39">
        <f>Table43[[#This Row],[Harga Jual Pcs GT
(-PPN)]]*Table43[[#This Row],[ISI/CTN]]</f>
        <v>575135.13513513503</v>
      </c>
      <c r="AR82" s="39">
        <f>Table43[[#This Row],[Harga Jual Pcs GT
(-PPN)]]*1.11</f>
        <v>13300</v>
      </c>
      <c r="AS82" s="39">
        <f>Table43[[#This Row],[Harga Jual Krt GT
(- PPN)]]*1.11</f>
        <v>638399.99999999988</v>
      </c>
      <c r="AT82" s="39"/>
      <c r="AU82" s="39">
        <f>Table43[[#This Row],[Harga Jual Pcs MT
(-PPN)]]*Table43[[#This Row],[ISI/CTN]]</f>
        <v>0</v>
      </c>
      <c r="AV82" s="39">
        <f>Table43[[#This Row],[Harga Jual Pcs MT
(-PPN)]]*1.11</f>
        <v>0</v>
      </c>
      <c r="AW82" s="39">
        <f>Table43[[#This Row],[Harga Jual Pcs MT
(+PPN)]]*Table43[[#This Row],[ISI/CTN]]</f>
        <v>0</v>
      </c>
      <c r="AX82" s="47">
        <f>IFERROR((Table43[[#This Row],[Harga Jual Pcs GT
(-PPN)]]-Table43[[#This Row],[Harga Beli Pcs
(-PPN)]])/Table43[[#This Row],[Harga Jual Pcs GT
(-PPN)]],0)</f>
        <v>7.4100000000000027E-2</v>
      </c>
      <c r="AY82" s="51">
        <v>45848</v>
      </c>
      <c r="AZ82" s="7"/>
      <c r="BA82" s="7" t="str">
        <f ca="1">IF(TODAY()-Table43[[#This Row],[Efektif
Pembuatan]]&gt;60,"Lama","Baru")</f>
        <v>Lama</v>
      </c>
      <c r="BB82" s="7" t="str">
        <f ca="1">IF(TODAY()-Table43[[#This Row],[Efektif Naik Harga]]&lt;30,"Naik","Sama")</f>
        <v>Sama</v>
      </c>
      <c r="BC82" s="7" t="s">
        <v>185</v>
      </c>
      <c r="BD82" s="7" t="str">
        <f>IF(Table43[[#This Row],[Kode BARANG Win2]]&lt;&gt;"","IDR","")</f>
        <v>IDR</v>
      </c>
      <c r="BE82" s="7" t="str">
        <f>CONCATENATE(Table43[[#This Row],[kode  1 Digit
(Nomor)]],Table43[[#This Row],[kode  4 Digit                (Nomor)]])</f>
        <v>10200</v>
      </c>
      <c r="BF82" s="7" t="str">
        <f>Table43[[#This Row],[Nama            Gramasi atau Jumlah Pack per CTN]]</f>
        <v>200G</v>
      </c>
      <c r="BG82" s="7" t="s">
        <v>1060</v>
      </c>
      <c r="BH82" s="7" t="s">
        <v>377</v>
      </c>
      <c r="BI82" s="4" t="str">
        <f>IF(Table43[[#This Row],[SATUAN Fix Win]]&lt;&gt;"","KRT")</f>
        <v>KRT</v>
      </c>
      <c r="BJ82" s="4" t="str">
        <f>IF(Table43[[#This Row],[SATUAN Fix Win]]&lt;&gt;"","GD01")</f>
        <v>GD01</v>
      </c>
      <c r="BK82" s="4">
        <f>IF(Table43[[#This Row],[SATUAN Fix Win]]&lt;&gt;"",11611)</f>
        <v>11611</v>
      </c>
      <c r="BL82" s="4">
        <f>IF(Table43[[#This Row],[SATUAN Fix Win]]&lt;&gt;"",11612)</f>
        <v>11612</v>
      </c>
      <c r="BM82" s="52" t="s">
        <v>378</v>
      </c>
      <c r="BN82" s="4">
        <f>IF(Table43[[#This Row],[SATUAN Fix Win]]&lt;&gt;"",1)</f>
        <v>1</v>
      </c>
      <c r="BO82" s="4" t="s">
        <v>637</v>
      </c>
    </row>
    <row r="83" spans="1:70">
      <c r="A83" s="4" t="str">
        <f>CONCATENATE(Table43[[#This Row],[Kode BARANG Win2]],Table43[[#This Row],[No. Urut
Item Sama]])</f>
        <v>F40630030110101</v>
      </c>
      <c r="B83" s="7">
        <v>1</v>
      </c>
      <c r="C83" s="4">
        <v>72</v>
      </c>
      <c r="D83" s="27" t="s">
        <v>474</v>
      </c>
      <c r="E83" s="27" t="s">
        <v>628</v>
      </c>
      <c r="F83" s="27" t="s">
        <v>595</v>
      </c>
      <c r="G83" s="27">
        <v>96</v>
      </c>
      <c r="H83" s="54">
        <v>8992946522185</v>
      </c>
      <c r="I83" s="27" t="str">
        <f>Table43[[#This Row],[Nama Jenis Kemasan]]</f>
        <v>JAR</v>
      </c>
      <c r="J83" s="4" t="str">
        <f>TRIM(CONCATENATE(Table43[[#This Row],[Nama            KLP]]," ",Table43[[#This Row],[Nama            Sub KLP]]))</f>
        <v>SHINZUI BODY SCRUB</v>
      </c>
      <c r="K83" s="4" t="str">
        <f>CONCATENATE(Table43[[#This Row],[kode  2 Digit                (hrf+No)]],Table43[[#This Row],[kode  2 Digit                (Nomor)]],Table43[[#This Row],[kode  1 Digit                (Nomor)]])</f>
        <v>F4063</v>
      </c>
      <c r="L83" s="4" t="str">
        <f>IF(AG83="",CONCATENATE(Q83,S83,U83,W83,Y83,AA83,AC83,AE83,Table43[[#This Row],[Tanda Kode Revisi]]),CONCATENATE(Q83,S83,U83,W83,Y83,AA83,AC83,AG83))</f>
        <v>F4063003011010</v>
      </c>
      <c r="M83" s="11">
        <f t="shared" si="2"/>
        <v>14</v>
      </c>
      <c r="N83" s="14" t="str">
        <f>IF(AF83&lt;&gt;"",TRIM(UPPER(CONCATENATE(P83," ",R83," ",T83," ",V83," ",X83," ",Z83," ","X"," ",Table43[[#This Row],[ISI/CTN]]," ",AF83," ",AB83," ",AD83," ",AH83))),TRIM(UPPER(CONCATENATE(P83," ",R83," ",T83," ",V83," ",X83," ",Z83," ","X"," ",Table43[[#This Row],[ISI/CTN]]," ",AB83," ",AD83," ",AH83))))</f>
        <v>SHINZUI BODY SCRUB KIREI 110G X 96 JAR</v>
      </c>
      <c r="O83" s="11">
        <f t="shared" si="3"/>
        <v>38</v>
      </c>
      <c r="Q83" s="7" t="s">
        <v>662</v>
      </c>
      <c r="R83" s="4" t="s">
        <v>680</v>
      </c>
      <c r="S83" s="48" t="s">
        <v>755</v>
      </c>
      <c r="T83" s="49" t="s">
        <v>698</v>
      </c>
      <c r="U83" s="7">
        <v>3</v>
      </c>
      <c r="V83" s="49"/>
      <c r="W83" s="48" t="s">
        <v>370</v>
      </c>
      <c r="X83" s="4" t="s">
        <v>683</v>
      </c>
      <c r="Y83" s="50" t="s">
        <v>752</v>
      </c>
      <c r="Z83" s="4" t="s">
        <v>706</v>
      </c>
      <c r="AA83" s="50" t="s">
        <v>742</v>
      </c>
      <c r="AB83" s="4" t="s">
        <v>733</v>
      </c>
      <c r="AC83" s="7">
        <v>1</v>
      </c>
      <c r="AE83" s="7">
        <v>0</v>
      </c>
      <c r="AI83" s="7" t="s">
        <v>179</v>
      </c>
      <c r="AJ83" s="7">
        <v>1</v>
      </c>
      <c r="AL83" s="38">
        <v>7340.468468468468</v>
      </c>
      <c r="AM83" s="39">
        <f>Table43[[#This Row],[Harga Beli Pcs
(-PPN)]]*Table43[[#This Row],[ISI/CTN]]</f>
        <v>704684.9729729729</v>
      </c>
      <c r="AN83" s="39">
        <f>Table43[[#This Row],[Harga Beli Pcs
(-PPN)]]*1.11</f>
        <v>8147.92</v>
      </c>
      <c r="AO83" s="39">
        <f>Table43[[#This Row],[Harga Beli Krt
(- PPN)]]*1.11</f>
        <v>782200.31999999995</v>
      </c>
      <c r="AP83" s="39">
        <v>7927.9279279279281</v>
      </c>
      <c r="AQ83" s="39">
        <f>Table43[[#This Row],[Harga Jual Pcs GT
(-PPN)]]*Table43[[#This Row],[ISI/CTN]]</f>
        <v>761081.08108108107</v>
      </c>
      <c r="AR83" s="39">
        <f>Table43[[#This Row],[Harga Jual Pcs GT
(-PPN)]]*1.11</f>
        <v>8800.0000000000018</v>
      </c>
      <c r="AS83" s="39">
        <f>Table43[[#This Row],[Harga Jual Krt GT
(- PPN)]]*1.11</f>
        <v>844800</v>
      </c>
      <c r="AT83" s="39"/>
      <c r="AU83" s="39">
        <f>Table43[[#This Row],[Harga Jual Pcs MT
(-PPN)]]*Table43[[#This Row],[ISI/CTN]]</f>
        <v>0</v>
      </c>
      <c r="AV83" s="39">
        <f>Table43[[#This Row],[Harga Jual Pcs MT
(-PPN)]]*1.11</f>
        <v>0</v>
      </c>
      <c r="AW83" s="39">
        <f>Table43[[#This Row],[Harga Jual Pcs MT
(+PPN)]]*Table43[[#This Row],[ISI/CTN]]</f>
        <v>0</v>
      </c>
      <c r="AX83" s="47">
        <f>IFERROR((Table43[[#This Row],[Harga Jual Pcs GT
(-PPN)]]-Table43[[#This Row],[Harga Beli Pcs
(-PPN)]])/Table43[[#This Row],[Harga Jual Pcs GT
(-PPN)]],0)</f>
        <v>7.4100000000000069E-2</v>
      </c>
      <c r="AY83" s="51">
        <v>45848</v>
      </c>
      <c r="AZ83" s="7"/>
      <c r="BA83" s="7" t="str">
        <f ca="1">IF(TODAY()-Table43[[#This Row],[Efektif
Pembuatan]]&gt;60,"Lama","Baru")</f>
        <v>Lama</v>
      </c>
      <c r="BB83" s="7" t="str">
        <f ca="1">IF(TODAY()-Table43[[#This Row],[Efektif Naik Harga]]&lt;30,"Naik","Sama")</f>
        <v>Sama</v>
      </c>
      <c r="BC83" s="7" t="s">
        <v>185</v>
      </c>
      <c r="BD83" s="7" t="str">
        <f>IF(Table43[[#This Row],[Kode BARANG Win2]]&lt;&gt;"","IDR","")</f>
        <v>IDR</v>
      </c>
      <c r="BE83" s="7" t="str">
        <f>CONCATENATE(Table43[[#This Row],[kode  1 Digit
(Nomor)]],Table43[[#This Row],[kode  4 Digit                (Nomor)]])</f>
        <v>10110</v>
      </c>
      <c r="BF83" s="7" t="str">
        <f>Table43[[#This Row],[Nama            Gramasi atau Jumlah Pack per CTN]]</f>
        <v>110G</v>
      </c>
      <c r="BG83" s="7" t="s">
        <v>1060</v>
      </c>
      <c r="BH83" s="7" t="s">
        <v>377</v>
      </c>
      <c r="BI83" s="4" t="str">
        <f>IF(Table43[[#This Row],[SATUAN Fix Win]]&lt;&gt;"","KRT")</f>
        <v>KRT</v>
      </c>
      <c r="BJ83" s="4" t="str">
        <f>IF(Table43[[#This Row],[SATUAN Fix Win]]&lt;&gt;"","GD01")</f>
        <v>GD01</v>
      </c>
      <c r="BK83" s="4">
        <f>IF(Table43[[#This Row],[SATUAN Fix Win]]&lt;&gt;"",11611)</f>
        <v>11611</v>
      </c>
      <c r="BL83" s="4">
        <f>IF(Table43[[#This Row],[SATUAN Fix Win]]&lt;&gt;"",11612)</f>
        <v>11612</v>
      </c>
      <c r="BM83" s="52" t="s">
        <v>378</v>
      </c>
      <c r="BN83" s="4">
        <f>IF(Table43[[#This Row],[SATUAN Fix Win]]&lt;&gt;"",1)</f>
        <v>1</v>
      </c>
      <c r="BO83" s="4" t="s">
        <v>637</v>
      </c>
    </row>
    <row r="84" spans="1:70">
      <c r="A84" s="4" t="str">
        <f>CONCATENATE(Table43[[#This Row],[Kode BARANG Win2]],Table43[[#This Row],[No. Urut
Item Sama]])</f>
        <v>F40630030200101</v>
      </c>
      <c r="B84" s="7">
        <v>1</v>
      </c>
      <c r="C84" s="4">
        <v>73</v>
      </c>
      <c r="D84" s="27" t="s">
        <v>475</v>
      </c>
      <c r="E84" s="27" t="s">
        <v>628</v>
      </c>
      <c r="F84" s="27" t="s">
        <v>596</v>
      </c>
      <c r="G84" s="27">
        <v>48</v>
      </c>
      <c r="H84" s="54">
        <v>8992946519362</v>
      </c>
      <c r="I84" s="27" t="str">
        <f>Table43[[#This Row],[Nama Jenis Kemasan]]</f>
        <v>JAR</v>
      </c>
      <c r="J84" s="4" t="str">
        <f>TRIM(CONCATENATE(Table43[[#This Row],[Nama            KLP]]," ",Table43[[#This Row],[Nama            Sub KLP]]))</f>
        <v>SHINZUI BODY SCRUB</v>
      </c>
      <c r="K84" s="4" t="str">
        <f>CONCATENATE(Table43[[#This Row],[kode  2 Digit                (hrf+No)]],Table43[[#This Row],[kode  2 Digit                (Nomor)]],Table43[[#This Row],[kode  1 Digit                (Nomor)]])</f>
        <v>F4063</v>
      </c>
      <c r="L84" s="4" t="str">
        <f>IF(AG84="",CONCATENATE(Q84,S84,U84,W84,Y84,AA84,AC84,AE84,Table43[[#This Row],[Tanda Kode Revisi]]),CONCATENATE(Q84,S84,U84,W84,Y84,AA84,AC84,AG84))</f>
        <v>F4063003020010</v>
      </c>
      <c r="M84" s="11">
        <f t="shared" si="2"/>
        <v>14</v>
      </c>
      <c r="N84" s="14" t="str">
        <f>IF(AF84&lt;&gt;"",TRIM(UPPER(CONCATENATE(P84," ",R84," ",T84," ",V84," ",X84," ",Z84," ","X"," ",Table43[[#This Row],[ISI/CTN]]," ",AF84," ",AB84," ",AD84," ",AH84))),TRIM(UPPER(CONCATENATE(P84," ",R84," ",T84," ",V84," ",X84," ",Z84," ","X"," ",Table43[[#This Row],[ISI/CTN]]," ",AB84," ",AD84," ",AH84))))</f>
        <v>SHINZUI BODY SCRUB KIREI 200G X 48 JAR</v>
      </c>
      <c r="O84" s="11">
        <f t="shared" si="3"/>
        <v>38</v>
      </c>
      <c r="Q84" s="7" t="s">
        <v>662</v>
      </c>
      <c r="R84" s="4" t="s">
        <v>680</v>
      </c>
      <c r="S84" s="48" t="s">
        <v>755</v>
      </c>
      <c r="T84" s="49" t="s">
        <v>698</v>
      </c>
      <c r="U84" s="7">
        <v>3</v>
      </c>
      <c r="V84" s="49"/>
      <c r="W84" s="48" t="s">
        <v>370</v>
      </c>
      <c r="X84" s="4" t="s">
        <v>683</v>
      </c>
      <c r="Y84" s="50" t="s">
        <v>752</v>
      </c>
      <c r="Z84" s="4" t="s">
        <v>707</v>
      </c>
      <c r="AA84" s="50" t="s">
        <v>745</v>
      </c>
      <c r="AB84" s="4" t="s">
        <v>733</v>
      </c>
      <c r="AC84" s="7">
        <v>1</v>
      </c>
      <c r="AE84" s="7">
        <v>0</v>
      </c>
      <c r="AI84" s="7" t="s">
        <v>179</v>
      </c>
      <c r="AJ84" s="7">
        <v>1</v>
      </c>
      <c r="AL84" s="38">
        <v>11094.117117117115</v>
      </c>
      <c r="AM84" s="39">
        <f>Table43[[#This Row],[Harga Beli Pcs
(-PPN)]]*Table43[[#This Row],[ISI/CTN]]</f>
        <v>532517.62162162154</v>
      </c>
      <c r="AN84" s="39">
        <f>Table43[[#This Row],[Harga Beli Pcs
(-PPN)]]*1.11</f>
        <v>12314.47</v>
      </c>
      <c r="AO84" s="39">
        <f>Table43[[#This Row],[Harga Beli Krt
(- PPN)]]*1.11</f>
        <v>591094.55999999994</v>
      </c>
      <c r="AP84" s="39">
        <v>11981.98198198198</v>
      </c>
      <c r="AQ84" s="39">
        <f>Table43[[#This Row],[Harga Jual Pcs GT
(-PPN)]]*Table43[[#This Row],[ISI/CTN]]</f>
        <v>575135.13513513503</v>
      </c>
      <c r="AR84" s="39">
        <f>Table43[[#This Row],[Harga Jual Pcs GT
(-PPN)]]*1.11</f>
        <v>13300</v>
      </c>
      <c r="AS84" s="39">
        <f>Table43[[#This Row],[Harga Jual Krt GT
(- PPN)]]*1.11</f>
        <v>638399.99999999988</v>
      </c>
      <c r="AT84" s="39"/>
      <c r="AU84" s="39">
        <f>Table43[[#This Row],[Harga Jual Pcs MT
(-PPN)]]*Table43[[#This Row],[ISI/CTN]]</f>
        <v>0</v>
      </c>
      <c r="AV84" s="39">
        <f>Table43[[#This Row],[Harga Jual Pcs MT
(-PPN)]]*1.11</f>
        <v>0</v>
      </c>
      <c r="AW84" s="39">
        <f>Table43[[#This Row],[Harga Jual Pcs MT
(+PPN)]]*Table43[[#This Row],[ISI/CTN]]</f>
        <v>0</v>
      </c>
      <c r="AX84" s="47">
        <f>IFERROR((Table43[[#This Row],[Harga Jual Pcs GT
(-PPN)]]-Table43[[#This Row],[Harga Beli Pcs
(-PPN)]])/Table43[[#This Row],[Harga Jual Pcs GT
(-PPN)]],0)</f>
        <v>7.4100000000000027E-2</v>
      </c>
      <c r="AY84" s="51">
        <v>45848</v>
      </c>
      <c r="AZ84" s="7"/>
      <c r="BA84" s="7" t="str">
        <f ca="1">IF(TODAY()-Table43[[#This Row],[Efektif
Pembuatan]]&gt;60,"Lama","Baru")</f>
        <v>Lama</v>
      </c>
      <c r="BB84" s="7" t="str">
        <f ca="1">IF(TODAY()-Table43[[#This Row],[Efektif Naik Harga]]&lt;30,"Naik","Sama")</f>
        <v>Sama</v>
      </c>
      <c r="BC84" s="7" t="s">
        <v>185</v>
      </c>
      <c r="BD84" s="7" t="str">
        <f>IF(Table43[[#This Row],[Kode BARANG Win2]]&lt;&gt;"","IDR","")</f>
        <v>IDR</v>
      </c>
      <c r="BE84" s="7" t="str">
        <f>CONCATENATE(Table43[[#This Row],[kode  1 Digit
(Nomor)]],Table43[[#This Row],[kode  4 Digit                (Nomor)]])</f>
        <v>10200</v>
      </c>
      <c r="BF84" s="7" t="str">
        <f>Table43[[#This Row],[Nama            Gramasi atau Jumlah Pack per CTN]]</f>
        <v>200G</v>
      </c>
      <c r="BG84" s="7" t="s">
        <v>1060</v>
      </c>
      <c r="BH84" s="7" t="s">
        <v>377</v>
      </c>
      <c r="BI84" s="4" t="str">
        <f>IF(Table43[[#This Row],[SATUAN Fix Win]]&lt;&gt;"","KRT")</f>
        <v>KRT</v>
      </c>
      <c r="BJ84" s="4" t="str">
        <f>IF(Table43[[#This Row],[SATUAN Fix Win]]&lt;&gt;"","GD01")</f>
        <v>GD01</v>
      </c>
      <c r="BK84" s="4">
        <f>IF(Table43[[#This Row],[SATUAN Fix Win]]&lt;&gt;"",11611)</f>
        <v>11611</v>
      </c>
      <c r="BL84" s="4">
        <f>IF(Table43[[#This Row],[SATUAN Fix Win]]&lt;&gt;"",11612)</f>
        <v>11612</v>
      </c>
      <c r="BM84" s="52" t="s">
        <v>378</v>
      </c>
      <c r="BN84" s="4">
        <f>IF(Table43[[#This Row],[SATUAN Fix Win]]&lt;&gt;"",1)</f>
        <v>1</v>
      </c>
      <c r="BO84" s="4" t="s">
        <v>637</v>
      </c>
    </row>
    <row r="85" spans="1:70">
      <c r="A85" s="4" t="str">
        <f>CONCATENATE(Table43[[#This Row],[Kode BARANG Win2]],Table43[[#This Row],[No. Urut
Item Sama]])</f>
        <v>F40630040110101</v>
      </c>
      <c r="B85" s="7">
        <v>1</v>
      </c>
      <c r="C85" s="4">
        <v>74</v>
      </c>
      <c r="D85" s="27" t="s">
        <v>470</v>
      </c>
      <c r="E85" s="27" t="s">
        <v>628</v>
      </c>
      <c r="F85" s="27" t="s">
        <v>591</v>
      </c>
      <c r="G85" s="27">
        <v>96</v>
      </c>
      <c r="H85" s="54">
        <v>8992946522171</v>
      </c>
      <c r="I85" s="27" t="str">
        <f>Table43[[#This Row],[Nama Jenis Kemasan]]</f>
        <v>JAR</v>
      </c>
      <c r="J85" s="4" t="str">
        <f>TRIM(CONCATENATE(Table43[[#This Row],[Nama            KLP]]," ",Table43[[#This Row],[Nama            Sub KLP]]))</f>
        <v>SHINZUI BODY SCRUB</v>
      </c>
      <c r="K85" s="4" t="str">
        <f>CONCATENATE(Table43[[#This Row],[kode  2 Digit                (hrf+No)]],Table43[[#This Row],[kode  2 Digit                (Nomor)]],Table43[[#This Row],[kode  1 Digit                (Nomor)]])</f>
        <v>F4063</v>
      </c>
      <c r="L85" s="4" t="str">
        <f>IF(AG85="",CONCATENATE(Q85,S85,U85,W85,Y85,AA85,AC85,AE85,Table43[[#This Row],[Tanda Kode Revisi]]),CONCATENATE(Q85,S85,U85,W85,Y85,AA85,AC85,AG85))</f>
        <v>F4063004011010</v>
      </c>
      <c r="M85" s="11">
        <f t="shared" si="2"/>
        <v>14</v>
      </c>
      <c r="N85" s="14" t="str">
        <f>IF(AF85&lt;&gt;"",TRIM(UPPER(CONCATENATE(P85," ",R85," ",T85," ",V85," ",X85," ",Z85," ","X"," ",Table43[[#This Row],[ISI/CTN]]," ",AF85," ",AB85," ",AD85," ",AH85))),TRIM(UPPER(CONCATENATE(P85," ",R85," ",T85," ",V85," ",X85," ",Z85," ","X"," ",Table43[[#This Row],[ISI/CTN]]," ",AB85," ",AD85," ",AH85))))</f>
        <v>SHINZUI BODY SCRUB MATSU 110G X 96 JAR</v>
      </c>
      <c r="O85" s="11">
        <f t="shared" si="3"/>
        <v>38</v>
      </c>
      <c r="Q85" s="7" t="s">
        <v>662</v>
      </c>
      <c r="R85" s="4" t="s">
        <v>680</v>
      </c>
      <c r="S85" s="48" t="s">
        <v>755</v>
      </c>
      <c r="T85" s="49" t="s">
        <v>698</v>
      </c>
      <c r="U85" s="7">
        <v>3</v>
      </c>
      <c r="V85" s="49"/>
      <c r="W85" s="48" t="s">
        <v>370</v>
      </c>
      <c r="X85" s="4" t="s">
        <v>681</v>
      </c>
      <c r="Y85" s="50" t="s">
        <v>753</v>
      </c>
      <c r="Z85" s="4" t="s">
        <v>706</v>
      </c>
      <c r="AA85" s="50" t="s">
        <v>742</v>
      </c>
      <c r="AB85" s="4" t="s">
        <v>733</v>
      </c>
      <c r="AC85" s="7">
        <v>1</v>
      </c>
      <c r="AE85" s="7">
        <v>0</v>
      </c>
      <c r="AI85" s="7" t="s">
        <v>179</v>
      </c>
      <c r="AJ85" s="7">
        <v>1</v>
      </c>
      <c r="AL85" s="38">
        <v>7340.468468468468</v>
      </c>
      <c r="AM85" s="39">
        <f>Table43[[#This Row],[Harga Beli Pcs
(-PPN)]]*Table43[[#This Row],[ISI/CTN]]</f>
        <v>704684.9729729729</v>
      </c>
      <c r="AN85" s="39">
        <f>Table43[[#This Row],[Harga Beli Pcs
(-PPN)]]*1.11</f>
        <v>8147.92</v>
      </c>
      <c r="AO85" s="39">
        <f>Table43[[#This Row],[Harga Beli Krt
(- PPN)]]*1.11</f>
        <v>782200.31999999995</v>
      </c>
      <c r="AP85" s="39">
        <v>7927.9279279279281</v>
      </c>
      <c r="AQ85" s="39">
        <f>Table43[[#This Row],[Harga Jual Pcs GT
(-PPN)]]*Table43[[#This Row],[ISI/CTN]]</f>
        <v>761081.08108108107</v>
      </c>
      <c r="AR85" s="39">
        <f>Table43[[#This Row],[Harga Jual Pcs GT
(-PPN)]]*1.11</f>
        <v>8800.0000000000018</v>
      </c>
      <c r="AS85" s="39">
        <f>Table43[[#This Row],[Harga Jual Krt GT
(- PPN)]]*1.11</f>
        <v>844800</v>
      </c>
      <c r="AT85" s="39"/>
      <c r="AU85" s="39">
        <f>Table43[[#This Row],[Harga Jual Pcs MT
(-PPN)]]*Table43[[#This Row],[ISI/CTN]]</f>
        <v>0</v>
      </c>
      <c r="AV85" s="39">
        <f>Table43[[#This Row],[Harga Jual Pcs MT
(-PPN)]]*1.11</f>
        <v>0</v>
      </c>
      <c r="AW85" s="39">
        <f>Table43[[#This Row],[Harga Jual Pcs MT
(+PPN)]]*Table43[[#This Row],[ISI/CTN]]</f>
        <v>0</v>
      </c>
      <c r="AX85" s="47">
        <f>IFERROR((Table43[[#This Row],[Harga Jual Pcs GT
(-PPN)]]-Table43[[#This Row],[Harga Beli Pcs
(-PPN)]])/Table43[[#This Row],[Harga Jual Pcs GT
(-PPN)]],0)</f>
        <v>7.4100000000000069E-2</v>
      </c>
      <c r="AY85" s="51">
        <v>45848</v>
      </c>
      <c r="AZ85" s="7"/>
      <c r="BA85" s="7" t="str">
        <f ca="1">IF(TODAY()-Table43[[#This Row],[Efektif
Pembuatan]]&gt;60,"Lama","Baru")</f>
        <v>Lama</v>
      </c>
      <c r="BB85" s="7" t="str">
        <f ca="1">IF(TODAY()-Table43[[#This Row],[Efektif Naik Harga]]&lt;30,"Naik","Sama")</f>
        <v>Sama</v>
      </c>
      <c r="BC85" s="7" t="s">
        <v>185</v>
      </c>
      <c r="BD85" s="7" t="str">
        <f>IF(Table43[[#This Row],[Kode BARANG Win2]]&lt;&gt;"","IDR","")</f>
        <v>IDR</v>
      </c>
      <c r="BE85" s="7" t="str">
        <f>CONCATENATE(Table43[[#This Row],[kode  1 Digit
(Nomor)]],Table43[[#This Row],[kode  4 Digit                (Nomor)]])</f>
        <v>10110</v>
      </c>
      <c r="BF85" s="7" t="str">
        <f>Table43[[#This Row],[Nama            Gramasi atau Jumlah Pack per CTN]]</f>
        <v>110G</v>
      </c>
      <c r="BG85" s="7" t="s">
        <v>1060</v>
      </c>
      <c r="BH85" s="7" t="s">
        <v>377</v>
      </c>
      <c r="BI85" s="4" t="str">
        <f>IF(Table43[[#This Row],[SATUAN Fix Win]]&lt;&gt;"","KRT")</f>
        <v>KRT</v>
      </c>
      <c r="BJ85" s="4" t="str">
        <f>IF(Table43[[#This Row],[SATUAN Fix Win]]&lt;&gt;"","GD01")</f>
        <v>GD01</v>
      </c>
      <c r="BK85" s="4">
        <f>IF(Table43[[#This Row],[SATUAN Fix Win]]&lt;&gt;"",11611)</f>
        <v>11611</v>
      </c>
      <c r="BL85" s="4">
        <f>IF(Table43[[#This Row],[SATUAN Fix Win]]&lt;&gt;"",11612)</f>
        <v>11612</v>
      </c>
      <c r="BM85" s="52" t="s">
        <v>378</v>
      </c>
      <c r="BN85" s="4">
        <f>IF(Table43[[#This Row],[SATUAN Fix Win]]&lt;&gt;"",1)</f>
        <v>1</v>
      </c>
      <c r="BO85" s="4" t="s">
        <v>637</v>
      </c>
    </row>
    <row r="86" spans="1:70">
      <c r="A86" s="4" t="str">
        <f>CONCATENATE(Table43[[#This Row],[Kode BARANG Win2]],Table43[[#This Row],[No. Urut
Item Sama]])</f>
        <v>F40630040200101</v>
      </c>
      <c r="B86" s="7">
        <v>1</v>
      </c>
      <c r="C86" s="4">
        <v>75</v>
      </c>
      <c r="D86" s="27" t="s">
        <v>471</v>
      </c>
      <c r="E86" s="27" t="s">
        <v>628</v>
      </c>
      <c r="F86" s="27" t="s">
        <v>592</v>
      </c>
      <c r="G86" s="27">
        <v>48</v>
      </c>
      <c r="H86" s="54">
        <v>8992946519338</v>
      </c>
      <c r="I86" s="27" t="str">
        <f>Table43[[#This Row],[Nama Jenis Kemasan]]</f>
        <v>JAR</v>
      </c>
      <c r="J86" s="4" t="str">
        <f>TRIM(CONCATENATE(Table43[[#This Row],[Nama            KLP]]," ",Table43[[#This Row],[Nama            Sub KLP]]))</f>
        <v>SHINZUI BODY SCRUB</v>
      </c>
      <c r="K86" s="4" t="str">
        <f>CONCATENATE(Table43[[#This Row],[kode  2 Digit                (hrf+No)]],Table43[[#This Row],[kode  2 Digit                (Nomor)]],Table43[[#This Row],[kode  1 Digit                (Nomor)]])</f>
        <v>F4063</v>
      </c>
      <c r="L86" s="4" t="str">
        <f>IF(AG86="",CONCATENATE(Q86,S86,U86,W86,Y86,AA86,AC86,AE86,Table43[[#This Row],[Tanda Kode Revisi]]),CONCATENATE(Q86,S86,U86,W86,Y86,AA86,AC86,AG86))</f>
        <v>F4063004020010</v>
      </c>
      <c r="M86" s="11">
        <f t="shared" si="2"/>
        <v>14</v>
      </c>
      <c r="N86" s="14" t="str">
        <f>IF(AF86&lt;&gt;"",TRIM(UPPER(CONCATENATE(P86," ",R86," ",T86," ",V86," ",X86," ",Z86," ","X"," ",Table43[[#This Row],[ISI/CTN]]," ",AF86," ",AB86," ",AD86," ",AH86))),TRIM(UPPER(CONCATENATE(P86," ",R86," ",T86," ",V86," ",X86," ",Z86," ","X"," ",Table43[[#This Row],[ISI/CTN]]," ",AB86," ",AD86," ",AH86))))</f>
        <v>SHINZUI BODY SCRUB MATSU 200G X 48 JAR</v>
      </c>
      <c r="O86" s="11">
        <f t="shared" si="3"/>
        <v>38</v>
      </c>
      <c r="Q86" s="7" t="s">
        <v>662</v>
      </c>
      <c r="R86" s="4" t="s">
        <v>680</v>
      </c>
      <c r="S86" s="48" t="s">
        <v>755</v>
      </c>
      <c r="T86" s="49" t="s">
        <v>698</v>
      </c>
      <c r="U86" s="7">
        <v>3</v>
      </c>
      <c r="V86" s="49"/>
      <c r="W86" s="48" t="s">
        <v>370</v>
      </c>
      <c r="X86" s="4" t="s">
        <v>681</v>
      </c>
      <c r="Y86" s="50" t="s">
        <v>753</v>
      </c>
      <c r="Z86" s="4" t="s">
        <v>707</v>
      </c>
      <c r="AA86" s="50" t="s">
        <v>745</v>
      </c>
      <c r="AB86" s="4" t="s">
        <v>733</v>
      </c>
      <c r="AC86" s="7">
        <v>1</v>
      </c>
      <c r="AE86" s="7">
        <v>0</v>
      </c>
      <c r="AI86" s="7" t="s">
        <v>179</v>
      </c>
      <c r="AJ86" s="7">
        <v>1</v>
      </c>
      <c r="AL86" s="38">
        <v>11094.117117117115</v>
      </c>
      <c r="AM86" s="39">
        <f>Table43[[#This Row],[Harga Beli Pcs
(-PPN)]]*Table43[[#This Row],[ISI/CTN]]</f>
        <v>532517.62162162154</v>
      </c>
      <c r="AN86" s="39">
        <f>Table43[[#This Row],[Harga Beli Pcs
(-PPN)]]*1.11</f>
        <v>12314.47</v>
      </c>
      <c r="AO86" s="39">
        <f>Table43[[#This Row],[Harga Beli Krt
(- PPN)]]*1.11</f>
        <v>591094.55999999994</v>
      </c>
      <c r="AP86" s="39">
        <v>11981.98198198198</v>
      </c>
      <c r="AQ86" s="39">
        <f>Table43[[#This Row],[Harga Jual Pcs GT
(-PPN)]]*Table43[[#This Row],[ISI/CTN]]</f>
        <v>575135.13513513503</v>
      </c>
      <c r="AR86" s="39">
        <f>Table43[[#This Row],[Harga Jual Pcs GT
(-PPN)]]*1.11</f>
        <v>13300</v>
      </c>
      <c r="AS86" s="39">
        <f>Table43[[#This Row],[Harga Jual Krt GT
(- PPN)]]*1.11</f>
        <v>638399.99999999988</v>
      </c>
      <c r="AT86" s="39"/>
      <c r="AU86" s="39">
        <f>Table43[[#This Row],[Harga Jual Pcs MT
(-PPN)]]*Table43[[#This Row],[ISI/CTN]]</f>
        <v>0</v>
      </c>
      <c r="AV86" s="39">
        <f>Table43[[#This Row],[Harga Jual Pcs MT
(-PPN)]]*1.11</f>
        <v>0</v>
      </c>
      <c r="AW86" s="39">
        <f>Table43[[#This Row],[Harga Jual Pcs MT
(+PPN)]]*Table43[[#This Row],[ISI/CTN]]</f>
        <v>0</v>
      </c>
      <c r="AX86" s="47">
        <f>IFERROR((Table43[[#This Row],[Harga Jual Pcs GT
(-PPN)]]-Table43[[#This Row],[Harga Beli Pcs
(-PPN)]])/Table43[[#This Row],[Harga Jual Pcs GT
(-PPN)]],0)</f>
        <v>7.4100000000000027E-2</v>
      </c>
      <c r="AY86" s="51">
        <v>45848</v>
      </c>
      <c r="AZ86" s="7"/>
      <c r="BA86" s="7" t="str">
        <f ca="1">IF(TODAY()-Table43[[#This Row],[Efektif
Pembuatan]]&gt;60,"Lama","Baru")</f>
        <v>Lama</v>
      </c>
      <c r="BB86" s="7" t="str">
        <f ca="1">IF(TODAY()-Table43[[#This Row],[Efektif Naik Harga]]&lt;30,"Naik","Sama")</f>
        <v>Sama</v>
      </c>
      <c r="BC86" s="7" t="s">
        <v>185</v>
      </c>
      <c r="BD86" s="7" t="str">
        <f>IF(Table43[[#This Row],[Kode BARANG Win2]]&lt;&gt;"","IDR","")</f>
        <v>IDR</v>
      </c>
      <c r="BE86" s="7" t="str">
        <f>CONCATENATE(Table43[[#This Row],[kode  1 Digit
(Nomor)]],Table43[[#This Row],[kode  4 Digit                (Nomor)]])</f>
        <v>10200</v>
      </c>
      <c r="BF86" s="7" t="str">
        <f>Table43[[#This Row],[Nama            Gramasi atau Jumlah Pack per CTN]]</f>
        <v>200G</v>
      </c>
      <c r="BG86" s="7" t="s">
        <v>1060</v>
      </c>
      <c r="BH86" s="7" t="s">
        <v>377</v>
      </c>
      <c r="BI86" s="4" t="str">
        <f>IF(Table43[[#This Row],[SATUAN Fix Win]]&lt;&gt;"","KRT")</f>
        <v>KRT</v>
      </c>
      <c r="BJ86" s="4" t="str">
        <f>IF(Table43[[#This Row],[SATUAN Fix Win]]&lt;&gt;"","GD01")</f>
        <v>GD01</v>
      </c>
      <c r="BK86" s="4">
        <f>IF(Table43[[#This Row],[SATUAN Fix Win]]&lt;&gt;"",11611)</f>
        <v>11611</v>
      </c>
      <c r="BL86" s="4">
        <f>IF(Table43[[#This Row],[SATUAN Fix Win]]&lt;&gt;"",11612)</f>
        <v>11612</v>
      </c>
      <c r="BM86" s="52" t="s">
        <v>378</v>
      </c>
      <c r="BN86" s="4">
        <f>IF(Table43[[#This Row],[SATUAN Fix Win]]&lt;&gt;"",1)</f>
        <v>1</v>
      </c>
      <c r="BO86" s="4" t="s">
        <v>637</v>
      </c>
    </row>
    <row r="87" spans="1:70">
      <c r="A87" s="4" t="str">
        <f>CONCATENATE(Table43[[#This Row],[Kode BARANG Win2]],Table43[[#This Row],[No. Urut
Item Sama]])</f>
        <v>F40630050110101</v>
      </c>
      <c r="B87" s="7">
        <v>1</v>
      </c>
      <c r="C87" s="4">
        <v>76</v>
      </c>
      <c r="D87" s="27" t="s">
        <v>476</v>
      </c>
      <c r="E87" s="27" t="s">
        <v>628</v>
      </c>
      <c r="F87" s="27" t="s">
        <v>597</v>
      </c>
      <c r="G87" s="27">
        <v>96</v>
      </c>
      <c r="H87" s="54">
        <v>8992946522202</v>
      </c>
      <c r="I87" s="27" t="str">
        <f>Table43[[#This Row],[Nama Jenis Kemasan]]</f>
        <v>JAR</v>
      </c>
      <c r="J87" s="4" t="str">
        <f>TRIM(CONCATENATE(Table43[[#This Row],[Nama            KLP]]," ",Table43[[#This Row],[Nama            Sub KLP]]))</f>
        <v>SHINZUI BODY SCRUB</v>
      </c>
      <c r="K87" s="4" t="str">
        <f>CONCATENATE(Table43[[#This Row],[kode  2 Digit                (hrf+No)]],Table43[[#This Row],[kode  2 Digit                (Nomor)]],Table43[[#This Row],[kode  1 Digit                (Nomor)]])</f>
        <v>F4063</v>
      </c>
      <c r="L87" s="4" t="str">
        <f>IF(AG87="",CONCATENATE(Q87,S87,U87,W87,Y87,AA87,AC87,AE87,Table43[[#This Row],[Tanda Kode Revisi]]),CONCATENATE(Q87,S87,U87,W87,Y87,AA87,AC87,AG87))</f>
        <v>F4063005011010</v>
      </c>
      <c r="M87" s="11">
        <f t="shared" si="2"/>
        <v>14</v>
      </c>
      <c r="N87" s="14" t="str">
        <f>IF(AF87&lt;&gt;"",TRIM(UPPER(CONCATENATE(P87," ",R87," ",T87," ",V87," ",X87," ",Z87," ","X"," ",Table43[[#This Row],[ISI/CTN]]," ",AF87," ",AB87," ",AD87," ",AH87))),TRIM(UPPER(CONCATENATE(P87," ",R87," ",T87," ",V87," ",X87," ",Z87," ","X"," ",Table43[[#This Row],[ISI/CTN]]," ",AB87," ",AD87," ",AH87))))</f>
        <v>SHINZUI BODY SCRUB MYORI 110G X 96 JAR</v>
      </c>
      <c r="O87" s="11">
        <f t="shared" si="3"/>
        <v>38</v>
      </c>
      <c r="Q87" s="7" t="s">
        <v>662</v>
      </c>
      <c r="R87" s="4" t="s">
        <v>680</v>
      </c>
      <c r="S87" s="48" t="s">
        <v>755</v>
      </c>
      <c r="T87" s="49" t="s">
        <v>698</v>
      </c>
      <c r="U87" s="7">
        <v>3</v>
      </c>
      <c r="V87" s="49"/>
      <c r="W87" s="48" t="s">
        <v>370</v>
      </c>
      <c r="X87" s="4" t="s">
        <v>692</v>
      </c>
      <c r="Y87" s="50" t="s">
        <v>754</v>
      </c>
      <c r="Z87" s="4" t="s">
        <v>706</v>
      </c>
      <c r="AA87" s="50" t="s">
        <v>742</v>
      </c>
      <c r="AB87" s="4" t="s">
        <v>733</v>
      </c>
      <c r="AC87" s="7">
        <v>1</v>
      </c>
      <c r="AE87" s="7">
        <v>0</v>
      </c>
      <c r="AI87" s="7" t="s">
        <v>179</v>
      </c>
      <c r="AJ87" s="7">
        <v>1</v>
      </c>
      <c r="AL87" s="38">
        <v>7340.468468468468</v>
      </c>
      <c r="AM87" s="39">
        <f>Table43[[#This Row],[Harga Beli Pcs
(-PPN)]]*Table43[[#This Row],[ISI/CTN]]</f>
        <v>704684.9729729729</v>
      </c>
      <c r="AN87" s="39">
        <f>Table43[[#This Row],[Harga Beli Pcs
(-PPN)]]*1.11</f>
        <v>8147.92</v>
      </c>
      <c r="AO87" s="39">
        <f>Table43[[#This Row],[Harga Beli Krt
(- PPN)]]*1.11</f>
        <v>782200.31999999995</v>
      </c>
      <c r="AP87" s="39">
        <v>7927.9279279279281</v>
      </c>
      <c r="AQ87" s="39">
        <f>Table43[[#This Row],[Harga Jual Pcs GT
(-PPN)]]*Table43[[#This Row],[ISI/CTN]]</f>
        <v>761081.08108108107</v>
      </c>
      <c r="AR87" s="39">
        <f>Table43[[#This Row],[Harga Jual Pcs GT
(-PPN)]]*1.11</f>
        <v>8800.0000000000018</v>
      </c>
      <c r="AS87" s="39">
        <f>Table43[[#This Row],[Harga Jual Krt GT
(- PPN)]]*1.11</f>
        <v>844800</v>
      </c>
      <c r="AT87" s="39"/>
      <c r="AU87" s="39">
        <f>Table43[[#This Row],[Harga Jual Pcs MT
(-PPN)]]*Table43[[#This Row],[ISI/CTN]]</f>
        <v>0</v>
      </c>
      <c r="AV87" s="39">
        <f>Table43[[#This Row],[Harga Jual Pcs MT
(-PPN)]]*1.11</f>
        <v>0</v>
      </c>
      <c r="AW87" s="39">
        <f>Table43[[#This Row],[Harga Jual Pcs MT
(+PPN)]]*Table43[[#This Row],[ISI/CTN]]</f>
        <v>0</v>
      </c>
      <c r="AX87" s="47">
        <f>IFERROR((Table43[[#This Row],[Harga Jual Pcs GT
(-PPN)]]-Table43[[#This Row],[Harga Beli Pcs
(-PPN)]])/Table43[[#This Row],[Harga Jual Pcs GT
(-PPN)]],0)</f>
        <v>7.4100000000000069E-2</v>
      </c>
      <c r="AY87" s="51">
        <v>45848</v>
      </c>
      <c r="AZ87" s="7"/>
      <c r="BA87" s="7" t="str">
        <f ca="1">IF(TODAY()-Table43[[#This Row],[Efektif
Pembuatan]]&gt;60,"Lama","Baru")</f>
        <v>Lama</v>
      </c>
      <c r="BB87" s="7" t="str">
        <f ca="1">IF(TODAY()-Table43[[#This Row],[Efektif Naik Harga]]&lt;30,"Naik","Sama")</f>
        <v>Sama</v>
      </c>
      <c r="BC87" s="7" t="s">
        <v>185</v>
      </c>
      <c r="BD87" s="7" t="str">
        <f>IF(Table43[[#This Row],[Kode BARANG Win2]]&lt;&gt;"","IDR","")</f>
        <v>IDR</v>
      </c>
      <c r="BE87" s="7" t="str">
        <f>CONCATENATE(Table43[[#This Row],[kode  1 Digit
(Nomor)]],Table43[[#This Row],[kode  4 Digit                (Nomor)]])</f>
        <v>10110</v>
      </c>
      <c r="BF87" s="7" t="str">
        <f>Table43[[#This Row],[Nama            Gramasi atau Jumlah Pack per CTN]]</f>
        <v>110G</v>
      </c>
      <c r="BG87" s="7" t="s">
        <v>1060</v>
      </c>
      <c r="BH87" s="7" t="s">
        <v>377</v>
      </c>
      <c r="BI87" s="4" t="str">
        <f>IF(Table43[[#This Row],[SATUAN Fix Win]]&lt;&gt;"","KRT")</f>
        <v>KRT</v>
      </c>
      <c r="BJ87" s="4" t="str">
        <f>IF(Table43[[#This Row],[SATUAN Fix Win]]&lt;&gt;"","GD01")</f>
        <v>GD01</v>
      </c>
      <c r="BK87" s="4">
        <f>IF(Table43[[#This Row],[SATUAN Fix Win]]&lt;&gt;"",11611)</f>
        <v>11611</v>
      </c>
      <c r="BL87" s="4">
        <f>IF(Table43[[#This Row],[SATUAN Fix Win]]&lt;&gt;"",11612)</f>
        <v>11612</v>
      </c>
      <c r="BM87" s="52" t="s">
        <v>378</v>
      </c>
      <c r="BN87" s="4">
        <f>IF(Table43[[#This Row],[SATUAN Fix Win]]&lt;&gt;"",1)</f>
        <v>1</v>
      </c>
      <c r="BO87" s="4" t="s">
        <v>637</v>
      </c>
    </row>
    <row r="88" spans="1:70">
      <c r="A88" s="4" t="str">
        <f>CONCATENATE(Table43[[#This Row],[Kode BARANG Win2]],Table43[[#This Row],[No. Urut
Item Sama]])</f>
        <v>F40630050200101</v>
      </c>
      <c r="B88" s="7">
        <v>1</v>
      </c>
      <c r="C88" s="4">
        <v>77</v>
      </c>
      <c r="D88" s="27" t="s">
        <v>477</v>
      </c>
      <c r="E88" s="27" t="s">
        <v>628</v>
      </c>
      <c r="F88" s="27" t="s">
        <v>598</v>
      </c>
      <c r="G88" s="27">
        <v>48</v>
      </c>
      <c r="H88" s="54">
        <v>8992946521822</v>
      </c>
      <c r="I88" s="27" t="str">
        <f>Table43[[#This Row],[Nama Jenis Kemasan]]</f>
        <v>JAR</v>
      </c>
      <c r="J88" s="4" t="str">
        <f>TRIM(CONCATENATE(Table43[[#This Row],[Nama            KLP]]," ",Table43[[#This Row],[Nama            Sub KLP]]))</f>
        <v>SHINZUI BODY SCRUB</v>
      </c>
      <c r="K88" s="4" t="str">
        <f>CONCATENATE(Table43[[#This Row],[kode  2 Digit                (hrf+No)]],Table43[[#This Row],[kode  2 Digit                (Nomor)]],Table43[[#This Row],[kode  1 Digit                (Nomor)]])</f>
        <v>F4063</v>
      </c>
      <c r="L88" s="4" t="str">
        <f>IF(AG88="",CONCATENATE(Q88,S88,U88,W88,Y88,AA88,AC88,AE88,Table43[[#This Row],[Tanda Kode Revisi]]),CONCATENATE(Q88,S88,U88,W88,Y88,AA88,AC88,AG88))</f>
        <v>F4063005020010</v>
      </c>
      <c r="M88" s="11">
        <f t="shared" si="2"/>
        <v>14</v>
      </c>
      <c r="N88" s="14" t="str">
        <f>IF(AF88&lt;&gt;"",TRIM(UPPER(CONCATENATE(P88," ",R88," ",T88," ",V88," P69",X88," ",Z88," ","X"," ",Table43[[#This Row],[ISI/CTN]]," ",AF88," ",AB88," ",AD88," ",AH88))),TRIM(UPPER(CONCATENATE(P88," ",R88," ",T88," ",V88," ",X88," ",Z88," ","X"," ",Table43[[#This Row],[ISI/CTN]]," ",AB88," ",AD88," ",AH88))))</f>
        <v>SHINZUI BODY SCRUB MYORI 200G X 48 JAR</v>
      </c>
      <c r="O88" s="11">
        <f t="shared" si="3"/>
        <v>38</v>
      </c>
      <c r="Q88" s="7" t="s">
        <v>662</v>
      </c>
      <c r="R88" s="4" t="s">
        <v>680</v>
      </c>
      <c r="S88" s="48" t="s">
        <v>755</v>
      </c>
      <c r="T88" s="49" t="s">
        <v>698</v>
      </c>
      <c r="U88" s="7">
        <v>3</v>
      </c>
      <c r="V88" s="49"/>
      <c r="W88" s="48" t="s">
        <v>370</v>
      </c>
      <c r="X88" s="4" t="s">
        <v>692</v>
      </c>
      <c r="Y88" s="50" t="s">
        <v>754</v>
      </c>
      <c r="Z88" s="4" t="s">
        <v>707</v>
      </c>
      <c r="AA88" s="50" t="s">
        <v>745</v>
      </c>
      <c r="AB88" s="4" t="s">
        <v>733</v>
      </c>
      <c r="AC88" s="7">
        <v>1</v>
      </c>
      <c r="AE88" s="7">
        <v>0</v>
      </c>
      <c r="AI88" s="7" t="s">
        <v>179</v>
      </c>
      <c r="AJ88" s="7">
        <v>1</v>
      </c>
      <c r="AL88" s="38">
        <v>11094.117117117115</v>
      </c>
      <c r="AM88" s="39">
        <f>Table43[[#This Row],[Harga Beli Pcs
(-PPN)]]*Table43[[#This Row],[ISI/CTN]]</f>
        <v>532517.62162162154</v>
      </c>
      <c r="AN88" s="39">
        <f>Table43[[#This Row],[Harga Beli Pcs
(-PPN)]]*1.11</f>
        <v>12314.47</v>
      </c>
      <c r="AO88" s="39">
        <f>Table43[[#This Row],[Harga Beli Krt
(- PPN)]]*1.11</f>
        <v>591094.55999999994</v>
      </c>
      <c r="AP88" s="39">
        <v>11981.98198198198</v>
      </c>
      <c r="AQ88" s="39">
        <f>Table43[[#This Row],[Harga Jual Pcs GT
(-PPN)]]*Table43[[#This Row],[ISI/CTN]]</f>
        <v>575135.13513513503</v>
      </c>
      <c r="AR88" s="39">
        <f>Table43[[#This Row],[Harga Jual Pcs GT
(-PPN)]]*1.11</f>
        <v>13300</v>
      </c>
      <c r="AS88" s="39">
        <f>Table43[[#This Row],[Harga Jual Krt GT
(- PPN)]]*1.11</f>
        <v>638399.99999999988</v>
      </c>
      <c r="AT88" s="39"/>
      <c r="AU88" s="39">
        <f>Table43[[#This Row],[Harga Jual Pcs MT
(-PPN)]]*Table43[[#This Row],[ISI/CTN]]</f>
        <v>0</v>
      </c>
      <c r="AV88" s="39">
        <f>Table43[[#This Row],[Harga Jual Pcs MT
(-PPN)]]*1.11</f>
        <v>0</v>
      </c>
      <c r="AW88" s="39">
        <f>Table43[[#This Row],[Harga Jual Pcs MT
(+PPN)]]*Table43[[#This Row],[ISI/CTN]]</f>
        <v>0</v>
      </c>
      <c r="AX88" s="47">
        <f>IFERROR((Table43[[#This Row],[Harga Jual Pcs GT
(-PPN)]]-Table43[[#This Row],[Harga Beli Pcs
(-PPN)]])/Table43[[#This Row],[Harga Jual Pcs GT
(-PPN)]],0)</f>
        <v>7.4100000000000027E-2</v>
      </c>
      <c r="AY88" s="51">
        <v>45848</v>
      </c>
      <c r="AZ88" s="7"/>
      <c r="BA88" s="7" t="str">
        <f ca="1">IF(TODAY()-Table43[[#This Row],[Efektif
Pembuatan]]&gt;60,"Lama","Baru")</f>
        <v>Lama</v>
      </c>
      <c r="BB88" s="7" t="str">
        <f ca="1">IF(TODAY()-Table43[[#This Row],[Efektif Naik Harga]]&lt;30,"Naik","Sama")</f>
        <v>Sama</v>
      </c>
      <c r="BC88" s="7" t="s">
        <v>185</v>
      </c>
      <c r="BD88" s="7" t="str">
        <f>IF(Table43[[#This Row],[Kode BARANG Win2]]&lt;&gt;"","IDR","")</f>
        <v>IDR</v>
      </c>
      <c r="BE88" s="7" t="str">
        <f>CONCATENATE(Table43[[#This Row],[kode  1 Digit
(Nomor)]],Table43[[#This Row],[kode  4 Digit                (Nomor)]])</f>
        <v>10200</v>
      </c>
      <c r="BF88" s="7" t="str">
        <f>Table43[[#This Row],[Nama            Gramasi atau Jumlah Pack per CTN]]</f>
        <v>200G</v>
      </c>
      <c r="BG88" s="7" t="s">
        <v>1060</v>
      </c>
      <c r="BH88" s="7" t="s">
        <v>377</v>
      </c>
      <c r="BI88" s="4" t="str">
        <f>IF(Table43[[#This Row],[SATUAN Fix Win]]&lt;&gt;"","KRT")</f>
        <v>KRT</v>
      </c>
      <c r="BJ88" s="4" t="str">
        <f>IF(Table43[[#This Row],[SATUAN Fix Win]]&lt;&gt;"","GD01")</f>
        <v>GD01</v>
      </c>
      <c r="BK88" s="4">
        <f>IF(Table43[[#This Row],[SATUAN Fix Win]]&lt;&gt;"",11611)</f>
        <v>11611</v>
      </c>
      <c r="BL88" s="4">
        <f>IF(Table43[[#This Row],[SATUAN Fix Win]]&lt;&gt;"",11612)</f>
        <v>11612</v>
      </c>
      <c r="BM88" s="52" t="s">
        <v>378</v>
      </c>
      <c r="BN88" s="4">
        <f>IF(Table43[[#This Row],[SATUAN Fix Win]]&lt;&gt;"",1)</f>
        <v>1</v>
      </c>
      <c r="BO88" s="4" t="s">
        <v>637</v>
      </c>
    </row>
    <row r="89" spans="1:70">
      <c r="A89" s="4" t="str">
        <f>CONCATENATE(Table43[[#This Row],[Kode BARANG Win2]],Table43[[#This Row],[No. Urut
Item Sama]])</f>
        <v>F40630060110101</v>
      </c>
      <c r="B89" s="7">
        <v>1</v>
      </c>
      <c r="C89" s="4">
        <v>78</v>
      </c>
      <c r="D89" s="27" t="s">
        <v>478</v>
      </c>
      <c r="E89" s="27" t="s">
        <v>628</v>
      </c>
      <c r="F89" s="27" t="s">
        <v>599</v>
      </c>
      <c r="G89" s="27">
        <v>96</v>
      </c>
      <c r="H89" s="54">
        <v>8992946522208</v>
      </c>
      <c r="I89" s="27" t="str">
        <f>Table43[[#This Row],[Nama Jenis Kemasan]]</f>
        <v>JAR</v>
      </c>
      <c r="J89" s="4" t="str">
        <f>TRIM(CONCATENATE(Table43[[#This Row],[Nama            KLP]]," ",Table43[[#This Row],[Nama            Sub KLP]]))</f>
        <v>SHINZUI BODY SCRUB</v>
      </c>
      <c r="K89" s="4" t="str">
        <f>CONCATENATE(Table43[[#This Row],[kode  2 Digit                (hrf+No)]],Table43[[#This Row],[kode  2 Digit                (Nomor)]],Table43[[#This Row],[kode  1 Digit                (Nomor)]])</f>
        <v>F4063</v>
      </c>
      <c r="L89" s="4" t="str">
        <f>IF(AG89="",CONCATENATE(Q89,S89,U89,W89,Y89,AA89,AC89,AE89,Table43[[#This Row],[Tanda Kode Revisi]]),CONCATENATE(Q89,S89,U89,W89,Y89,AA89,AC89,AG89))</f>
        <v>F4063006011010</v>
      </c>
      <c r="M89" s="11">
        <f t="shared" si="2"/>
        <v>14</v>
      </c>
      <c r="N89" s="14" t="str">
        <f>IF(AF89&lt;&gt;"",TRIM(UPPER(CONCATENATE(P89," ",R89," ",T89," ",V89," ",X89," ",Z89," ","X"," ",Table43[[#This Row],[ISI/CTN]]," ",AF89," ",AB89," ",AD89," ",AH89))),TRIM(UPPER(CONCATENATE(P89," ",R89," ",T89," ",V89," ",X89," ",Z89," ","X"," ",Table43[[#This Row],[ISI/CTN]]," ",AB89," ",AD89," ",AH89))))</f>
        <v>SHINZUI BODY SCRUB SAKURA 110G X 96 JAR</v>
      </c>
      <c r="O89" s="11">
        <f t="shared" si="3"/>
        <v>39</v>
      </c>
      <c r="Q89" s="7" t="s">
        <v>662</v>
      </c>
      <c r="R89" s="4" t="s">
        <v>680</v>
      </c>
      <c r="S89" s="48" t="s">
        <v>755</v>
      </c>
      <c r="T89" s="49" t="s">
        <v>698</v>
      </c>
      <c r="U89" s="7">
        <v>3</v>
      </c>
      <c r="V89" s="49"/>
      <c r="W89" s="48" t="s">
        <v>370</v>
      </c>
      <c r="X89" s="4" t="s">
        <v>693</v>
      </c>
      <c r="Y89" s="50" t="s">
        <v>755</v>
      </c>
      <c r="Z89" s="4" t="s">
        <v>706</v>
      </c>
      <c r="AA89" s="50" t="s">
        <v>742</v>
      </c>
      <c r="AB89" s="4" t="s">
        <v>733</v>
      </c>
      <c r="AC89" s="7">
        <v>1</v>
      </c>
      <c r="AE89" s="7">
        <v>0</v>
      </c>
      <c r="AI89" s="7" t="s">
        <v>179</v>
      </c>
      <c r="AJ89" s="7">
        <v>1</v>
      </c>
      <c r="AL89" s="38">
        <v>7340.468468468468</v>
      </c>
      <c r="AM89" s="39">
        <f>Table43[[#This Row],[Harga Beli Pcs
(-PPN)]]*Table43[[#This Row],[ISI/CTN]]</f>
        <v>704684.9729729729</v>
      </c>
      <c r="AN89" s="39">
        <f>Table43[[#This Row],[Harga Beli Pcs
(-PPN)]]*1.11</f>
        <v>8147.92</v>
      </c>
      <c r="AO89" s="39">
        <f>Table43[[#This Row],[Harga Beli Krt
(- PPN)]]*1.11</f>
        <v>782200.31999999995</v>
      </c>
      <c r="AP89" s="39">
        <v>7927.9279279279281</v>
      </c>
      <c r="AQ89" s="39">
        <f>Table43[[#This Row],[Harga Jual Pcs GT
(-PPN)]]*Table43[[#This Row],[ISI/CTN]]</f>
        <v>761081.08108108107</v>
      </c>
      <c r="AR89" s="39">
        <f>Table43[[#This Row],[Harga Jual Pcs GT
(-PPN)]]*1.11</f>
        <v>8800.0000000000018</v>
      </c>
      <c r="AS89" s="39">
        <f>Table43[[#This Row],[Harga Jual Krt GT
(- PPN)]]*1.11</f>
        <v>844800</v>
      </c>
      <c r="AT89" s="39"/>
      <c r="AU89" s="39">
        <f>Table43[[#This Row],[Harga Jual Pcs MT
(-PPN)]]*Table43[[#This Row],[ISI/CTN]]</f>
        <v>0</v>
      </c>
      <c r="AV89" s="39">
        <f>Table43[[#This Row],[Harga Jual Pcs MT
(-PPN)]]*1.11</f>
        <v>0</v>
      </c>
      <c r="AW89" s="39">
        <f>Table43[[#This Row],[Harga Jual Pcs MT
(+PPN)]]*Table43[[#This Row],[ISI/CTN]]</f>
        <v>0</v>
      </c>
      <c r="AX89" s="47">
        <f>IFERROR((Table43[[#This Row],[Harga Jual Pcs GT
(-PPN)]]-Table43[[#This Row],[Harga Beli Pcs
(-PPN)]])/Table43[[#This Row],[Harga Jual Pcs GT
(-PPN)]],0)</f>
        <v>7.4100000000000069E-2</v>
      </c>
      <c r="AY89" s="51">
        <v>45848</v>
      </c>
      <c r="AZ89" s="7"/>
      <c r="BA89" s="7" t="str">
        <f ca="1">IF(TODAY()-Table43[[#This Row],[Efektif
Pembuatan]]&gt;60,"Lama","Baru")</f>
        <v>Lama</v>
      </c>
      <c r="BB89" s="7" t="str">
        <f ca="1">IF(TODAY()-Table43[[#This Row],[Efektif Naik Harga]]&lt;30,"Naik","Sama")</f>
        <v>Sama</v>
      </c>
      <c r="BC89" s="7" t="s">
        <v>185</v>
      </c>
      <c r="BD89" s="7" t="str">
        <f>IF(Table43[[#This Row],[Kode BARANG Win2]]&lt;&gt;"","IDR","")</f>
        <v>IDR</v>
      </c>
      <c r="BE89" s="7" t="str">
        <f>CONCATENATE(Table43[[#This Row],[kode  1 Digit
(Nomor)]],Table43[[#This Row],[kode  4 Digit                (Nomor)]])</f>
        <v>10110</v>
      </c>
      <c r="BF89" s="7" t="str">
        <f>Table43[[#This Row],[Nama            Gramasi atau Jumlah Pack per CTN]]</f>
        <v>110G</v>
      </c>
      <c r="BG89" s="7" t="s">
        <v>1060</v>
      </c>
      <c r="BH89" s="7" t="s">
        <v>377</v>
      </c>
      <c r="BI89" s="4" t="str">
        <f>IF(Table43[[#This Row],[SATUAN Fix Win]]&lt;&gt;"","KRT")</f>
        <v>KRT</v>
      </c>
      <c r="BJ89" s="4" t="str">
        <f>IF(Table43[[#This Row],[SATUAN Fix Win]]&lt;&gt;"","GD01")</f>
        <v>GD01</v>
      </c>
      <c r="BK89" s="4">
        <f>IF(Table43[[#This Row],[SATUAN Fix Win]]&lt;&gt;"",11611)</f>
        <v>11611</v>
      </c>
      <c r="BL89" s="4">
        <f>IF(Table43[[#This Row],[SATUAN Fix Win]]&lt;&gt;"",11612)</f>
        <v>11612</v>
      </c>
      <c r="BM89" s="52" t="s">
        <v>378</v>
      </c>
      <c r="BN89" s="4">
        <f>IF(Table43[[#This Row],[SATUAN Fix Win]]&lt;&gt;"",1)</f>
        <v>1</v>
      </c>
      <c r="BO89" s="4" t="s">
        <v>637</v>
      </c>
    </row>
    <row r="90" spans="1:70">
      <c r="A90" s="4" t="str">
        <f>CONCATENATE(Table43[[#This Row],[Kode BARANG Win2]],Table43[[#This Row],[No. Urut
Item Sama]])</f>
        <v>F40630060200101</v>
      </c>
      <c r="B90" s="7">
        <v>1</v>
      </c>
      <c r="C90" s="4">
        <v>79</v>
      </c>
      <c r="D90" s="27" t="s">
        <v>479</v>
      </c>
      <c r="E90" s="27" t="s">
        <v>628</v>
      </c>
      <c r="F90" s="27" t="s">
        <v>600</v>
      </c>
      <c r="G90" s="27">
        <v>48</v>
      </c>
      <c r="H90" s="54">
        <v>8992946521829</v>
      </c>
      <c r="I90" s="27" t="str">
        <f>Table43[[#This Row],[Nama Jenis Kemasan]]</f>
        <v>JAR</v>
      </c>
      <c r="J90" s="4" t="str">
        <f>TRIM(CONCATENATE(Table43[[#This Row],[Nama            KLP]]," ",Table43[[#This Row],[Nama            Sub KLP]]))</f>
        <v>SHINZUI BODY SCRUB</v>
      </c>
      <c r="K90" s="4" t="str">
        <f>CONCATENATE(Table43[[#This Row],[kode  2 Digit                (hrf+No)]],Table43[[#This Row],[kode  2 Digit                (Nomor)]],Table43[[#This Row],[kode  1 Digit                (Nomor)]])</f>
        <v>F4063</v>
      </c>
      <c r="L90" s="4" t="str">
        <f>IF(AG90="",CONCATENATE(Q90,S90,U90,W90,Y90,AA90,AC90,AE90,Table43[[#This Row],[Tanda Kode Revisi]]),CONCATENATE(Q90,S90,U90,W90,Y90,AA90,AC90,AG90))</f>
        <v>F4063006020010</v>
      </c>
      <c r="M90" s="11">
        <f t="shared" ref="M90:M149" si="8">LEN(L90)</f>
        <v>14</v>
      </c>
      <c r="N90" s="14" t="str">
        <f>IF(AF90&lt;&gt;"",TRIM(UPPER(CONCATENATE(P90," ",R90," ",T90," ",V90," ",X90," ",Z90," ","X"," ",Table43[[#This Row],[ISI/CTN]]," ",AF90," ",AB90," ",AD90," ",AH90))),TRIM(UPPER(CONCATENATE(P90," ",R90," ",T90," ",V90," ",X90," ",Z90," ","X"," ",Table43[[#This Row],[ISI/CTN]]," ",AB90," ",AD90," ",AH90))))</f>
        <v>SHINZUI BODY SCRUB SAKURA 200G X 48 JAR</v>
      </c>
      <c r="O90" s="11">
        <f t="shared" ref="O90:O149" si="9">LEN(N90)</f>
        <v>39</v>
      </c>
      <c r="Q90" s="7" t="s">
        <v>662</v>
      </c>
      <c r="R90" s="4" t="s">
        <v>680</v>
      </c>
      <c r="S90" s="48" t="s">
        <v>755</v>
      </c>
      <c r="T90" s="49" t="s">
        <v>698</v>
      </c>
      <c r="U90" s="7">
        <v>3</v>
      </c>
      <c r="V90" s="49"/>
      <c r="W90" s="48" t="s">
        <v>370</v>
      </c>
      <c r="X90" s="4" t="s">
        <v>693</v>
      </c>
      <c r="Y90" s="50" t="s">
        <v>755</v>
      </c>
      <c r="Z90" s="4" t="s">
        <v>707</v>
      </c>
      <c r="AA90" s="50" t="s">
        <v>745</v>
      </c>
      <c r="AB90" s="4" t="s">
        <v>733</v>
      </c>
      <c r="AC90" s="7">
        <v>1</v>
      </c>
      <c r="AE90" s="7">
        <v>0</v>
      </c>
      <c r="AI90" s="7" t="s">
        <v>179</v>
      </c>
      <c r="AJ90" s="7">
        <v>1</v>
      </c>
      <c r="AL90" s="38">
        <v>11094.117117117115</v>
      </c>
      <c r="AM90" s="39">
        <f>Table43[[#This Row],[Harga Beli Pcs
(-PPN)]]*Table43[[#This Row],[ISI/CTN]]</f>
        <v>532517.62162162154</v>
      </c>
      <c r="AN90" s="39">
        <f>Table43[[#This Row],[Harga Beli Pcs
(-PPN)]]*1.11</f>
        <v>12314.47</v>
      </c>
      <c r="AO90" s="39">
        <f>Table43[[#This Row],[Harga Beli Krt
(- PPN)]]*1.11</f>
        <v>591094.55999999994</v>
      </c>
      <c r="AP90" s="39">
        <v>11981.98198198198</v>
      </c>
      <c r="AQ90" s="39">
        <f>Table43[[#This Row],[Harga Jual Pcs GT
(-PPN)]]*Table43[[#This Row],[ISI/CTN]]</f>
        <v>575135.13513513503</v>
      </c>
      <c r="AR90" s="39">
        <f>Table43[[#This Row],[Harga Jual Pcs GT
(-PPN)]]*1.11</f>
        <v>13300</v>
      </c>
      <c r="AS90" s="39">
        <f>Table43[[#This Row],[Harga Jual Krt GT
(- PPN)]]*1.11</f>
        <v>638399.99999999988</v>
      </c>
      <c r="AT90" s="39"/>
      <c r="AU90" s="39">
        <f>Table43[[#This Row],[Harga Jual Pcs MT
(-PPN)]]*Table43[[#This Row],[ISI/CTN]]</f>
        <v>0</v>
      </c>
      <c r="AV90" s="39">
        <f>Table43[[#This Row],[Harga Jual Pcs MT
(-PPN)]]*1.11</f>
        <v>0</v>
      </c>
      <c r="AW90" s="39">
        <f>Table43[[#This Row],[Harga Jual Pcs MT
(+PPN)]]*Table43[[#This Row],[ISI/CTN]]</f>
        <v>0</v>
      </c>
      <c r="AX90" s="47">
        <f>IFERROR((Table43[[#This Row],[Harga Jual Pcs GT
(-PPN)]]-Table43[[#This Row],[Harga Beli Pcs
(-PPN)]])/Table43[[#This Row],[Harga Jual Pcs GT
(-PPN)]],0)</f>
        <v>7.4100000000000027E-2</v>
      </c>
      <c r="AY90" s="51">
        <v>45848</v>
      </c>
      <c r="AZ90" s="7"/>
      <c r="BA90" s="7" t="str">
        <f ca="1">IF(TODAY()-Table43[[#This Row],[Efektif
Pembuatan]]&gt;60,"Lama","Baru")</f>
        <v>Lama</v>
      </c>
      <c r="BB90" s="7" t="str">
        <f ca="1">IF(TODAY()-Table43[[#This Row],[Efektif Naik Harga]]&lt;30,"Naik","Sama")</f>
        <v>Sama</v>
      </c>
      <c r="BC90" s="7" t="s">
        <v>185</v>
      </c>
      <c r="BD90" s="7" t="str">
        <f>IF(Table43[[#This Row],[Kode BARANG Win2]]&lt;&gt;"","IDR","")</f>
        <v>IDR</v>
      </c>
      <c r="BE90" s="7" t="str">
        <f>CONCATENATE(Table43[[#This Row],[kode  1 Digit
(Nomor)]],Table43[[#This Row],[kode  4 Digit                (Nomor)]])</f>
        <v>10200</v>
      </c>
      <c r="BF90" s="7" t="str">
        <f>Table43[[#This Row],[Nama            Gramasi atau Jumlah Pack per CTN]]</f>
        <v>200G</v>
      </c>
      <c r="BG90" s="7" t="s">
        <v>1060</v>
      </c>
      <c r="BH90" s="7" t="s">
        <v>377</v>
      </c>
      <c r="BI90" s="4" t="str">
        <f>IF(Table43[[#This Row],[SATUAN Fix Win]]&lt;&gt;"","KRT")</f>
        <v>KRT</v>
      </c>
      <c r="BJ90" s="4" t="str">
        <f>IF(Table43[[#This Row],[SATUAN Fix Win]]&lt;&gt;"","GD01")</f>
        <v>GD01</v>
      </c>
      <c r="BK90" s="4">
        <f>IF(Table43[[#This Row],[SATUAN Fix Win]]&lt;&gt;"",11611)</f>
        <v>11611</v>
      </c>
      <c r="BL90" s="4">
        <f>IF(Table43[[#This Row],[SATUAN Fix Win]]&lt;&gt;"",11612)</f>
        <v>11612</v>
      </c>
      <c r="BM90" s="52" t="s">
        <v>378</v>
      </c>
      <c r="BN90" s="4">
        <f>IF(Table43[[#This Row],[SATUAN Fix Win]]&lt;&gt;"",1)</f>
        <v>1</v>
      </c>
      <c r="BO90" s="4" t="s">
        <v>637</v>
      </c>
    </row>
    <row r="91" spans="1:70">
      <c r="A91" s="4" t="str">
        <f>CONCATENATE(Table43[[#This Row],[Kode BARANG Win2]],Table43[[#This Row],[No. Urut
Item Sama]])</f>
        <v>F406300502001111</v>
      </c>
      <c r="B91" s="7">
        <v>1</v>
      </c>
      <c r="C91" s="4">
        <v>80</v>
      </c>
      <c r="D91" s="73" t="s">
        <v>1134</v>
      </c>
      <c r="E91" s="27" t="s">
        <v>628</v>
      </c>
      <c r="F91" s="27" t="s">
        <v>1137</v>
      </c>
      <c r="G91" s="27">
        <v>48</v>
      </c>
      <c r="H91" s="54">
        <v>8992946521819</v>
      </c>
      <c r="I91" s="27" t="str">
        <f>Table43[[#This Row],[Nama Jenis Kemasan]]</f>
        <v>JAR</v>
      </c>
      <c r="J91" s="4" t="str">
        <f>TRIM(CONCATENATE(Table43[[#This Row],[Nama            KLP]]," ",Table43[[#This Row],[Nama            Sub KLP]]))</f>
        <v>SHINZUI BODY SCRUB</v>
      </c>
      <c r="K91" s="4" t="str">
        <f>CONCATENATE(Table43[[#This Row],[kode  2 Digit                (hrf+No)]],Table43[[#This Row],[kode  2 Digit                (Nomor)]],Table43[[#This Row],[kode  1 Digit                (Nomor)]])</f>
        <v>F4063</v>
      </c>
      <c r="L91" s="4" t="str">
        <f>IF(AG91="",CONCATENATE(Q91,S91,U91,W91,Y91,AA91,AC91,AE91,Table43[[#This Row],[Tanda Kode Revisi]]),CONCATENATE(Q91,S91,U91,W91,Y91,AA91,AC91,AG91))</f>
        <v>F40630050200111</v>
      </c>
      <c r="M91" s="11">
        <f t="shared" ref="M91:M102" si="10">LEN(L91)</f>
        <v>15</v>
      </c>
      <c r="N91" s="14" t="str">
        <f>IF(AF91&lt;&gt;"",TRIM(UPPER(CONCATENATE(P91," ",R91," ",T91," ",V91," ",X91," ",Z91," ","X"," ",Table43[[#This Row],[ISI/CTN]]," ",AF91," ",AB91," ",AD91," ",AH91))),TRIM(UPPER(CONCATENATE(P91," ",R91," ",T91," ",V91," ",X91," ",Z91," ","X"," ",Table43[[#This Row],[ISI/CTN]]," ",AB91," ",AD91," ",AH91))))</f>
        <v>SHINZUI BODY SCRUB MYORI 200G X 48 JAR BANDED</v>
      </c>
      <c r="O91" s="11">
        <f t="shared" ref="O91:O102" si="11">LEN(N91)</f>
        <v>45</v>
      </c>
      <c r="Q91" s="7" t="s">
        <v>662</v>
      </c>
      <c r="R91" s="4" t="s">
        <v>680</v>
      </c>
      <c r="S91" s="48" t="s">
        <v>755</v>
      </c>
      <c r="T91" s="49" t="s">
        <v>698</v>
      </c>
      <c r="U91" s="7">
        <v>3</v>
      </c>
      <c r="V91" s="49"/>
      <c r="W91" s="48" t="s">
        <v>370</v>
      </c>
      <c r="X91" s="4" t="s">
        <v>692</v>
      </c>
      <c r="Y91" s="50" t="s">
        <v>754</v>
      </c>
      <c r="Z91" s="4" t="s">
        <v>707</v>
      </c>
      <c r="AA91" s="50" t="s">
        <v>745</v>
      </c>
      <c r="AB91" s="4" t="s">
        <v>733</v>
      </c>
      <c r="AC91" s="7">
        <v>1</v>
      </c>
      <c r="AD91" s="4" t="s">
        <v>1139</v>
      </c>
      <c r="AE91" s="7">
        <v>11</v>
      </c>
      <c r="AI91" s="7" t="s">
        <v>178</v>
      </c>
      <c r="AJ91" s="7">
        <v>2</v>
      </c>
      <c r="AL91" s="38">
        <v>11094.117117117115</v>
      </c>
      <c r="AM91" s="39">
        <f>Table43[[#This Row],[Harga Beli Pcs
(-PPN)]]*Table43[[#This Row],[ISI/CTN]]</f>
        <v>532517.62162162154</v>
      </c>
      <c r="AN91" s="39">
        <f>Table43[[#This Row],[Harga Beli Pcs
(-PPN)]]*1.11</f>
        <v>12314.47</v>
      </c>
      <c r="AO91" s="39">
        <f>Table43[[#This Row],[Harga Beli Krt
(- PPN)]]*1.11</f>
        <v>591094.55999999994</v>
      </c>
      <c r="AP91" s="39">
        <v>11981.98198198198</v>
      </c>
      <c r="AQ91" s="39">
        <f>Table43[[#This Row],[Harga Jual Pcs GT
(-PPN)]]*Table43[[#This Row],[ISI/CTN]]</f>
        <v>575135.13513513503</v>
      </c>
      <c r="AR91" s="39">
        <f>Table43[[#This Row],[Harga Jual Pcs GT
(-PPN)]]*1.11</f>
        <v>13300</v>
      </c>
      <c r="AS91" s="39">
        <f>Table43[[#This Row],[Harga Jual Krt GT
(- PPN)]]*1.11</f>
        <v>638399.99999999988</v>
      </c>
      <c r="AT91" s="39"/>
      <c r="AU91" s="39">
        <f>Table43[[#This Row],[Harga Jual Pcs MT
(-PPN)]]*Table43[[#This Row],[ISI/CTN]]</f>
        <v>0</v>
      </c>
      <c r="AV91" s="39">
        <f>Table43[[#This Row],[Harga Jual Pcs MT
(-PPN)]]*1.11</f>
        <v>0</v>
      </c>
      <c r="AW91" s="39">
        <f>Table43[[#This Row],[Harga Jual Pcs MT
(+PPN)]]*Table43[[#This Row],[ISI/CTN]]</f>
        <v>0</v>
      </c>
      <c r="AX91" s="47">
        <f>IFERROR((Table43[[#This Row],[Harga Jual Pcs GT
(-PPN)]]-Table43[[#This Row],[Harga Beli Pcs
(-PPN)]])/Table43[[#This Row],[Harga Jual Pcs GT
(-PPN)]],0)</f>
        <v>7.4100000000000027E-2</v>
      </c>
      <c r="AY91" s="51">
        <v>45936</v>
      </c>
      <c r="AZ91" s="7"/>
      <c r="BA91" s="7" t="str">
        <f ca="1">IF(TODAY()-Table43[[#This Row],[Efektif
Pembuatan]]&gt;60,"Lama","Baru")</f>
        <v>Lama</v>
      </c>
      <c r="BB91" s="7" t="str">
        <f ca="1">IF(TODAY()-Table43[[#This Row],[Efektif Naik Harga]]&lt;30,"Naik","Sama")</f>
        <v>Sama</v>
      </c>
      <c r="BC91" s="7" t="s">
        <v>185</v>
      </c>
      <c r="BD91" s="7" t="str">
        <f>IF(Table43[[#This Row],[Kode BARANG Win2]]&lt;&gt;"","IDR","")</f>
        <v>IDR</v>
      </c>
      <c r="BE91" s="7" t="str">
        <f>CONCATENATE(Table43[[#This Row],[kode  1 Digit
(Nomor)]],Table43[[#This Row],[kode  4 Digit                (Nomor)]])</f>
        <v>20200</v>
      </c>
      <c r="BF91" s="7" t="str">
        <f>Table43[[#This Row],[Nama            Gramasi atau Jumlah Pack per CTN]]</f>
        <v>200G</v>
      </c>
      <c r="BG91" s="7" t="s">
        <v>1060</v>
      </c>
      <c r="BH91" s="7"/>
      <c r="BI91" s="4" t="str">
        <f>IF(Table43[[#This Row],[SATUAN Fix Win]]&lt;&gt;"","KRT")</f>
        <v>KRT</v>
      </c>
      <c r="BJ91" s="4" t="str">
        <f>IF(Table43[[#This Row],[SATUAN Fix Win]]&lt;&gt;"","GD01")</f>
        <v>GD01</v>
      </c>
      <c r="BK91" s="4">
        <f>IF(Table43[[#This Row],[SATUAN Fix Win]]&lt;&gt;"",11611)</f>
        <v>11611</v>
      </c>
      <c r="BL91" s="4">
        <f>IF(Table43[[#This Row],[SATUAN Fix Win]]&lt;&gt;"",11612)</f>
        <v>11612</v>
      </c>
      <c r="BM91" s="52" t="s">
        <v>378</v>
      </c>
      <c r="BN91" s="4">
        <f>IF(Table43[[#This Row],[SATUAN Fix Win]]&lt;&gt;"",1)</f>
        <v>1</v>
      </c>
      <c r="BO91" s="4" t="s">
        <v>637</v>
      </c>
    </row>
    <row r="92" spans="1:70" s="126" customFormat="1">
      <c r="A92" s="132" t="str">
        <f>CONCATENATE(Table43[[#This Row],[Kode BARANG Win2]],Table43[[#This Row],[No. Urut
Item Sama]])</f>
        <v>F406300502001112</v>
      </c>
      <c r="B92" s="112">
        <v>2</v>
      </c>
      <c r="C92" s="111">
        <v>176</v>
      </c>
      <c r="D92" s="128" t="s">
        <v>1349</v>
      </c>
      <c r="E92" s="113" t="s">
        <v>628</v>
      </c>
      <c r="F92" s="113" t="s">
        <v>1358</v>
      </c>
      <c r="G92" s="113">
        <v>48</v>
      </c>
      <c r="H92" s="127"/>
      <c r="I92" s="133" t="str">
        <f>Table43[[#This Row],[Nama Jenis Kemasan]]</f>
        <v>JAR</v>
      </c>
      <c r="J92" s="132" t="str">
        <f>TRIM(CONCATENATE(Table43[[#This Row],[Nama            KLP]]," ",Table43[[#This Row],[Nama            Sub KLP]]))</f>
        <v>SHINZUI BODY SCRUB</v>
      </c>
      <c r="K92" s="132" t="str">
        <f>CONCATENATE(Table43[[#This Row],[kode  2 Digit                (hrf+No)]],Table43[[#This Row],[kode  2 Digit                (Nomor)]],Table43[[#This Row],[kode  1 Digit                (Nomor)]])</f>
        <v>F4063</v>
      </c>
      <c r="L92" s="132" t="str">
        <f>IF(AG92="",CONCATENATE(Q92,S92,U92,W92,Y92,AA92,AC92,AE92,Table43[[#This Row],[Tanda Kode Revisi]]),CONCATENATE(Q92,S92,U92,W92,Y92,AA92,AC92,AG92))</f>
        <v>F40630050200111</v>
      </c>
      <c r="M92" s="116">
        <f>LEN(L92)</f>
        <v>15</v>
      </c>
      <c r="N92" s="134" t="str">
        <f>IF(AF92&lt;&gt;"",TRIM(UPPER(CONCATENATE(P92," ",R92," ",T92," ",V92," ",X92," ",Z92," ","X"," ",Table43[[#This Row],[ISI/CTN]]," ",AF92," ",AB92," ",AD92," ",AH92))),TRIM(UPPER(CONCATENATE(P92," ",R92," ",T92," ",V92," ",X92," ",Z92," ","X"," ",Table43[[#This Row],[ISI/CTN]]," ",AB92," ",AD92," ",AH92))))</f>
        <v>SHINZUI BODY SCRUB MYORI 200G X 48 JAR BANDED</v>
      </c>
      <c r="O92" s="116">
        <f>LEN(N92)</f>
        <v>45</v>
      </c>
      <c r="P92" s="111"/>
      <c r="Q92" s="112" t="s">
        <v>662</v>
      </c>
      <c r="R92" s="111" t="s">
        <v>680</v>
      </c>
      <c r="S92" s="118" t="s">
        <v>755</v>
      </c>
      <c r="T92" s="119" t="s">
        <v>698</v>
      </c>
      <c r="U92" s="112">
        <v>3</v>
      </c>
      <c r="V92" s="119"/>
      <c r="W92" s="118" t="s">
        <v>370</v>
      </c>
      <c r="X92" s="111" t="s">
        <v>692</v>
      </c>
      <c r="Y92" s="120" t="s">
        <v>754</v>
      </c>
      <c r="Z92" s="111" t="s">
        <v>707</v>
      </c>
      <c r="AA92" s="120" t="s">
        <v>745</v>
      </c>
      <c r="AB92" s="111" t="s">
        <v>733</v>
      </c>
      <c r="AC92" s="112">
        <v>1</v>
      </c>
      <c r="AD92" s="111" t="s">
        <v>1139</v>
      </c>
      <c r="AE92" s="112">
        <v>11</v>
      </c>
      <c r="AF92" s="112"/>
      <c r="AG92" s="112"/>
      <c r="AH92" s="112"/>
      <c r="AI92" s="112"/>
      <c r="AJ92" s="112"/>
      <c r="AK92" s="112"/>
      <c r="AL92" s="135"/>
      <c r="AM92" s="122">
        <f>Table43[[#This Row],[Harga Beli Pcs
(-PPN)]]*Table43[[#This Row],[ISI/CTN]]</f>
        <v>0</v>
      </c>
      <c r="AN92" s="122">
        <f>Table43[[#This Row],[Harga Beli Pcs
(-PPN)]]*1.11</f>
        <v>0</v>
      </c>
      <c r="AO92" s="136">
        <f>Table43[[#This Row],[Harga Beli Krt
(- PPN)]]*1.11</f>
        <v>0</v>
      </c>
      <c r="AP92" s="136"/>
      <c r="AQ92" s="122">
        <f>Table43[[#This Row],[Harga Jual Pcs GT
(-PPN)]]*Table43[[#This Row],[ISI/CTN]]</f>
        <v>0</v>
      </c>
      <c r="AR92" s="122">
        <f>Table43[[#This Row],[Harga Jual Pcs GT
(-PPN)]]*1.11</f>
        <v>0</v>
      </c>
      <c r="AS92" s="122">
        <f>Table43[[#This Row],[Harga Jual Krt GT
(- PPN)]]*1.11</f>
        <v>0</v>
      </c>
      <c r="AT92" s="122"/>
      <c r="AU92" s="122">
        <f>Table43[[#This Row],[Harga Jual Pcs MT
(-PPN)]]*Table43[[#This Row],[ISI/CTN]]</f>
        <v>0</v>
      </c>
      <c r="AV92" s="122">
        <f>Table43[[#This Row],[Harga Jual Pcs MT
(-PPN)]]*1.11</f>
        <v>0</v>
      </c>
      <c r="AW92" s="122">
        <f>Table43[[#This Row],[Harga Jual Pcs MT
(+PPN)]]*Table43[[#This Row],[ISI/CTN]]</f>
        <v>0</v>
      </c>
      <c r="AX92" s="123">
        <f>IFERROR((Table43[[#This Row],[Harga Jual Pcs GT
(-PPN)]]-Table43[[#This Row],[Harga Beli Pcs
(-PPN)]])/Table43[[#This Row],[Harga Jual Pcs GT
(-PPN)]],0)</f>
        <v>0</v>
      </c>
      <c r="AY92" s="124"/>
      <c r="AZ92" s="112"/>
      <c r="BA92" s="137" t="str">
        <f ca="1">IF(TODAY()-Table43[[#This Row],[Efektif
Pembuatan]]&gt;60,"Lama","Baru")</f>
        <v>Lama</v>
      </c>
      <c r="BB92" s="137" t="str">
        <f ca="1">IF(TODAY()-Table43[[#This Row],[Efektif Naik Harga]]&lt;30,"Naik","Sama")</f>
        <v>Sama</v>
      </c>
      <c r="BC92" s="112"/>
      <c r="BD92" s="137" t="str">
        <f>IF(Table43[[#This Row],[Kode BARANG Win2]]&lt;&gt;"","IDR","")</f>
        <v>IDR</v>
      </c>
      <c r="BE92" s="137" t="str">
        <f>CONCATENATE(Table43[[#This Row],[kode  1 Digit
(Nomor)]],Table43[[#This Row],[kode  4 Digit                (Nomor)]])</f>
        <v>0200</v>
      </c>
      <c r="BF92" s="137" t="str">
        <f>Table43[[#This Row],[Nama            Gramasi atau Jumlah Pack per CTN]]</f>
        <v>200G</v>
      </c>
      <c r="BG92" s="137"/>
      <c r="BH92" s="112"/>
      <c r="BI92" s="132" t="str">
        <f>IF(Table43[[#This Row],[SATUAN Fix Win]]&lt;&gt;"","KRT")</f>
        <v>KRT</v>
      </c>
      <c r="BJ92" s="132" t="str">
        <f>IF(Table43[[#This Row],[SATUAN Fix Win]]&lt;&gt;"","GD01")</f>
        <v>GD01</v>
      </c>
      <c r="BK92" s="132">
        <f>IF(Table43[[#This Row],[SATUAN Fix Win]]&lt;&gt;"",11611)</f>
        <v>11611</v>
      </c>
      <c r="BL92" s="132">
        <f>IF(Table43[[#This Row],[SATUAN Fix Win]]&lt;&gt;"",11612)</f>
        <v>11612</v>
      </c>
      <c r="BM92" s="138"/>
      <c r="BN92" s="132">
        <f>IF(Table43[[#This Row],[SATUAN Fix Win]]&lt;&gt;"",1)</f>
        <v>1</v>
      </c>
      <c r="BO92" s="132"/>
      <c r="BP92" s="111"/>
      <c r="BQ92" s="111"/>
      <c r="BR92" s="111"/>
    </row>
    <row r="93" spans="1:70">
      <c r="A93" s="4" t="str">
        <f>CONCATENATE(Table43[[#This Row],[Kode BARANG Win2]],Table43[[#This Row],[No. Urut
Item Sama]])</f>
        <v>F406300302001111</v>
      </c>
      <c r="B93" s="7">
        <v>1</v>
      </c>
      <c r="C93" s="4">
        <v>81</v>
      </c>
      <c r="D93" s="73" t="s">
        <v>1133</v>
      </c>
      <c r="E93" s="27" t="s">
        <v>628</v>
      </c>
      <c r="F93" s="27" t="s">
        <v>1136</v>
      </c>
      <c r="G93" s="27">
        <v>48</v>
      </c>
      <c r="H93" s="54">
        <v>8992946519359</v>
      </c>
      <c r="I93" s="27" t="str">
        <f>Table43[[#This Row],[Nama Jenis Kemasan]]</f>
        <v>JAR</v>
      </c>
      <c r="J93" s="4" t="str">
        <f>TRIM(CONCATENATE(Table43[[#This Row],[Nama            KLP]]," ",Table43[[#This Row],[Nama            Sub KLP]]))</f>
        <v>SHINZUI BODY SCRUB</v>
      </c>
      <c r="K93" s="4" t="str">
        <f>CONCATENATE(Table43[[#This Row],[kode  2 Digit                (hrf+No)]],Table43[[#This Row],[kode  2 Digit                (Nomor)]],Table43[[#This Row],[kode  1 Digit                (Nomor)]])</f>
        <v>F4063</v>
      </c>
      <c r="L93" s="4" t="str">
        <f>IF(AG93="",CONCATENATE(Q93,S93,U93,W93,Y93,AA93,AC93,AE93,Table43[[#This Row],[Tanda Kode Revisi]]),CONCATENATE(Q93,S93,U93,W93,Y93,AA93,AC93,AG93))</f>
        <v>F40630030200111</v>
      </c>
      <c r="M93" s="11">
        <f t="shared" si="10"/>
        <v>15</v>
      </c>
      <c r="N93" s="14" t="str">
        <f>IF(AF93&lt;&gt;"",TRIM(UPPER(CONCATENATE(P93," ",R93," ",T93," ",V93," ",X93," ",Z93," ","X"," ",Table43[[#This Row],[ISI/CTN]]," ",AF93," ",AB93," ",AD93," ",AH93))),TRIM(UPPER(CONCATENATE(P93," ",R93," ",T93," ",V93," ",X93," ",Z93," ","X"," ",Table43[[#This Row],[ISI/CTN]]," ",AB93," ",AD93," ",AH93))))</f>
        <v>SHINZUI BODY SCRUB KIREI 200G X 48 JAR BANDED</v>
      </c>
      <c r="O93" s="11">
        <f t="shared" si="11"/>
        <v>45</v>
      </c>
      <c r="Q93" s="7" t="s">
        <v>662</v>
      </c>
      <c r="R93" s="4" t="s">
        <v>680</v>
      </c>
      <c r="S93" s="48" t="s">
        <v>755</v>
      </c>
      <c r="T93" s="49" t="s">
        <v>698</v>
      </c>
      <c r="U93" s="7">
        <v>3</v>
      </c>
      <c r="V93" s="49"/>
      <c r="W93" s="48" t="s">
        <v>370</v>
      </c>
      <c r="X93" s="4" t="s">
        <v>683</v>
      </c>
      <c r="Y93" s="50" t="s">
        <v>752</v>
      </c>
      <c r="Z93" s="4" t="s">
        <v>707</v>
      </c>
      <c r="AA93" s="50" t="s">
        <v>745</v>
      </c>
      <c r="AB93" s="4" t="s">
        <v>733</v>
      </c>
      <c r="AC93" s="7">
        <v>1</v>
      </c>
      <c r="AD93" s="4" t="s">
        <v>1139</v>
      </c>
      <c r="AE93" s="7">
        <v>11</v>
      </c>
      <c r="AI93" s="7" t="s">
        <v>178</v>
      </c>
      <c r="AJ93" s="7">
        <v>2</v>
      </c>
      <c r="AL93" s="38">
        <v>11094.117117117115</v>
      </c>
      <c r="AM93" s="39">
        <f>Table43[[#This Row],[Harga Beli Pcs
(-PPN)]]*Table43[[#This Row],[ISI/CTN]]</f>
        <v>532517.62162162154</v>
      </c>
      <c r="AN93" s="39">
        <f>Table43[[#This Row],[Harga Beli Pcs
(-PPN)]]*1.11</f>
        <v>12314.47</v>
      </c>
      <c r="AO93" s="39">
        <f>Table43[[#This Row],[Harga Beli Krt
(- PPN)]]*1.11</f>
        <v>591094.55999999994</v>
      </c>
      <c r="AP93" s="39">
        <v>11981.98198198198</v>
      </c>
      <c r="AQ93" s="39">
        <f>Table43[[#This Row],[Harga Jual Pcs GT
(-PPN)]]*Table43[[#This Row],[ISI/CTN]]</f>
        <v>575135.13513513503</v>
      </c>
      <c r="AR93" s="39">
        <f>Table43[[#This Row],[Harga Jual Pcs GT
(-PPN)]]*1.11</f>
        <v>13300</v>
      </c>
      <c r="AS93" s="39">
        <f>Table43[[#This Row],[Harga Jual Krt GT
(- PPN)]]*1.11</f>
        <v>638399.99999999988</v>
      </c>
      <c r="AT93" s="39"/>
      <c r="AU93" s="39">
        <f>Table43[[#This Row],[Harga Jual Pcs MT
(-PPN)]]*Table43[[#This Row],[ISI/CTN]]</f>
        <v>0</v>
      </c>
      <c r="AV93" s="39">
        <f>Table43[[#This Row],[Harga Jual Pcs MT
(-PPN)]]*1.11</f>
        <v>0</v>
      </c>
      <c r="AW93" s="39">
        <f>Table43[[#This Row],[Harga Jual Pcs MT
(+PPN)]]*Table43[[#This Row],[ISI/CTN]]</f>
        <v>0</v>
      </c>
      <c r="AX93" s="47">
        <f>IFERROR((Table43[[#This Row],[Harga Jual Pcs GT
(-PPN)]]-Table43[[#This Row],[Harga Beli Pcs
(-PPN)]])/Table43[[#This Row],[Harga Jual Pcs GT
(-PPN)]],0)</f>
        <v>7.4100000000000027E-2</v>
      </c>
      <c r="AY93" s="51">
        <v>45936</v>
      </c>
      <c r="AZ93" s="7"/>
      <c r="BA93" s="7" t="str">
        <f ca="1">IF(TODAY()-Table43[[#This Row],[Efektif
Pembuatan]]&gt;60,"Lama","Baru")</f>
        <v>Lama</v>
      </c>
      <c r="BB93" s="7" t="str">
        <f ca="1">IF(TODAY()-Table43[[#This Row],[Efektif Naik Harga]]&lt;30,"Naik","Sama")</f>
        <v>Sama</v>
      </c>
      <c r="BC93" s="7" t="s">
        <v>185</v>
      </c>
      <c r="BD93" s="7" t="str">
        <f>IF(Table43[[#This Row],[Kode BARANG Win2]]&lt;&gt;"","IDR","")</f>
        <v>IDR</v>
      </c>
      <c r="BE93" s="7" t="str">
        <f>CONCATENATE(Table43[[#This Row],[kode  1 Digit
(Nomor)]],Table43[[#This Row],[kode  4 Digit                (Nomor)]])</f>
        <v>20200</v>
      </c>
      <c r="BF93" s="7" t="str">
        <f>Table43[[#This Row],[Nama            Gramasi atau Jumlah Pack per CTN]]</f>
        <v>200G</v>
      </c>
      <c r="BG93" s="7" t="s">
        <v>1060</v>
      </c>
      <c r="BH93" s="7"/>
      <c r="BI93" s="4" t="str">
        <f>IF(Table43[[#This Row],[SATUAN Fix Win]]&lt;&gt;"","KRT")</f>
        <v>KRT</v>
      </c>
      <c r="BJ93" s="4" t="str">
        <f>IF(Table43[[#This Row],[SATUAN Fix Win]]&lt;&gt;"","GD01")</f>
        <v>GD01</v>
      </c>
      <c r="BK93" s="4">
        <f>IF(Table43[[#This Row],[SATUAN Fix Win]]&lt;&gt;"",11611)</f>
        <v>11611</v>
      </c>
      <c r="BL93" s="4">
        <f>IF(Table43[[#This Row],[SATUAN Fix Win]]&lt;&gt;"",11612)</f>
        <v>11612</v>
      </c>
      <c r="BM93" s="52" t="s">
        <v>378</v>
      </c>
      <c r="BN93" s="4">
        <f>IF(Table43[[#This Row],[SATUAN Fix Win]]&lt;&gt;"",1)</f>
        <v>1</v>
      </c>
      <c r="BO93" s="4" t="s">
        <v>637</v>
      </c>
    </row>
    <row r="94" spans="1:70" s="126" customFormat="1">
      <c r="A94" s="132" t="str">
        <f>CONCATENATE(Table43[[#This Row],[Kode BARANG Win2]],Table43[[#This Row],[No. Urut
Item Sama]])</f>
        <v>F406300302001112</v>
      </c>
      <c r="B94" s="112">
        <v>2</v>
      </c>
      <c r="C94" s="111">
        <v>177</v>
      </c>
      <c r="D94" s="128" t="s">
        <v>1348</v>
      </c>
      <c r="E94" s="113" t="s">
        <v>628</v>
      </c>
      <c r="F94" s="113" t="s">
        <v>1359</v>
      </c>
      <c r="G94" s="113">
        <v>48</v>
      </c>
      <c r="H94" s="127"/>
      <c r="I94" s="133" t="str">
        <f>Table43[[#This Row],[Nama Jenis Kemasan]]</f>
        <v>JAR</v>
      </c>
      <c r="J94" s="132" t="str">
        <f>TRIM(CONCATENATE(Table43[[#This Row],[Nama            KLP]]," ",Table43[[#This Row],[Nama            Sub KLP]]))</f>
        <v>SHINZUI BODY SCRUB</v>
      </c>
      <c r="K94" s="132" t="str">
        <f>CONCATENATE(Table43[[#This Row],[kode  2 Digit                (hrf+No)]],Table43[[#This Row],[kode  2 Digit                (Nomor)]],Table43[[#This Row],[kode  1 Digit                (Nomor)]])</f>
        <v>F4063</v>
      </c>
      <c r="L94" s="132" t="str">
        <f>IF(AG94="",CONCATENATE(Q94,S94,U94,W94,Y94,AA94,AC94,AE94,Table43[[#This Row],[Tanda Kode Revisi]]),CONCATENATE(Q94,S94,U94,W94,Y94,AA94,AC94,AG94))</f>
        <v>F40630030200111</v>
      </c>
      <c r="M94" s="116">
        <f>LEN(L94)</f>
        <v>15</v>
      </c>
      <c r="N94" s="134" t="str">
        <f>IF(AF94&lt;&gt;"",TRIM(UPPER(CONCATENATE(P94," ",R94," ",T94," ",V94," ",X94," ",Z94," ","X"," ",Table43[[#This Row],[ISI/CTN]]," ",AF94," ",AB94," ",AD94," ",AH94))),TRIM(UPPER(CONCATENATE(P94," ",R94," ",T94," ",V94," ",X94," ",Z94," ","X"," ",Table43[[#This Row],[ISI/CTN]]," ",AB94," ",AD94," ",AH94))))</f>
        <v>SHINZUI BODY SCRUB KIREI 200G X 48 JAR BANDED</v>
      </c>
      <c r="O94" s="116">
        <f>LEN(N94)</f>
        <v>45</v>
      </c>
      <c r="P94" s="111"/>
      <c r="Q94" s="112" t="s">
        <v>662</v>
      </c>
      <c r="R94" s="111" t="s">
        <v>680</v>
      </c>
      <c r="S94" s="118" t="s">
        <v>755</v>
      </c>
      <c r="T94" s="119" t="s">
        <v>698</v>
      </c>
      <c r="U94" s="112">
        <v>3</v>
      </c>
      <c r="V94" s="119"/>
      <c r="W94" s="118" t="s">
        <v>370</v>
      </c>
      <c r="X94" s="111" t="s">
        <v>683</v>
      </c>
      <c r="Y94" s="120" t="s">
        <v>752</v>
      </c>
      <c r="Z94" s="111" t="s">
        <v>707</v>
      </c>
      <c r="AA94" s="120" t="s">
        <v>745</v>
      </c>
      <c r="AB94" s="111" t="s">
        <v>733</v>
      </c>
      <c r="AC94" s="112">
        <v>1</v>
      </c>
      <c r="AD94" s="111" t="s">
        <v>1139</v>
      </c>
      <c r="AE94" s="112">
        <v>11</v>
      </c>
      <c r="AF94" s="112"/>
      <c r="AG94" s="112"/>
      <c r="AH94" s="112"/>
      <c r="AI94" s="112"/>
      <c r="AJ94" s="112"/>
      <c r="AK94" s="112"/>
      <c r="AL94" s="135"/>
      <c r="AM94" s="122">
        <f>Table43[[#This Row],[Harga Beli Pcs
(-PPN)]]*Table43[[#This Row],[ISI/CTN]]</f>
        <v>0</v>
      </c>
      <c r="AN94" s="122">
        <f>Table43[[#This Row],[Harga Beli Pcs
(-PPN)]]*1.11</f>
        <v>0</v>
      </c>
      <c r="AO94" s="136">
        <f>Table43[[#This Row],[Harga Beli Krt
(- PPN)]]*1.11</f>
        <v>0</v>
      </c>
      <c r="AP94" s="136"/>
      <c r="AQ94" s="122">
        <f>Table43[[#This Row],[Harga Jual Pcs GT
(-PPN)]]*Table43[[#This Row],[ISI/CTN]]</f>
        <v>0</v>
      </c>
      <c r="AR94" s="122">
        <f>Table43[[#This Row],[Harga Jual Pcs GT
(-PPN)]]*1.11</f>
        <v>0</v>
      </c>
      <c r="AS94" s="122">
        <f>Table43[[#This Row],[Harga Jual Krt GT
(- PPN)]]*1.11</f>
        <v>0</v>
      </c>
      <c r="AT94" s="122"/>
      <c r="AU94" s="122">
        <f>Table43[[#This Row],[Harga Jual Pcs MT
(-PPN)]]*Table43[[#This Row],[ISI/CTN]]</f>
        <v>0</v>
      </c>
      <c r="AV94" s="122">
        <f>Table43[[#This Row],[Harga Jual Pcs MT
(-PPN)]]*1.11</f>
        <v>0</v>
      </c>
      <c r="AW94" s="122">
        <f>Table43[[#This Row],[Harga Jual Pcs MT
(+PPN)]]*Table43[[#This Row],[ISI/CTN]]</f>
        <v>0</v>
      </c>
      <c r="AX94" s="123">
        <f>IFERROR((Table43[[#This Row],[Harga Jual Pcs GT
(-PPN)]]-Table43[[#This Row],[Harga Beli Pcs
(-PPN)]])/Table43[[#This Row],[Harga Jual Pcs GT
(-PPN)]],0)</f>
        <v>0</v>
      </c>
      <c r="AY94" s="124"/>
      <c r="AZ94" s="112"/>
      <c r="BA94" s="137" t="str">
        <f ca="1">IF(TODAY()-Table43[[#This Row],[Efektif
Pembuatan]]&gt;60,"Lama","Baru")</f>
        <v>Lama</v>
      </c>
      <c r="BB94" s="137" t="str">
        <f ca="1">IF(TODAY()-Table43[[#This Row],[Efektif Naik Harga]]&lt;30,"Naik","Sama")</f>
        <v>Sama</v>
      </c>
      <c r="BC94" s="112"/>
      <c r="BD94" s="137" t="str">
        <f>IF(Table43[[#This Row],[Kode BARANG Win2]]&lt;&gt;"","IDR","")</f>
        <v>IDR</v>
      </c>
      <c r="BE94" s="137" t="str">
        <f>CONCATENATE(Table43[[#This Row],[kode  1 Digit
(Nomor)]],Table43[[#This Row],[kode  4 Digit                (Nomor)]])</f>
        <v>0200</v>
      </c>
      <c r="BF94" s="137" t="str">
        <f>Table43[[#This Row],[Nama            Gramasi atau Jumlah Pack per CTN]]</f>
        <v>200G</v>
      </c>
      <c r="BG94" s="137"/>
      <c r="BH94" s="112"/>
      <c r="BI94" s="132" t="str">
        <f>IF(Table43[[#This Row],[SATUAN Fix Win]]&lt;&gt;"","KRT")</f>
        <v>KRT</v>
      </c>
      <c r="BJ94" s="132" t="str">
        <f>IF(Table43[[#This Row],[SATUAN Fix Win]]&lt;&gt;"","GD01")</f>
        <v>GD01</v>
      </c>
      <c r="BK94" s="132">
        <f>IF(Table43[[#This Row],[SATUAN Fix Win]]&lt;&gt;"",11611)</f>
        <v>11611</v>
      </c>
      <c r="BL94" s="132">
        <f>IF(Table43[[#This Row],[SATUAN Fix Win]]&lt;&gt;"",11612)</f>
        <v>11612</v>
      </c>
      <c r="BM94" s="138"/>
      <c r="BN94" s="132">
        <f>IF(Table43[[#This Row],[SATUAN Fix Win]]&lt;&gt;"",1)</f>
        <v>1</v>
      </c>
      <c r="BO94" s="132"/>
      <c r="BP94" s="111"/>
      <c r="BQ94" s="111"/>
      <c r="BR94" s="111"/>
    </row>
    <row r="95" spans="1:70">
      <c r="A95" s="4" t="str">
        <f>CONCATENATE(Table43[[#This Row],[Kode BARANG Win2]],Table43[[#This Row],[No. Urut
Item Sama]])</f>
        <v>F406300602001111</v>
      </c>
      <c r="B95" s="7">
        <v>1</v>
      </c>
      <c r="C95" s="4">
        <v>82</v>
      </c>
      <c r="D95" s="73" t="s">
        <v>1135</v>
      </c>
      <c r="E95" s="27" t="s">
        <v>628</v>
      </c>
      <c r="F95" s="27" t="s">
        <v>1136</v>
      </c>
      <c r="G95" s="27">
        <v>48</v>
      </c>
      <c r="H95" s="54">
        <v>8992946521826</v>
      </c>
      <c r="I95" s="27" t="str">
        <f>Table43[[#This Row],[Nama Jenis Kemasan]]</f>
        <v>JAR</v>
      </c>
      <c r="J95" s="4" t="str">
        <f>TRIM(CONCATENATE(Table43[[#This Row],[Nama            KLP]]," ",Table43[[#This Row],[Nama            Sub KLP]]))</f>
        <v>SHINZUI BODY SCRUB</v>
      </c>
      <c r="K95" s="4" t="str">
        <f>CONCATENATE(Table43[[#This Row],[kode  2 Digit                (hrf+No)]],Table43[[#This Row],[kode  2 Digit                (Nomor)]],Table43[[#This Row],[kode  1 Digit                (Nomor)]])</f>
        <v>F4063</v>
      </c>
      <c r="L95" s="4" t="str">
        <f>IF(AG95="",CONCATENATE(Q95,S95,U95,W95,Y95,AA95,AC95,AE95,Table43[[#This Row],[Tanda Kode Revisi]]),CONCATENATE(Q95,S95,U95,W95,Y95,AA95,AC95,AG95))</f>
        <v>F40630060200111</v>
      </c>
      <c r="M95" s="11">
        <f t="shared" si="10"/>
        <v>15</v>
      </c>
      <c r="N95" s="14" t="str">
        <f>IF(AF95&lt;&gt;"",TRIM(UPPER(CONCATENATE(P95," ",R95," ",T95," ",V95," ",X95," ",Z95," ","X"," ",Table43[[#This Row],[ISI/CTN]]," ",AF95," ",AB95," ",AD95," ",AH95))),TRIM(UPPER(CONCATENATE(P95," ",R95," ",T95," ",V95," ",X95," ",Z95," ","X"," ",Table43[[#This Row],[ISI/CTN]]," ",AB95," ",AD95," ",AH95))))</f>
        <v>SHINZUI BODY SCRUB SAKURA 200G X 48 JAR BANDED</v>
      </c>
      <c r="O95" s="11">
        <f t="shared" si="11"/>
        <v>46</v>
      </c>
      <c r="Q95" s="7" t="s">
        <v>662</v>
      </c>
      <c r="R95" s="4" t="s">
        <v>680</v>
      </c>
      <c r="S95" s="48" t="s">
        <v>755</v>
      </c>
      <c r="T95" s="49" t="s">
        <v>698</v>
      </c>
      <c r="U95" s="7">
        <v>3</v>
      </c>
      <c r="V95" s="49"/>
      <c r="W95" s="48" t="s">
        <v>370</v>
      </c>
      <c r="X95" s="4" t="s">
        <v>693</v>
      </c>
      <c r="Y95" s="50" t="s">
        <v>755</v>
      </c>
      <c r="Z95" s="4" t="s">
        <v>707</v>
      </c>
      <c r="AA95" s="50" t="s">
        <v>745</v>
      </c>
      <c r="AB95" s="4" t="s">
        <v>733</v>
      </c>
      <c r="AC95" s="7">
        <v>1</v>
      </c>
      <c r="AD95" s="4" t="s">
        <v>1139</v>
      </c>
      <c r="AE95" s="7">
        <v>11</v>
      </c>
      <c r="AI95" s="7" t="s">
        <v>178</v>
      </c>
      <c r="AJ95" s="7">
        <v>2</v>
      </c>
      <c r="AL95" s="38">
        <v>11094.117117117115</v>
      </c>
      <c r="AM95" s="39">
        <f>Table43[[#This Row],[Harga Beli Pcs
(-PPN)]]*Table43[[#This Row],[ISI/CTN]]</f>
        <v>532517.62162162154</v>
      </c>
      <c r="AN95" s="39">
        <f>Table43[[#This Row],[Harga Beli Pcs
(-PPN)]]*1.11</f>
        <v>12314.47</v>
      </c>
      <c r="AO95" s="39">
        <f>Table43[[#This Row],[Harga Beli Krt
(- PPN)]]*1.11</f>
        <v>591094.55999999994</v>
      </c>
      <c r="AP95" s="39">
        <v>11981.98198198198</v>
      </c>
      <c r="AQ95" s="39">
        <f>Table43[[#This Row],[Harga Jual Pcs GT
(-PPN)]]*Table43[[#This Row],[ISI/CTN]]</f>
        <v>575135.13513513503</v>
      </c>
      <c r="AR95" s="39">
        <f>Table43[[#This Row],[Harga Jual Pcs GT
(-PPN)]]*1.11</f>
        <v>13300</v>
      </c>
      <c r="AS95" s="39">
        <f>Table43[[#This Row],[Harga Jual Krt GT
(- PPN)]]*1.11</f>
        <v>638399.99999999988</v>
      </c>
      <c r="AT95" s="39"/>
      <c r="AU95" s="39">
        <f>Table43[[#This Row],[Harga Jual Pcs MT
(-PPN)]]*Table43[[#This Row],[ISI/CTN]]</f>
        <v>0</v>
      </c>
      <c r="AV95" s="39">
        <f>Table43[[#This Row],[Harga Jual Pcs MT
(-PPN)]]*1.11</f>
        <v>0</v>
      </c>
      <c r="AW95" s="39">
        <f>Table43[[#This Row],[Harga Jual Pcs MT
(+PPN)]]*Table43[[#This Row],[ISI/CTN]]</f>
        <v>0</v>
      </c>
      <c r="AX95" s="47">
        <f>IFERROR((Table43[[#This Row],[Harga Jual Pcs GT
(-PPN)]]-Table43[[#This Row],[Harga Beli Pcs
(-PPN)]])/Table43[[#This Row],[Harga Jual Pcs GT
(-PPN)]],0)</f>
        <v>7.4100000000000027E-2</v>
      </c>
      <c r="AY95" s="51">
        <v>45936</v>
      </c>
      <c r="AZ95" s="7"/>
      <c r="BA95" s="7" t="str">
        <f ca="1">IF(TODAY()-Table43[[#This Row],[Efektif
Pembuatan]]&gt;60,"Lama","Baru")</f>
        <v>Lama</v>
      </c>
      <c r="BB95" s="7" t="str">
        <f ca="1">IF(TODAY()-Table43[[#This Row],[Efektif Naik Harga]]&lt;30,"Naik","Sama")</f>
        <v>Sama</v>
      </c>
      <c r="BC95" s="7" t="s">
        <v>185</v>
      </c>
      <c r="BD95" s="7" t="str">
        <f>IF(Table43[[#This Row],[Kode BARANG Win2]]&lt;&gt;"","IDR","")</f>
        <v>IDR</v>
      </c>
      <c r="BE95" s="7" t="str">
        <f>CONCATENATE(Table43[[#This Row],[kode  1 Digit
(Nomor)]],Table43[[#This Row],[kode  4 Digit                (Nomor)]])</f>
        <v>20200</v>
      </c>
      <c r="BF95" s="7" t="str">
        <f>Table43[[#This Row],[Nama            Gramasi atau Jumlah Pack per CTN]]</f>
        <v>200G</v>
      </c>
      <c r="BG95" s="7" t="s">
        <v>1060</v>
      </c>
      <c r="BH95" s="7"/>
      <c r="BI95" s="4" t="str">
        <f>IF(Table43[[#This Row],[SATUAN Fix Win]]&lt;&gt;"","KRT")</f>
        <v>KRT</v>
      </c>
      <c r="BJ95" s="4" t="str">
        <f>IF(Table43[[#This Row],[SATUAN Fix Win]]&lt;&gt;"","GD01")</f>
        <v>GD01</v>
      </c>
      <c r="BK95" s="4">
        <f>IF(Table43[[#This Row],[SATUAN Fix Win]]&lt;&gt;"",11611)</f>
        <v>11611</v>
      </c>
      <c r="BL95" s="4">
        <f>IF(Table43[[#This Row],[SATUAN Fix Win]]&lt;&gt;"",11612)</f>
        <v>11612</v>
      </c>
      <c r="BM95" s="52" t="s">
        <v>378</v>
      </c>
      <c r="BN95" s="4">
        <f>IF(Table43[[#This Row],[SATUAN Fix Win]]&lt;&gt;"",1)</f>
        <v>1</v>
      </c>
      <c r="BO95" s="4" t="s">
        <v>637</v>
      </c>
    </row>
    <row r="96" spans="1:70" s="126" customFormat="1">
      <c r="A96" s="132" t="str">
        <f>CONCATENATE(Table43[[#This Row],[Kode BARANG Win2]],Table43[[#This Row],[No. Urut
Item Sama]])</f>
        <v>F406300602001112</v>
      </c>
      <c r="B96" s="112">
        <v>2</v>
      </c>
      <c r="C96" s="111">
        <v>178</v>
      </c>
      <c r="D96" s="128" t="s">
        <v>1350</v>
      </c>
      <c r="E96" s="113" t="s">
        <v>628</v>
      </c>
      <c r="F96" s="113" t="s">
        <v>1351</v>
      </c>
      <c r="G96" s="113">
        <v>48</v>
      </c>
      <c r="H96" s="127"/>
      <c r="I96" s="133" t="str">
        <f>Table43[[#This Row],[Nama Jenis Kemasan]]</f>
        <v>JAR</v>
      </c>
      <c r="J96" s="132" t="str">
        <f>TRIM(CONCATENATE(Table43[[#This Row],[Nama            KLP]]," ",Table43[[#This Row],[Nama            Sub KLP]]))</f>
        <v>SHINZUI BODY SCRUB</v>
      </c>
      <c r="K96" s="132" t="str">
        <f>CONCATENATE(Table43[[#This Row],[kode  2 Digit                (hrf+No)]],Table43[[#This Row],[kode  2 Digit                (Nomor)]],Table43[[#This Row],[kode  1 Digit                (Nomor)]])</f>
        <v>F4063</v>
      </c>
      <c r="L96" s="132" t="str">
        <f>IF(AG96="",CONCATENATE(Q96,S96,U96,W96,Y96,AA96,AC96,AE96,Table43[[#This Row],[Tanda Kode Revisi]]),CONCATENATE(Q96,S96,U96,W96,Y96,AA96,AC96,AG96))</f>
        <v>F40630060200111</v>
      </c>
      <c r="M96" s="116">
        <f>LEN(L96)</f>
        <v>15</v>
      </c>
      <c r="N96" s="134" t="str">
        <f>IF(AF96&lt;&gt;"",TRIM(UPPER(CONCATENATE(P96," ",R96," ",T96," ",V96," ",X96," ",Z96," ","X"," ",Table43[[#This Row],[ISI/CTN]]," ",AF96," ",AB96," ",AD96," ",AH96))),TRIM(UPPER(CONCATENATE(P96," ",R96," ",T96," ",V96," ",X96," ",Z96," ","X"," ",Table43[[#This Row],[ISI/CTN]]," ",AB96," ",AD96," ",AH96))))</f>
        <v>SHINZUI BODY SCRUB SAKURA 200G X 48 JAR BANDED</v>
      </c>
      <c r="O96" s="116">
        <f>LEN(N96)</f>
        <v>46</v>
      </c>
      <c r="P96" s="111"/>
      <c r="Q96" s="112" t="s">
        <v>662</v>
      </c>
      <c r="R96" s="111" t="s">
        <v>680</v>
      </c>
      <c r="S96" s="118" t="s">
        <v>755</v>
      </c>
      <c r="T96" s="119" t="s">
        <v>698</v>
      </c>
      <c r="U96" s="112">
        <v>3</v>
      </c>
      <c r="V96" s="119"/>
      <c r="W96" s="118" t="s">
        <v>370</v>
      </c>
      <c r="X96" s="111" t="s">
        <v>693</v>
      </c>
      <c r="Y96" s="120" t="s">
        <v>755</v>
      </c>
      <c r="Z96" s="111" t="s">
        <v>707</v>
      </c>
      <c r="AA96" s="120" t="s">
        <v>745</v>
      </c>
      <c r="AB96" s="111" t="s">
        <v>733</v>
      </c>
      <c r="AC96" s="112">
        <v>1</v>
      </c>
      <c r="AD96" s="111" t="s">
        <v>1139</v>
      </c>
      <c r="AE96" s="112">
        <v>11</v>
      </c>
      <c r="AF96" s="112"/>
      <c r="AG96" s="112"/>
      <c r="AH96" s="112"/>
      <c r="AI96" s="112"/>
      <c r="AJ96" s="112"/>
      <c r="AK96" s="112"/>
      <c r="AL96" s="135"/>
      <c r="AM96" s="122">
        <f>Table43[[#This Row],[Harga Beli Pcs
(-PPN)]]*Table43[[#This Row],[ISI/CTN]]</f>
        <v>0</v>
      </c>
      <c r="AN96" s="122">
        <f>Table43[[#This Row],[Harga Beli Pcs
(-PPN)]]*1.11</f>
        <v>0</v>
      </c>
      <c r="AO96" s="136">
        <f>Table43[[#This Row],[Harga Beli Krt
(- PPN)]]*1.11</f>
        <v>0</v>
      </c>
      <c r="AP96" s="136"/>
      <c r="AQ96" s="122">
        <f>Table43[[#This Row],[Harga Jual Pcs GT
(-PPN)]]*Table43[[#This Row],[ISI/CTN]]</f>
        <v>0</v>
      </c>
      <c r="AR96" s="122">
        <f>Table43[[#This Row],[Harga Jual Pcs GT
(-PPN)]]*1.11</f>
        <v>0</v>
      </c>
      <c r="AS96" s="122">
        <f>Table43[[#This Row],[Harga Jual Krt GT
(- PPN)]]*1.11</f>
        <v>0</v>
      </c>
      <c r="AT96" s="122"/>
      <c r="AU96" s="122">
        <f>Table43[[#This Row],[Harga Jual Pcs MT
(-PPN)]]*Table43[[#This Row],[ISI/CTN]]</f>
        <v>0</v>
      </c>
      <c r="AV96" s="122">
        <f>Table43[[#This Row],[Harga Jual Pcs MT
(-PPN)]]*1.11</f>
        <v>0</v>
      </c>
      <c r="AW96" s="122">
        <f>Table43[[#This Row],[Harga Jual Pcs MT
(+PPN)]]*Table43[[#This Row],[ISI/CTN]]</f>
        <v>0</v>
      </c>
      <c r="AX96" s="123">
        <f>IFERROR((Table43[[#This Row],[Harga Jual Pcs GT
(-PPN)]]-Table43[[#This Row],[Harga Beli Pcs
(-PPN)]])/Table43[[#This Row],[Harga Jual Pcs GT
(-PPN)]],0)</f>
        <v>0</v>
      </c>
      <c r="AY96" s="124"/>
      <c r="AZ96" s="112"/>
      <c r="BA96" s="137" t="str">
        <f ca="1">IF(TODAY()-Table43[[#This Row],[Efektif
Pembuatan]]&gt;60,"Lama","Baru")</f>
        <v>Lama</v>
      </c>
      <c r="BB96" s="137" t="str">
        <f ca="1">IF(TODAY()-Table43[[#This Row],[Efektif Naik Harga]]&lt;30,"Naik","Sama")</f>
        <v>Sama</v>
      </c>
      <c r="BC96" s="112"/>
      <c r="BD96" s="137" t="str">
        <f>IF(Table43[[#This Row],[Kode BARANG Win2]]&lt;&gt;"","IDR","")</f>
        <v>IDR</v>
      </c>
      <c r="BE96" s="137" t="str">
        <f>CONCATENATE(Table43[[#This Row],[kode  1 Digit
(Nomor)]],Table43[[#This Row],[kode  4 Digit                (Nomor)]])</f>
        <v>0200</v>
      </c>
      <c r="BF96" s="137" t="str">
        <f>Table43[[#This Row],[Nama            Gramasi atau Jumlah Pack per CTN]]</f>
        <v>200G</v>
      </c>
      <c r="BG96" s="137"/>
      <c r="BH96" s="112"/>
      <c r="BI96" s="132" t="str">
        <f>IF(Table43[[#This Row],[SATUAN Fix Win]]&lt;&gt;"","KRT")</f>
        <v>KRT</v>
      </c>
      <c r="BJ96" s="132" t="str">
        <f>IF(Table43[[#This Row],[SATUAN Fix Win]]&lt;&gt;"","GD01")</f>
        <v>GD01</v>
      </c>
      <c r="BK96" s="132">
        <f>IF(Table43[[#This Row],[SATUAN Fix Win]]&lt;&gt;"",11611)</f>
        <v>11611</v>
      </c>
      <c r="BL96" s="132">
        <f>IF(Table43[[#This Row],[SATUAN Fix Win]]&lt;&gt;"",11612)</f>
        <v>11612</v>
      </c>
      <c r="BM96" s="138"/>
      <c r="BN96" s="132">
        <f>IF(Table43[[#This Row],[SATUAN Fix Win]]&lt;&gt;"",1)</f>
        <v>1</v>
      </c>
      <c r="BO96" s="132"/>
      <c r="BP96" s="111"/>
      <c r="BQ96" s="111"/>
      <c r="BR96" s="111"/>
    </row>
    <row r="97" spans="1:70">
      <c r="A97" s="4" t="str">
        <f>CONCATENATE(Table43[[#This Row],[Kode BARANG Win2]],Table43[[#This Row],[No. Urut
Item Sama]])</f>
        <v>F406300402001111</v>
      </c>
      <c r="B97" s="7">
        <v>1</v>
      </c>
      <c r="C97" s="4">
        <v>83</v>
      </c>
      <c r="D97" s="73" t="s">
        <v>1144</v>
      </c>
      <c r="E97" s="27" t="s">
        <v>628</v>
      </c>
      <c r="F97" s="27" t="s">
        <v>1145</v>
      </c>
      <c r="G97" s="27">
        <v>48</v>
      </c>
      <c r="H97" s="54">
        <v>8992946519335</v>
      </c>
      <c r="I97" s="27" t="str">
        <f>Table43[[#This Row],[Nama Jenis Kemasan]]</f>
        <v>JAR</v>
      </c>
      <c r="J97" s="4" t="str">
        <f>TRIM(CONCATENATE(Table43[[#This Row],[Nama            KLP]]," ",Table43[[#This Row],[Nama            Sub KLP]]))</f>
        <v>SHINZUI BODY SCRUB</v>
      </c>
      <c r="K97" s="4" t="str">
        <f>CONCATENATE(Table43[[#This Row],[kode  2 Digit                (hrf+No)]],Table43[[#This Row],[kode  2 Digit                (Nomor)]],Table43[[#This Row],[kode  1 Digit                (Nomor)]])</f>
        <v>F4063</v>
      </c>
      <c r="L97" s="4" t="str">
        <f>IF(AG97="",CONCATENATE(Q97,S97,U97,W97,Y97,AA97,AC97,AE97,Table43[[#This Row],[Tanda Kode Revisi]]),CONCATENATE(Q97,S97,U97,W97,Y97,AA97,AC97,AG97))</f>
        <v>F40630040200111</v>
      </c>
      <c r="M97" s="11">
        <f t="shared" si="10"/>
        <v>15</v>
      </c>
      <c r="N97" s="14" t="str">
        <f>IF(AF97&lt;&gt;"",TRIM(UPPER(CONCATENATE(P97," ",R97," ",T97," ",V97," ",X97," ",Z97," ","X"," ",Table43[[#This Row],[ISI/CTN]]," ",AF97," ",AB97," ",AD97," ",AH97))),TRIM(UPPER(CONCATENATE(P97," ",R97," ",T97," ",V97," ",X97," ",Z97," ","X"," ",Table43[[#This Row],[ISI/CTN]]," ",AB97," ",AD97," ",AH97))))</f>
        <v>SHINZUI BODY SCRUB MATSU 200G X 48 JAR BANDED</v>
      </c>
      <c r="O97" s="11">
        <f t="shared" si="11"/>
        <v>45</v>
      </c>
      <c r="Q97" s="7" t="s">
        <v>662</v>
      </c>
      <c r="R97" s="4" t="s">
        <v>680</v>
      </c>
      <c r="S97" s="48" t="s">
        <v>755</v>
      </c>
      <c r="T97" s="49" t="s">
        <v>698</v>
      </c>
      <c r="U97" s="7">
        <v>3</v>
      </c>
      <c r="V97" s="49"/>
      <c r="W97" s="48" t="s">
        <v>370</v>
      </c>
      <c r="X97" s="4" t="s">
        <v>681</v>
      </c>
      <c r="Y97" s="50" t="s">
        <v>753</v>
      </c>
      <c r="Z97" s="4" t="s">
        <v>707</v>
      </c>
      <c r="AA97" s="50" t="s">
        <v>745</v>
      </c>
      <c r="AB97" s="4" t="s">
        <v>733</v>
      </c>
      <c r="AC97" s="7">
        <v>1</v>
      </c>
      <c r="AD97" s="4" t="s">
        <v>1139</v>
      </c>
      <c r="AE97" s="7">
        <v>11</v>
      </c>
      <c r="AI97" s="7" t="s">
        <v>179</v>
      </c>
      <c r="AJ97" s="7">
        <v>1</v>
      </c>
      <c r="AL97" s="38">
        <v>11094.117117117117</v>
      </c>
      <c r="AM97" s="39">
        <f>Table43[[#This Row],[Harga Beli Pcs
(-PPN)]]*Table43[[#This Row],[ISI/CTN]]</f>
        <v>532517.62162162166</v>
      </c>
      <c r="AN97" s="39">
        <f>Table43[[#This Row],[Harga Beli Pcs
(-PPN)]]*1.11</f>
        <v>12314.470000000001</v>
      </c>
      <c r="AO97" s="39">
        <f>Table43[[#This Row],[Harga Beli Krt
(- PPN)]]*1.11</f>
        <v>591094.56000000006</v>
      </c>
      <c r="AP97" s="39">
        <v>11981.98198198198</v>
      </c>
      <c r="AQ97" s="39">
        <f>Table43[[#This Row],[Harga Jual Pcs GT
(-PPN)]]*Table43[[#This Row],[ISI/CTN]]</f>
        <v>575135.13513513503</v>
      </c>
      <c r="AR97" s="39">
        <f>Table43[[#This Row],[Harga Jual Pcs GT
(-PPN)]]*1.11</f>
        <v>13300</v>
      </c>
      <c r="AS97" s="39">
        <f>Table43[[#This Row],[Harga Jual Krt GT
(- PPN)]]*1.11</f>
        <v>638399.99999999988</v>
      </c>
      <c r="AT97" s="39"/>
      <c r="AU97" s="39">
        <f>Table43[[#This Row],[Harga Jual Pcs MT
(-PPN)]]*Table43[[#This Row],[ISI/CTN]]</f>
        <v>0</v>
      </c>
      <c r="AV97" s="39">
        <f>Table43[[#This Row],[Harga Jual Pcs MT
(-PPN)]]*1.11</f>
        <v>0</v>
      </c>
      <c r="AW97" s="39">
        <f>Table43[[#This Row],[Harga Jual Pcs MT
(+PPN)]]*Table43[[#This Row],[ISI/CTN]]</f>
        <v>0</v>
      </c>
      <c r="AX97" s="47">
        <f>IFERROR((Table43[[#This Row],[Harga Jual Pcs GT
(-PPN)]]-Table43[[#This Row],[Harga Beli Pcs
(-PPN)]])/Table43[[#This Row],[Harga Jual Pcs GT
(-PPN)]],0)</f>
        <v>7.4099999999999874E-2</v>
      </c>
      <c r="AY97" s="51"/>
      <c r="AZ97" s="7"/>
      <c r="BA97" s="7" t="str">
        <f ca="1">IF(TODAY()-Table43[[#This Row],[Efektif
Pembuatan]]&gt;60,"Lama","Baru")</f>
        <v>Lama</v>
      </c>
      <c r="BB97" s="7" t="str">
        <f ca="1">IF(TODAY()-Table43[[#This Row],[Efektif Naik Harga]]&lt;30,"Naik","Sama")</f>
        <v>Sama</v>
      </c>
      <c r="BC97" s="7"/>
      <c r="BD97" s="7" t="str">
        <f>IF(Table43[[#This Row],[Kode BARANG Win2]]&lt;&gt;"","IDR","")</f>
        <v>IDR</v>
      </c>
      <c r="BE97" s="7" t="str">
        <f>CONCATENATE(Table43[[#This Row],[kode  1 Digit
(Nomor)]],Table43[[#This Row],[kode  4 Digit                (Nomor)]])</f>
        <v>10200</v>
      </c>
      <c r="BF97" s="7" t="str">
        <f>Table43[[#This Row],[Nama            Gramasi atau Jumlah Pack per CTN]]</f>
        <v>200G</v>
      </c>
      <c r="BG97" s="7"/>
      <c r="BH97" s="7"/>
      <c r="BI97" s="4" t="str">
        <f>IF(Table43[[#This Row],[SATUAN Fix Win]]&lt;&gt;"","KRT")</f>
        <v>KRT</v>
      </c>
      <c r="BJ97" s="4" t="str">
        <f>IF(Table43[[#This Row],[SATUAN Fix Win]]&lt;&gt;"","GD01")</f>
        <v>GD01</v>
      </c>
      <c r="BK97" s="4">
        <f>IF(Table43[[#This Row],[SATUAN Fix Win]]&lt;&gt;"",11611)</f>
        <v>11611</v>
      </c>
      <c r="BL97" s="4">
        <f>IF(Table43[[#This Row],[SATUAN Fix Win]]&lt;&gt;"",11612)</f>
        <v>11612</v>
      </c>
      <c r="BM97" s="52"/>
      <c r="BN97" s="4">
        <f>IF(Table43[[#This Row],[SATUAN Fix Win]]&lt;&gt;"",1)</f>
        <v>1</v>
      </c>
    </row>
    <row r="98" spans="1:70" s="126" customFormat="1">
      <c r="A98" s="132" t="str">
        <f>CONCATENATE(Table43[[#This Row],[Kode BARANG Win2]],Table43[[#This Row],[No. Urut
Item Sama]])</f>
        <v>F406300402001112</v>
      </c>
      <c r="B98" s="112">
        <v>2</v>
      </c>
      <c r="C98" s="111">
        <v>179</v>
      </c>
      <c r="D98" s="128" t="s">
        <v>1352</v>
      </c>
      <c r="E98" s="113" t="s">
        <v>628</v>
      </c>
      <c r="F98" s="113" t="s">
        <v>1353</v>
      </c>
      <c r="G98" s="113">
        <v>48</v>
      </c>
      <c r="H98" s="127"/>
      <c r="I98" s="133" t="str">
        <f>Table43[[#This Row],[Nama Jenis Kemasan]]</f>
        <v>JAR</v>
      </c>
      <c r="J98" s="132" t="str">
        <f>TRIM(CONCATENATE(Table43[[#This Row],[Nama            KLP]]," ",Table43[[#This Row],[Nama            Sub KLP]]))</f>
        <v>SHINZUI BODY SCRUB</v>
      </c>
      <c r="K98" s="132" t="str">
        <f>CONCATENATE(Table43[[#This Row],[kode  2 Digit                (hrf+No)]],Table43[[#This Row],[kode  2 Digit                (Nomor)]],Table43[[#This Row],[kode  1 Digit                (Nomor)]])</f>
        <v>F4063</v>
      </c>
      <c r="L98" s="132" t="str">
        <f>IF(AG98="",CONCATENATE(Q98,S98,U98,W98,Y98,AA98,AC98,AE98,Table43[[#This Row],[Tanda Kode Revisi]]),CONCATENATE(Q98,S98,U98,W98,Y98,AA98,AC98,AG98))</f>
        <v>F40630040200111</v>
      </c>
      <c r="M98" s="116">
        <f>LEN(L98)</f>
        <v>15</v>
      </c>
      <c r="N98" s="134" t="str">
        <f>IF(AF98&lt;&gt;"",TRIM(UPPER(CONCATENATE(P98," ",R98," ",T98," ",V98," ",X98," ",Z98," ","X"," ",Table43[[#This Row],[ISI/CTN]]," ",AF98," ",AB98," ",AD98," ",AH98))),TRIM(UPPER(CONCATENATE(P98," ",R98," ",T98," ",V98," ",X98," ",Z98," ","X"," ",Table43[[#This Row],[ISI/CTN]]," ",AB98," ",AD98," ",AH98))))</f>
        <v>SHINZUI BODY SCRUB MATSU 200G X 48 JAR BANDED</v>
      </c>
      <c r="O98" s="116">
        <f>LEN(N98)</f>
        <v>45</v>
      </c>
      <c r="P98" s="111"/>
      <c r="Q98" s="112" t="s">
        <v>662</v>
      </c>
      <c r="R98" s="111" t="s">
        <v>680</v>
      </c>
      <c r="S98" s="118" t="s">
        <v>755</v>
      </c>
      <c r="T98" s="119" t="s">
        <v>698</v>
      </c>
      <c r="U98" s="112">
        <v>3</v>
      </c>
      <c r="V98" s="119"/>
      <c r="W98" s="118" t="s">
        <v>370</v>
      </c>
      <c r="X98" s="111" t="s">
        <v>681</v>
      </c>
      <c r="Y98" s="120" t="s">
        <v>753</v>
      </c>
      <c r="Z98" s="111" t="s">
        <v>707</v>
      </c>
      <c r="AA98" s="120" t="s">
        <v>745</v>
      </c>
      <c r="AB98" s="111" t="s">
        <v>733</v>
      </c>
      <c r="AC98" s="112">
        <v>1</v>
      </c>
      <c r="AD98" s="111" t="s">
        <v>1139</v>
      </c>
      <c r="AE98" s="112">
        <v>11</v>
      </c>
      <c r="AF98" s="112"/>
      <c r="AG98" s="112"/>
      <c r="AH98" s="112"/>
      <c r="AI98" s="112"/>
      <c r="AJ98" s="112"/>
      <c r="AK98" s="112"/>
      <c r="AL98" s="135"/>
      <c r="AM98" s="122">
        <f>Table43[[#This Row],[Harga Beli Pcs
(-PPN)]]*Table43[[#This Row],[ISI/CTN]]</f>
        <v>0</v>
      </c>
      <c r="AN98" s="122">
        <f>Table43[[#This Row],[Harga Beli Pcs
(-PPN)]]*1.11</f>
        <v>0</v>
      </c>
      <c r="AO98" s="136">
        <f>Table43[[#This Row],[Harga Beli Krt
(- PPN)]]*1.11</f>
        <v>0</v>
      </c>
      <c r="AP98" s="136"/>
      <c r="AQ98" s="122">
        <f>Table43[[#This Row],[Harga Jual Pcs GT
(-PPN)]]*Table43[[#This Row],[ISI/CTN]]</f>
        <v>0</v>
      </c>
      <c r="AR98" s="122">
        <f>Table43[[#This Row],[Harga Jual Pcs GT
(-PPN)]]*1.11</f>
        <v>0</v>
      </c>
      <c r="AS98" s="122">
        <f>Table43[[#This Row],[Harga Jual Krt GT
(- PPN)]]*1.11</f>
        <v>0</v>
      </c>
      <c r="AT98" s="122"/>
      <c r="AU98" s="122">
        <f>Table43[[#This Row],[Harga Jual Pcs MT
(-PPN)]]*Table43[[#This Row],[ISI/CTN]]</f>
        <v>0</v>
      </c>
      <c r="AV98" s="122">
        <f>Table43[[#This Row],[Harga Jual Pcs MT
(-PPN)]]*1.11</f>
        <v>0</v>
      </c>
      <c r="AW98" s="122">
        <f>Table43[[#This Row],[Harga Jual Pcs MT
(+PPN)]]*Table43[[#This Row],[ISI/CTN]]</f>
        <v>0</v>
      </c>
      <c r="AX98" s="123">
        <f>IFERROR((Table43[[#This Row],[Harga Jual Pcs GT
(-PPN)]]-Table43[[#This Row],[Harga Beli Pcs
(-PPN)]])/Table43[[#This Row],[Harga Jual Pcs GT
(-PPN)]],0)</f>
        <v>0</v>
      </c>
      <c r="AY98" s="124"/>
      <c r="AZ98" s="112"/>
      <c r="BA98" s="137" t="str">
        <f ca="1">IF(TODAY()-Table43[[#This Row],[Efektif
Pembuatan]]&gt;60,"Lama","Baru")</f>
        <v>Lama</v>
      </c>
      <c r="BB98" s="137" t="str">
        <f ca="1">IF(TODAY()-Table43[[#This Row],[Efektif Naik Harga]]&lt;30,"Naik","Sama")</f>
        <v>Sama</v>
      </c>
      <c r="BC98" s="112"/>
      <c r="BD98" s="137" t="str">
        <f>IF(Table43[[#This Row],[Kode BARANG Win2]]&lt;&gt;"","IDR","")</f>
        <v>IDR</v>
      </c>
      <c r="BE98" s="137" t="str">
        <f>CONCATENATE(Table43[[#This Row],[kode  1 Digit
(Nomor)]],Table43[[#This Row],[kode  4 Digit                (Nomor)]])</f>
        <v>0200</v>
      </c>
      <c r="BF98" s="137" t="str">
        <f>Table43[[#This Row],[Nama            Gramasi atau Jumlah Pack per CTN]]</f>
        <v>200G</v>
      </c>
      <c r="BG98" s="137"/>
      <c r="BH98" s="112"/>
      <c r="BI98" s="132" t="str">
        <f>IF(Table43[[#This Row],[SATUAN Fix Win]]&lt;&gt;"","KRT")</f>
        <v>KRT</v>
      </c>
      <c r="BJ98" s="132" t="str">
        <f>IF(Table43[[#This Row],[SATUAN Fix Win]]&lt;&gt;"","GD01")</f>
        <v>GD01</v>
      </c>
      <c r="BK98" s="132">
        <f>IF(Table43[[#This Row],[SATUAN Fix Win]]&lt;&gt;"",11611)</f>
        <v>11611</v>
      </c>
      <c r="BL98" s="132">
        <f>IF(Table43[[#This Row],[SATUAN Fix Win]]&lt;&gt;"",11612)</f>
        <v>11612</v>
      </c>
      <c r="BM98" s="138"/>
      <c r="BN98" s="132">
        <f>IF(Table43[[#This Row],[SATUAN Fix Win]]&lt;&gt;"",1)</f>
        <v>1</v>
      </c>
      <c r="BO98" s="132"/>
      <c r="BP98" s="111"/>
      <c r="BQ98" s="111"/>
      <c r="BR98" s="111"/>
    </row>
    <row r="99" spans="1:70" s="126" customFormat="1">
      <c r="A99" s="132" t="str">
        <f>CONCATENATE(Table43[[#This Row],[Kode BARANG Win2]],Table43[[#This Row],[No. Urut
Item Sama]])</f>
        <v>F406300102001111</v>
      </c>
      <c r="B99" s="112">
        <v>1</v>
      </c>
      <c r="C99" s="111">
        <v>174</v>
      </c>
      <c r="D99" s="128" t="s">
        <v>1354</v>
      </c>
      <c r="E99" s="113" t="s">
        <v>628</v>
      </c>
      <c r="F99" s="113" t="s">
        <v>1355</v>
      </c>
      <c r="G99" s="113">
        <v>48</v>
      </c>
      <c r="H99" s="127"/>
      <c r="I99" s="133" t="str">
        <f>Table43[[#This Row],[Nama Jenis Kemasan]]</f>
        <v>JAR</v>
      </c>
      <c r="J99" s="132" t="str">
        <f>TRIM(CONCATENATE(Table43[[#This Row],[Nama            KLP]]," ",Table43[[#This Row],[Nama            Sub KLP]]))</f>
        <v>SHINZUI BODY SCRUB</v>
      </c>
      <c r="K99" s="132" t="str">
        <f>CONCATENATE(Table43[[#This Row],[kode  2 Digit                (hrf+No)]],Table43[[#This Row],[kode  2 Digit                (Nomor)]],Table43[[#This Row],[kode  1 Digit                (Nomor)]])</f>
        <v>F4063</v>
      </c>
      <c r="L99" s="132" t="str">
        <f>IF(AG99="",CONCATENATE(Q99,S99,U99,W99,Y99,AA99,AC99,AE99,Table43[[#This Row],[Tanda Kode Revisi]]),CONCATENATE(Q99,S99,U99,W99,Y99,AA99,AC99,AG99))</f>
        <v>F40630010200111</v>
      </c>
      <c r="M99" s="116">
        <f t="shared" ref="M99:M100" si="12">LEN(L99)</f>
        <v>15</v>
      </c>
      <c r="N99" s="134" t="str">
        <f>IF(AF99&lt;&gt;"",TRIM(UPPER(CONCATENATE(P99," ",R99," ",T99," ",V99," ",X99," ",Z99," ","X"," ",Table43[[#This Row],[ISI/CTN]]," ",AF99," ",AB99," ",AD99," ",AH99))),TRIM(UPPER(CONCATENATE(P99," ",R99," ",T99," ",V99," ",X99," ",Z99," ","X"," ",Table43[[#This Row],[ISI/CTN]]," ",AB99," ",AD99," ",AH99))))</f>
        <v>SHINZUI BODY SCRUB HANA 200G X 48 JAR BANDED</v>
      </c>
      <c r="O99" s="116">
        <f t="shared" ref="O99:O100" si="13">LEN(N99)</f>
        <v>44</v>
      </c>
      <c r="P99" s="111"/>
      <c r="Q99" s="112" t="s">
        <v>662</v>
      </c>
      <c r="R99" s="111" t="s">
        <v>680</v>
      </c>
      <c r="S99" s="118" t="s">
        <v>755</v>
      </c>
      <c r="T99" s="119" t="s">
        <v>698</v>
      </c>
      <c r="U99" s="112">
        <v>3</v>
      </c>
      <c r="V99" s="119"/>
      <c r="W99" s="118" t="s">
        <v>370</v>
      </c>
      <c r="X99" s="111" t="s">
        <v>682</v>
      </c>
      <c r="Y99" s="120" t="s">
        <v>749</v>
      </c>
      <c r="Z99" s="111" t="s">
        <v>707</v>
      </c>
      <c r="AA99" s="120" t="s">
        <v>745</v>
      </c>
      <c r="AB99" s="111" t="s">
        <v>733</v>
      </c>
      <c r="AC99" s="112">
        <v>1</v>
      </c>
      <c r="AD99" s="111" t="s">
        <v>1139</v>
      </c>
      <c r="AE99" s="112">
        <v>11</v>
      </c>
      <c r="AF99" s="112"/>
      <c r="AG99" s="112"/>
      <c r="AH99" s="112"/>
      <c r="AI99" s="112"/>
      <c r="AJ99" s="112"/>
      <c r="AK99" s="112"/>
      <c r="AL99" s="135"/>
      <c r="AM99" s="122">
        <f>Table43[[#This Row],[Harga Beli Pcs
(-PPN)]]*Table43[[#This Row],[ISI/CTN]]</f>
        <v>0</v>
      </c>
      <c r="AN99" s="122">
        <f>Table43[[#This Row],[Harga Beli Pcs
(-PPN)]]*1.11</f>
        <v>0</v>
      </c>
      <c r="AO99" s="136">
        <f>Table43[[#This Row],[Harga Beli Krt
(- PPN)]]*1.11</f>
        <v>0</v>
      </c>
      <c r="AP99" s="136"/>
      <c r="AQ99" s="122">
        <f>Table43[[#This Row],[Harga Jual Pcs GT
(-PPN)]]*Table43[[#This Row],[ISI/CTN]]</f>
        <v>0</v>
      </c>
      <c r="AR99" s="122">
        <f>Table43[[#This Row],[Harga Jual Pcs GT
(-PPN)]]*1.11</f>
        <v>0</v>
      </c>
      <c r="AS99" s="122">
        <f>Table43[[#This Row],[Harga Jual Krt GT
(- PPN)]]*1.11</f>
        <v>0</v>
      </c>
      <c r="AT99" s="122"/>
      <c r="AU99" s="122">
        <f>Table43[[#This Row],[Harga Jual Pcs MT
(-PPN)]]*Table43[[#This Row],[ISI/CTN]]</f>
        <v>0</v>
      </c>
      <c r="AV99" s="122">
        <f>Table43[[#This Row],[Harga Jual Pcs MT
(-PPN)]]*1.11</f>
        <v>0</v>
      </c>
      <c r="AW99" s="122">
        <f>Table43[[#This Row],[Harga Jual Pcs MT
(+PPN)]]*Table43[[#This Row],[ISI/CTN]]</f>
        <v>0</v>
      </c>
      <c r="AX99" s="123">
        <f>IFERROR((Table43[[#This Row],[Harga Jual Pcs GT
(-PPN)]]-Table43[[#This Row],[Harga Beli Pcs
(-PPN)]])/Table43[[#This Row],[Harga Jual Pcs GT
(-PPN)]],0)</f>
        <v>0</v>
      </c>
      <c r="AY99" s="124"/>
      <c r="AZ99" s="112"/>
      <c r="BA99" s="137" t="str">
        <f ca="1">IF(TODAY()-Table43[[#This Row],[Efektif
Pembuatan]]&gt;60,"Lama","Baru")</f>
        <v>Lama</v>
      </c>
      <c r="BB99" s="137" t="str">
        <f ca="1">IF(TODAY()-Table43[[#This Row],[Efektif Naik Harga]]&lt;30,"Naik","Sama")</f>
        <v>Sama</v>
      </c>
      <c r="BC99" s="112"/>
      <c r="BD99" s="137" t="str">
        <f>IF(Table43[[#This Row],[Kode BARANG Win2]]&lt;&gt;"","IDR","")</f>
        <v>IDR</v>
      </c>
      <c r="BE99" s="137" t="str">
        <f>CONCATENATE(Table43[[#This Row],[kode  1 Digit
(Nomor)]],Table43[[#This Row],[kode  4 Digit                (Nomor)]])</f>
        <v>0200</v>
      </c>
      <c r="BF99" s="137" t="str">
        <f>Table43[[#This Row],[Nama            Gramasi atau Jumlah Pack per CTN]]</f>
        <v>200G</v>
      </c>
      <c r="BG99" s="137"/>
      <c r="BH99" s="112"/>
      <c r="BI99" s="132" t="str">
        <f>IF(Table43[[#This Row],[SATUAN Fix Win]]&lt;&gt;"","KRT")</f>
        <v>KRT</v>
      </c>
      <c r="BJ99" s="132" t="str">
        <f>IF(Table43[[#This Row],[SATUAN Fix Win]]&lt;&gt;"","GD01")</f>
        <v>GD01</v>
      </c>
      <c r="BK99" s="132">
        <f>IF(Table43[[#This Row],[SATUAN Fix Win]]&lt;&gt;"",11611)</f>
        <v>11611</v>
      </c>
      <c r="BL99" s="132">
        <f>IF(Table43[[#This Row],[SATUAN Fix Win]]&lt;&gt;"",11612)</f>
        <v>11612</v>
      </c>
      <c r="BM99" s="138"/>
      <c r="BN99" s="132">
        <f>IF(Table43[[#This Row],[SATUAN Fix Win]]&lt;&gt;"",1)</f>
        <v>1</v>
      </c>
      <c r="BO99" s="132"/>
      <c r="BP99" s="111"/>
      <c r="BQ99" s="111"/>
      <c r="BR99" s="111"/>
    </row>
    <row r="100" spans="1:70" s="126" customFormat="1">
      <c r="A100" s="132" t="str">
        <f>CONCATENATE(Table43[[#This Row],[Kode BARANG Win2]],Table43[[#This Row],[No. Urut
Item Sama]])</f>
        <v>F406300202001111</v>
      </c>
      <c r="B100" s="112">
        <v>1</v>
      </c>
      <c r="C100" s="111">
        <v>175</v>
      </c>
      <c r="D100" s="128" t="s">
        <v>1356</v>
      </c>
      <c r="E100" s="113" t="s">
        <v>628</v>
      </c>
      <c r="F100" s="113" t="s">
        <v>1357</v>
      </c>
      <c r="G100" s="113">
        <v>48</v>
      </c>
      <c r="H100" s="127"/>
      <c r="I100" s="133" t="str">
        <f>Table43[[#This Row],[Nama Jenis Kemasan]]</f>
        <v>JAR</v>
      </c>
      <c r="J100" s="132" t="str">
        <f>TRIM(CONCATENATE(Table43[[#This Row],[Nama            KLP]]," ",Table43[[#This Row],[Nama            Sub KLP]]))</f>
        <v>SHINZUI BODY SCRUB</v>
      </c>
      <c r="K100" s="132" t="str">
        <f>CONCATENATE(Table43[[#This Row],[kode  2 Digit                (hrf+No)]],Table43[[#This Row],[kode  2 Digit                (Nomor)]],Table43[[#This Row],[kode  1 Digit                (Nomor)]])</f>
        <v>F4063</v>
      </c>
      <c r="L100" s="132" t="str">
        <f>IF(AG100="",CONCATENATE(Q100,S100,U100,W100,Y100,AA100,AC100,AE100,Table43[[#This Row],[Tanda Kode Revisi]]),CONCATENATE(Q100,S100,U100,W100,Y100,AA100,AC100,AG100))</f>
        <v>F40630020200111</v>
      </c>
      <c r="M100" s="116">
        <f t="shared" si="12"/>
        <v>15</v>
      </c>
      <c r="N100" s="134" t="str">
        <f>IF(AF100&lt;&gt;"",TRIM(UPPER(CONCATENATE(P100," ",R100," ",T100," ",V100," ",X100," ",Z100," ","X"," ",Table43[[#This Row],[ISI/CTN]]," ",AF100," ",AB100," ",AD100," ",AH100))),TRIM(UPPER(CONCATENATE(P100," ",R100," ",T100," ",V100," ",X100," ",Z100," ","X"," ",Table43[[#This Row],[ISI/CTN]]," ",AB100," ",AD100," ",AH100))))</f>
        <v>SHINZUI BODY SCRUB KENSHO 200G X 48 JAR BANDED</v>
      </c>
      <c r="O100" s="116">
        <f t="shared" si="13"/>
        <v>46</v>
      </c>
      <c r="P100" s="111"/>
      <c r="Q100" s="112" t="s">
        <v>662</v>
      </c>
      <c r="R100" s="111" t="s">
        <v>680</v>
      </c>
      <c r="S100" s="118" t="s">
        <v>755</v>
      </c>
      <c r="T100" s="119" t="s">
        <v>698</v>
      </c>
      <c r="U100" s="112">
        <v>3</v>
      </c>
      <c r="V100" s="119"/>
      <c r="W100" s="118" t="s">
        <v>370</v>
      </c>
      <c r="X100" s="111" t="s">
        <v>694</v>
      </c>
      <c r="Y100" s="120" t="s">
        <v>751</v>
      </c>
      <c r="Z100" s="111" t="s">
        <v>707</v>
      </c>
      <c r="AA100" s="120" t="s">
        <v>745</v>
      </c>
      <c r="AB100" s="111" t="s">
        <v>733</v>
      </c>
      <c r="AC100" s="112">
        <v>1</v>
      </c>
      <c r="AD100" s="111" t="s">
        <v>1139</v>
      </c>
      <c r="AE100" s="112">
        <v>11</v>
      </c>
      <c r="AF100" s="112"/>
      <c r="AG100" s="112"/>
      <c r="AH100" s="112"/>
      <c r="AI100" s="112"/>
      <c r="AJ100" s="112"/>
      <c r="AK100" s="112"/>
      <c r="AL100" s="135"/>
      <c r="AM100" s="122">
        <f>Table43[[#This Row],[Harga Beli Pcs
(-PPN)]]*Table43[[#This Row],[ISI/CTN]]</f>
        <v>0</v>
      </c>
      <c r="AN100" s="122">
        <f>Table43[[#This Row],[Harga Beli Pcs
(-PPN)]]*1.11</f>
        <v>0</v>
      </c>
      <c r="AO100" s="136">
        <f>Table43[[#This Row],[Harga Beli Krt
(- PPN)]]*1.11</f>
        <v>0</v>
      </c>
      <c r="AP100" s="136"/>
      <c r="AQ100" s="122">
        <f>Table43[[#This Row],[Harga Jual Pcs GT
(-PPN)]]*Table43[[#This Row],[ISI/CTN]]</f>
        <v>0</v>
      </c>
      <c r="AR100" s="122">
        <f>Table43[[#This Row],[Harga Jual Pcs GT
(-PPN)]]*1.11</f>
        <v>0</v>
      </c>
      <c r="AS100" s="122">
        <f>Table43[[#This Row],[Harga Jual Krt GT
(- PPN)]]*1.11</f>
        <v>0</v>
      </c>
      <c r="AT100" s="122"/>
      <c r="AU100" s="122">
        <f>Table43[[#This Row],[Harga Jual Pcs MT
(-PPN)]]*Table43[[#This Row],[ISI/CTN]]</f>
        <v>0</v>
      </c>
      <c r="AV100" s="122">
        <f>Table43[[#This Row],[Harga Jual Pcs MT
(-PPN)]]*1.11</f>
        <v>0</v>
      </c>
      <c r="AW100" s="122">
        <f>Table43[[#This Row],[Harga Jual Pcs MT
(+PPN)]]*Table43[[#This Row],[ISI/CTN]]</f>
        <v>0</v>
      </c>
      <c r="AX100" s="123">
        <f>IFERROR((Table43[[#This Row],[Harga Jual Pcs GT
(-PPN)]]-Table43[[#This Row],[Harga Beli Pcs
(-PPN)]])/Table43[[#This Row],[Harga Jual Pcs GT
(-PPN)]],0)</f>
        <v>0</v>
      </c>
      <c r="AY100" s="124"/>
      <c r="AZ100" s="112"/>
      <c r="BA100" s="137" t="str">
        <f ca="1">IF(TODAY()-Table43[[#This Row],[Efektif
Pembuatan]]&gt;60,"Lama","Baru")</f>
        <v>Lama</v>
      </c>
      <c r="BB100" s="137" t="str">
        <f ca="1">IF(TODAY()-Table43[[#This Row],[Efektif Naik Harga]]&lt;30,"Naik","Sama")</f>
        <v>Sama</v>
      </c>
      <c r="BC100" s="112"/>
      <c r="BD100" s="137" t="str">
        <f>IF(Table43[[#This Row],[Kode BARANG Win2]]&lt;&gt;"","IDR","")</f>
        <v>IDR</v>
      </c>
      <c r="BE100" s="137" t="str">
        <f>CONCATENATE(Table43[[#This Row],[kode  1 Digit
(Nomor)]],Table43[[#This Row],[kode  4 Digit                (Nomor)]])</f>
        <v>0200</v>
      </c>
      <c r="BF100" s="137" t="str">
        <f>Table43[[#This Row],[Nama            Gramasi atau Jumlah Pack per CTN]]</f>
        <v>200G</v>
      </c>
      <c r="BG100" s="137"/>
      <c r="BH100" s="112"/>
      <c r="BI100" s="132" t="str">
        <f>IF(Table43[[#This Row],[SATUAN Fix Win]]&lt;&gt;"","KRT")</f>
        <v>KRT</v>
      </c>
      <c r="BJ100" s="132" t="str">
        <f>IF(Table43[[#This Row],[SATUAN Fix Win]]&lt;&gt;"","GD01")</f>
        <v>GD01</v>
      </c>
      <c r="BK100" s="132">
        <f>IF(Table43[[#This Row],[SATUAN Fix Win]]&lt;&gt;"",11611)</f>
        <v>11611</v>
      </c>
      <c r="BL100" s="132">
        <f>IF(Table43[[#This Row],[SATUAN Fix Win]]&lt;&gt;"",11612)</f>
        <v>11612</v>
      </c>
      <c r="BM100" s="138"/>
      <c r="BN100" s="132">
        <f>IF(Table43[[#This Row],[SATUAN Fix Win]]&lt;&gt;"",1)</f>
        <v>1</v>
      </c>
      <c r="BO100" s="132"/>
      <c r="BP100" s="111"/>
      <c r="BQ100" s="111"/>
      <c r="BR100" s="111"/>
    </row>
    <row r="101" spans="1:70">
      <c r="A101" s="4" t="str">
        <f>CONCATENATE(Table43[[#This Row],[Kode BARANG Win2]],Table43[[#This Row],[No. Urut
Item Sama]])</f>
        <v>F406900100301211</v>
      </c>
      <c r="B101" s="7">
        <v>1</v>
      </c>
      <c r="C101" s="4">
        <v>84</v>
      </c>
      <c r="D101" s="73">
        <v>161702000</v>
      </c>
      <c r="E101" s="27" t="s">
        <v>628</v>
      </c>
      <c r="F101" s="27" t="s">
        <v>1138</v>
      </c>
      <c r="G101" s="27">
        <v>48</v>
      </c>
      <c r="H101" s="54">
        <v>8992946535717</v>
      </c>
      <c r="I101" s="27" t="str">
        <f>Table43[[#This Row],[Nama Jenis Kemasan]]</f>
        <v>TUBE</v>
      </c>
      <c r="J101" s="4" t="str">
        <f>TRIM(CONCATENATE(Table43[[#This Row],[Nama            KLP]]," ",Table43[[#This Row],[Nama            Sub KLP]]))</f>
        <v>SHINZUI SUNSCREEN</v>
      </c>
      <c r="K101" s="4" t="str">
        <f>CONCATENATE(Table43[[#This Row],[kode  2 Digit                (hrf+No)]],Table43[[#This Row],[kode  2 Digit                (Nomor)]],Table43[[#This Row],[kode  1 Digit                (Nomor)]])</f>
        <v>F4069</v>
      </c>
      <c r="L101" s="4" t="str">
        <f>IF(AG101="",CONCATENATE(Q101,S101,U101,W101,Y101,AA101,AC101,AE101,Table43[[#This Row],[Tanda Kode Revisi]]),CONCATENATE(Q101,S101,U101,W101,Y101,AA101,AC101,AG101))</f>
        <v>F40690010030121</v>
      </c>
      <c r="M101" s="11">
        <f t="shared" si="10"/>
        <v>15</v>
      </c>
      <c r="N101" s="14" t="str">
        <f>IF(AF101&lt;&gt;"",TRIM(UPPER(CONCATENATE(P101," ",R101," ",T101," ",V101," ",X101," ",Z101," ","X"," ",Table43[[#This Row],[ISI/CTN]]," ",AF101," ",AB101," ",AD101," ",AH101))),TRIM(UPPER(CONCATENATE(P101," ",R101," ",T101," ",V101," ",X101," ",Z101," ","X"," ",Table43[[#This Row],[ISI/CTN]]," ",AB101," ",AD101," ",AH101))))</f>
        <v>SHINZUI SUNSCREEN SPF 35 30ML X 48 TUBE BANDED</v>
      </c>
      <c r="O101" s="11">
        <f t="shared" si="11"/>
        <v>46</v>
      </c>
      <c r="Q101" s="7" t="s">
        <v>662</v>
      </c>
      <c r="R101" s="4" t="s">
        <v>680</v>
      </c>
      <c r="S101" s="48" t="s">
        <v>755</v>
      </c>
      <c r="T101" s="49" t="s">
        <v>711</v>
      </c>
      <c r="U101" s="7">
        <v>9</v>
      </c>
      <c r="V101" s="49"/>
      <c r="W101" s="48" t="s">
        <v>370</v>
      </c>
      <c r="X101" s="4" t="s">
        <v>716</v>
      </c>
      <c r="Y101" s="50" t="s">
        <v>749</v>
      </c>
      <c r="Z101" s="4" t="s">
        <v>718</v>
      </c>
      <c r="AA101" s="50" t="s">
        <v>759</v>
      </c>
      <c r="AB101" s="4" t="s">
        <v>732</v>
      </c>
      <c r="AC101" s="7">
        <v>1</v>
      </c>
      <c r="AD101" s="4" t="s">
        <v>1139</v>
      </c>
      <c r="AE101" s="7">
        <v>21</v>
      </c>
      <c r="AI101" s="7" t="s">
        <v>178</v>
      </c>
      <c r="AJ101" s="7">
        <v>2</v>
      </c>
      <c r="AL101" s="38">
        <v>24398.716216216217</v>
      </c>
      <c r="AM101" s="39">
        <f>Table43[[#This Row],[Harga Beli Pcs
(-PPN)]]*Table43[[#This Row],[ISI/CTN]]</f>
        <v>1171138.3783783785</v>
      </c>
      <c r="AN101" s="39">
        <f>Table43[[#This Row],[Harga Beli Pcs
(-PPN)]]*1.11</f>
        <v>27082.575000000004</v>
      </c>
      <c r="AO101" s="39">
        <f>Table43[[#This Row],[Harga Beli Krt
(- PPN)]]*1.11</f>
        <v>1299963.6000000001</v>
      </c>
      <c r="AP101" s="39">
        <v>26351.35135135135</v>
      </c>
      <c r="AQ101" s="39">
        <f>Table43[[#This Row],[Harga Jual Pcs GT
(-PPN)]]*Table43[[#This Row],[ISI/CTN]]</f>
        <v>1264864.8648648649</v>
      </c>
      <c r="AR101" s="39">
        <f>Table43[[#This Row],[Harga Jual Pcs GT
(-PPN)]]*1.11</f>
        <v>29250</v>
      </c>
      <c r="AS101" s="39">
        <f>Table43[[#This Row],[Harga Jual Krt GT
(- PPN)]]*1.11</f>
        <v>1404000</v>
      </c>
      <c r="AT101" s="39"/>
      <c r="AU101" s="39">
        <f>Table43[[#This Row],[Harga Jual Pcs MT
(-PPN)]]*Table43[[#This Row],[ISI/CTN]]</f>
        <v>0</v>
      </c>
      <c r="AV101" s="39">
        <f>Table43[[#This Row],[Harga Jual Pcs MT
(-PPN)]]*1.11</f>
        <v>0</v>
      </c>
      <c r="AW101" s="39">
        <f>Table43[[#This Row],[Harga Jual Pcs MT
(+PPN)]]*Table43[[#This Row],[ISI/CTN]]</f>
        <v>0</v>
      </c>
      <c r="AX101" s="47">
        <f>IFERROR((Table43[[#This Row],[Harga Jual Pcs GT
(-PPN)]]-Table43[[#This Row],[Harga Beli Pcs
(-PPN)]])/Table43[[#This Row],[Harga Jual Pcs GT
(-PPN)]],0)</f>
        <v>7.409999999999993E-2</v>
      </c>
      <c r="AY101" s="51">
        <v>45936</v>
      </c>
      <c r="AZ101" s="7"/>
      <c r="BA101" s="7" t="str">
        <f ca="1">IF(TODAY()-Table43[[#This Row],[Efektif
Pembuatan]]&gt;60,"Lama","Baru")</f>
        <v>Lama</v>
      </c>
      <c r="BB101" s="7" t="str">
        <f ca="1">IF(TODAY()-Table43[[#This Row],[Efektif Naik Harga]]&lt;30,"Naik","Sama")</f>
        <v>Sama</v>
      </c>
      <c r="BC101" s="7" t="s">
        <v>185</v>
      </c>
      <c r="BD101" s="7" t="str">
        <f>IF(Table43[[#This Row],[Kode BARANG Win2]]&lt;&gt;"","IDR","")</f>
        <v>IDR</v>
      </c>
      <c r="BE101" s="7" t="str">
        <f>CONCATENATE(Table43[[#This Row],[kode  1 Digit
(Nomor)]],Table43[[#This Row],[kode  4 Digit                (Nomor)]])</f>
        <v>20030</v>
      </c>
      <c r="BF101" s="7" t="str">
        <f>Table43[[#This Row],[Nama            Gramasi atau Jumlah Pack per CTN]]</f>
        <v>30ML</v>
      </c>
      <c r="BG101" s="7" t="s">
        <v>1060</v>
      </c>
      <c r="BH101" s="7"/>
      <c r="BI101" s="4" t="str">
        <f>IF(Table43[[#This Row],[SATUAN Fix Win]]&lt;&gt;"","KRT")</f>
        <v>KRT</v>
      </c>
      <c r="BJ101" s="4" t="str">
        <f>IF(Table43[[#This Row],[SATUAN Fix Win]]&lt;&gt;"","GD01")</f>
        <v>GD01</v>
      </c>
      <c r="BK101" s="4">
        <f>IF(Table43[[#This Row],[SATUAN Fix Win]]&lt;&gt;"",11611)</f>
        <v>11611</v>
      </c>
      <c r="BL101" s="4">
        <f>IF(Table43[[#This Row],[SATUAN Fix Win]]&lt;&gt;"",11612)</f>
        <v>11612</v>
      </c>
      <c r="BM101" s="52" t="s">
        <v>378</v>
      </c>
      <c r="BN101" s="4">
        <f>IF(Table43[[#This Row],[SATUAN Fix Win]]&lt;&gt;"",1)</f>
        <v>1</v>
      </c>
      <c r="BO101" s="4" t="s">
        <v>637</v>
      </c>
    </row>
    <row r="102" spans="1:70" s="105" customFormat="1">
      <c r="A102" s="91" t="str">
        <f>CONCATENATE(Table43[[#This Row],[Kode BARANG Win2]],Table43[[#This Row],[No. Urut
Item Sama]])</f>
        <v>F40610010050101</v>
      </c>
      <c r="B102" s="92">
        <v>1</v>
      </c>
      <c r="C102" s="91">
        <v>164</v>
      </c>
      <c r="D102" s="106">
        <v>101701006</v>
      </c>
      <c r="E102" s="93" t="s">
        <v>628</v>
      </c>
      <c r="F102" s="93" t="s">
        <v>1229</v>
      </c>
      <c r="G102" s="93">
        <v>48</v>
      </c>
      <c r="H102" s="107">
        <v>8992946535601</v>
      </c>
      <c r="I102" s="93" t="str">
        <f>Table43[[#This Row],[Nama Jenis Kemasan]]</f>
        <v>BTL</v>
      </c>
      <c r="J102" s="91" t="str">
        <f>TRIM(CONCATENATE(Table43[[#This Row],[Nama            KLP]]," ",Table43[[#This Row],[Nama            Sub KLP]]))</f>
        <v>SHINZUI TONER</v>
      </c>
      <c r="K102" s="91" t="str">
        <f>CONCATENATE(Table43[[#This Row],[kode  2 Digit                (hrf+No)]],Table43[[#This Row],[kode  2 Digit                (Nomor)]],Table43[[#This Row],[kode  1 Digit                (Nomor)]])</f>
        <v>F4061</v>
      </c>
      <c r="L102" s="91" t="str">
        <f>IF(AG102="",CONCATENATE(Q102,S102,U102,W102,Y102,AA102,AC102,AE102,Table43[[#This Row],[Tanda Kode Revisi]]),CONCATENATE(Q102,S102,U102,W102,Y102,AA102,AC102,AG102))</f>
        <v>F4061001005010</v>
      </c>
      <c r="M102" s="95">
        <f t="shared" si="10"/>
        <v>14</v>
      </c>
      <c r="N102" s="96" t="str">
        <f>IF(AF102&lt;&gt;"",TRIM(UPPER(CONCATENATE(P102," ",R102," ",T102," ",V102," ",X102," ",Z102," ","X"," ",Table43[[#This Row],[ISI/CTN]]," ",AF102," ",AB102," ",AD102," ",AH102))),TRIM(UPPER(CONCATENATE(P102," ",R102," ",T102," ",V102," ",X102," ",Z102," ","X"," ",Table43[[#This Row],[ISI/CTN]]," ",AB102," ",AD102," ",AH102))))</f>
        <v>SHINZUI TONER BRIGHTENING ESCENCE 50ML X 48 BTL</v>
      </c>
      <c r="O102" s="95">
        <f t="shared" si="11"/>
        <v>47</v>
      </c>
      <c r="P102" s="91"/>
      <c r="Q102" s="92" t="s">
        <v>662</v>
      </c>
      <c r="R102" s="91" t="s">
        <v>680</v>
      </c>
      <c r="S102" s="97" t="s">
        <v>755</v>
      </c>
      <c r="T102" s="98" t="s">
        <v>1230</v>
      </c>
      <c r="U102" s="92">
        <v>1</v>
      </c>
      <c r="V102" s="98"/>
      <c r="W102" s="97" t="s">
        <v>370</v>
      </c>
      <c r="X102" s="91" t="s">
        <v>1233</v>
      </c>
      <c r="Y102" s="99" t="s">
        <v>749</v>
      </c>
      <c r="Z102" s="91" t="s">
        <v>1231</v>
      </c>
      <c r="AA102" s="99" t="s">
        <v>1232</v>
      </c>
      <c r="AB102" s="91" t="s">
        <v>705</v>
      </c>
      <c r="AC102" s="92">
        <v>1</v>
      </c>
      <c r="AD102" s="91"/>
      <c r="AE102" s="92">
        <v>0</v>
      </c>
      <c r="AF102" s="92"/>
      <c r="AG102" s="92"/>
      <c r="AH102" s="92"/>
      <c r="AI102" s="7" t="s">
        <v>178</v>
      </c>
      <c r="AJ102" s="7">
        <v>2</v>
      </c>
      <c r="AK102" s="92"/>
      <c r="AL102" s="100"/>
      <c r="AM102" s="101">
        <f>Table43[[#This Row],[Harga Beli Pcs
(-PPN)]]*Table43[[#This Row],[ISI/CTN]]</f>
        <v>0</v>
      </c>
      <c r="AN102" s="101">
        <f>Table43[[#This Row],[Harga Beli Pcs
(-PPN)]]*1.11</f>
        <v>0</v>
      </c>
      <c r="AO102" s="101">
        <f>Table43[[#This Row],[Harga Beli Krt
(- PPN)]]*1.11</f>
        <v>0</v>
      </c>
      <c r="AP102" s="101"/>
      <c r="AQ102" s="101">
        <f>Table43[[#This Row],[Harga Jual Pcs GT
(-PPN)]]*Table43[[#This Row],[ISI/CTN]]</f>
        <v>0</v>
      </c>
      <c r="AR102" s="101">
        <f>Table43[[#This Row],[Harga Jual Pcs GT
(-PPN)]]*1.11</f>
        <v>0</v>
      </c>
      <c r="AS102" s="101">
        <f>Table43[[#This Row],[Harga Jual Krt GT
(- PPN)]]*1.11</f>
        <v>0</v>
      </c>
      <c r="AT102" s="101"/>
      <c r="AU102" s="101">
        <f>Table43[[#This Row],[Harga Jual Pcs MT
(-PPN)]]*Table43[[#This Row],[ISI/CTN]]</f>
        <v>0</v>
      </c>
      <c r="AV102" s="101">
        <f>Table43[[#This Row],[Harga Jual Pcs MT
(-PPN)]]*1.11</f>
        <v>0</v>
      </c>
      <c r="AW102" s="101">
        <f>Table43[[#This Row],[Harga Jual Pcs MT
(+PPN)]]*Table43[[#This Row],[ISI/CTN]]</f>
        <v>0</v>
      </c>
      <c r="AX102" s="102">
        <f>IFERROR((Table43[[#This Row],[Harga Jual Pcs GT
(-PPN)]]-Table43[[#This Row],[Harga Beli Pcs
(-PPN)]])/Table43[[#This Row],[Harga Jual Pcs GT
(-PPN)]],0)</f>
        <v>0</v>
      </c>
      <c r="AY102" s="103"/>
      <c r="AZ102" s="92"/>
      <c r="BA102" s="92" t="str">
        <f ca="1">IF(TODAY()-Table43[[#This Row],[Efektif
Pembuatan]]&gt;60,"Lama","Baru")</f>
        <v>Lama</v>
      </c>
      <c r="BB102" s="92" t="str">
        <f ca="1">IF(TODAY()-Table43[[#This Row],[Efektif Naik Harga]]&lt;30,"Naik","Sama")</f>
        <v>Sama</v>
      </c>
      <c r="BC102" s="92"/>
      <c r="BD102" s="92" t="str">
        <f>IF(Table43[[#This Row],[Kode BARANG Win2]]&lt;&gt;"","IDR","")</f>
        <v>IDR</v>
      </c>
      <c r="BE102" s="92" t="str">
        <f>CONCATENATE(Table43[[#This Row],[kode  1 Digit
(Nomor)]],Table43[[#This Row],[kode  4 Digit                (Nomor)]])</f>
        <v>20050</v>
      </c>
      <c r="BF102" s="92" t="str">
        <f>Table43[[#This Row],[Nama            Gramasi atau Jumlah Pack per CTN]]</f>
        <v>50ML</v>
      </c>
      <c r="BG102" s="92"/>
      <c r="BH102" s="92"/>
      <c r="BI102" s="91" t="str">
        <f>IF(Table43[[#This Row],[SATUAN Fix Win]]&lt;&gt;"","KRT")</f>
        <v>KRT</v>
      </c>
      <c r="BJ102" s="91" t="str">
        <f>IF(Table43[[#This Row],[SATUAN Fix Win]]&lt;&gt;"","GD01")</f>
        <v>GD01</v>
      </c>
      <c r="BK102" s="91">
        <f>IF(Table43[[#This Row],[SATUAN Fix Win]]&lt;&gt;"",11611)</f>
        <v>11611</v>
      </c>
      <c r="BL102" s="91">
        <f>IF(Table43[[#This Row],[SATUAN Fix Win]]&lt;&gt;"",11612)</f>
        <v>11612</v>
      </c>
      <c r="BM102" s="104"/>
      <c r="BN102" s="91">
        <f>IF(Table43[[#This Row],[SATUAN Fix Win]]&lt;&gt;"",1)</f>
        <v>1</v>
      </c>
      <c r="BO102" s="91"/>
      <c r="BP102" s="91"/>
      <c r="BQ102" s="91"/>
      <c r="BR102" s="91"/>
    </row>
    <row r="103" spans="1:70" s="105" customFormat="1">
      <c r="A103" s="91" t="str">
        <f>CONCATENATE(Table43[[#This Row],[Kode BARANG Win2]],Table43[[#This Row],[No. Urut
Item Sama]])</f>
        <v>F406100010300101</v>
      </c>
      <c r="B103" s="92">
        <v>1</v>
      </c>
      <c r="C103" s="91">
        <v>164</v>
      </c>
      <c r="D103" s="106">
        <v>171701001</v>
      </c>
      <c r="E103" s="93" t="s">
        <v>628</v>
      </c>
      <c r="F103" s="93" t="s">
        <v>1261</v>
      </c>
      <c r="G103" s="93">
        <v>24</v>
      </c>
      <c r="H103" s="107">
        <v>8992946535601</v>
      </c>
      <c r="I103" s="93" t="str">
        <f>Table43[[#This Row],[Nama Jenis Kemasan]]</f>
        <v>BTL</v>
      </c>
      <c r="J103" s="91" t="str">
        <f>TRIM(CONCATENATE(Table43[[#This Row],[Nama            KLP]]," ",Table43[[#This Row],[Nama            Sub KLP]]))</f>
        <v>SHINZUI MICELLAR WATER</v>
      </c>
      <c r="K103" s="91" t="str">
        <f>CONCATENATE(Table43[[#This Row],[kode  2 Digit                (hrf+No)]],Table43[[#This Row],[kode  2 Digit                (Nomor)]],Table43[[#This Row],[kode  1 Digit                (Nomor)]])</f>
        <v>F40610</v>
      </c>
      <c r="L103" s="91" t="str">
        <f>IF(AG103="",CONCATENATE(Q103,S103,U103,W103,Y103,AA103,AC103,AE103,Table43[[#This Row],[Tanda Kode Revisi]]),CONCATENATE(Q103,S103,U103,W103,Y103,AA103,AC103,AG103))</f>
        <v>F40610001030010</v>
      </c>
      <c r="M103" s="95">
        <f>LEN(L103)</f>
        <v>15</v>
      </c>
      <c r="N103" s="96" t="str">
        <f>IF(AF103&lt;&gt;"",TRIM(UPPER(CONCATENATE(P103," ",R103," ",T103," ",V103," ",X103," ",Z103," ","X"," ",Table43[[#This Row],[ISI/CTN]]," ",AF103," ",AB103," ",AD103," ",AH103))),TRIM(UPPER(CONCATENATE(P103," ",R103," ",T103," ",V103," ",X103," ",Z103," ","X"," ",Table43[[#This Row],[ISI/CTN]]," ",AB103," ",AD103," ",AH103))))</f>
        <v>SHINZUI MICELLAR WATER BRIGHTENING 300ML X 24 BTL</v>
      </c>
      <c r="O103" s="95">
        <f>LEN(N103)</f>
        <v>49</v>
      </c>
      <c r="P103" s="91"/>
      <c r="Q103" s="92" t="s">
        <v>662</v>
      </c>
      <c r="R103" s="91" t="s">
        <v>680</v>
      </c>
      <c r="S103" s="97" t="s">
        <v>755</v>
      </c>
      <c r="T103" s="98" t="s">
        <v>1262</v>
      </c>
      <c r="U103" s="92">
        <v>10</v>
      </c>
      <c r="V103" s="98"/>
      <c r="W103" s="97" t="s">
        <v>370</v>
      </c>
      <c r="X103" s="91" t="s">
        <v>701</v>
      </c>
      <c r="Y103" s="99" t="s">
        <v>749</v>
      </c>
      <c r="Z103" s="91" t="s">
        <v>1263</v>
      </c>
      <c r="AA103" s="99" t="s">
        <v>1264</v>
      </c>
      <c r="AB103" s="91" t="s">
        <v>705</v>
      </c>
      <c r="AC103" s="92">
        <v>1</v>
      </c>
      <c r="AD103" s="91"/>
      <c r="AE103" s="92">
        <v>0</v>
      </c>
      <c r="AF103" s="92"/>
      <c r="AG103" s="92"/>
      <c r="AH103" s="92"/>
      <c r="AI103" s="92" t="s">
        <v>178</v>
      </c>
      <c r="AJ103" s="92">
        <v>2</v>
      </c>
      <c r="AK103" s="92"/>
      <c r="AL103" s="100">
        <v>40873.063063063069</v>
      </c>
      <c r="AM103" s="101">
        <f>Table43[[#This Row],[Harga Beli Pcs
(-PPN)]]*Table43[[#This Row],[ISI/CTN]]</f>
        <v>980953.51351351361</v>
      </c>
      <c r="AN103" s="101">
        <f>Table43[[#This Row],[Harga Beli Pcs
(-PPN)]]*1.11</f>
        <v>45369.100000000013</v>
      </c>
      <c r="AO103" s="101">
        <f>Table43[[#This Row],[Harga Beli Krt
(- PPN)]]*1.11</f>
        <v>1088858.4000000001</v>
      </c>
      <c r="AP103" s="101">
        <v>44144.144144144142</v>
      </c>
      <c r="AQ103" s="101">
        <f>Table43[[#This Row],[Harga Jual Pcs GT
(-PPN)]]*Table43[[#This Row],[ISI/CTN]]</f>
        <v>1059459.4594594594</v>
      </c>
      <c r="AR103" s="101">
        <f>Table43[[#This Row],[Harga Jual Pcs GT
(-PPN)]]*1.11</f>
        <v>49000</v>
      </c>
      <c r="AS103" s="101">
        <f>Table43[[#This Row],[Harga Jual Krt GT
(- PPN)]]*1.11</f>
        <v>1176000</v>
      </c>
      <c r="AT103" s="101"/>
      <c r="AU103" s="101">
        <f>Table43[[#This Row],[Harga Jual Pcs MT
(-PPN)]]*Table43[[#This Row],[ISI/CTN]]</f>
        <v>0</v>
      </c>
      <c r="AV103" s="101">
        <f>Table43[[#This Row],[Harga Jual Pcs MT
(-PPN)]]*1.11</f>
        <v>0</v>
      </c>
      <c r="AW103" s="101">
        <f>Table43[[#This Row],[Harga Jual Pcs MT
(+PPN)]]*Table43[[#This Row],[ISI/CTN]]</f>
        <v>0</v>
      </c>
      <c r="AX103" s="102">
        <f>IFERROR((Table43[[#This Row],[Harga Jual Pcs GT
(-PPN)]]-Table43[[#This Row],[Harga Beli Pcs
(-PPN)]])/Table43[[#This Row],[Harga Jual Pcs GT
(-PPN)]],0)</f>
        <v>7.4099999999999819E-2</v>
      </c>
      <c r="AY103" s="103">
        <v>46044</v>
      </c>
      <c r="AZ103" s="92"/>
      <c r="BA103" s="92" t="str">
        <f ca="1">IF(TODAY()-Table43[[#This Row],[Efektif
Pembuatan]]&gt;60,"Lama","Baru")</f>
        <v>Lama</v>
      </c>
      <c r="BB103" s="92" t="str">
        <f ca="1">IF(TODAY()-Table43[[#This Row],[Efektif Naik Harga]]&lt;30,"Naik","Sama")</f>
        <v>Sama</v>
      </c>
      <c r="BC103" s="92"/>
      <c r="BD103" s="92" t="str">
        <f>IF(Table43[[#This Row],[Kode BARANG Win2]]&lt;&gt;"","IDR","")</f>
        <v>IDR</v>
      </c>
      <c r="BE103" s="92" t="str">
        <f>CONCATENATE(Table43[[#This Row],[kode  1 Digit
(Nomor)]],Table43[[#This Row],[kode  4 Digit                (Nomor)]])</f>
        <v>20300</v>
      </c>
      <c r="BF103" s="92" t="str">
        <f>Table43[[#This Row],[Nama            Gramasi atau Jumlah Pack per CTN]]</f>
        <v>300ML</v>
      </c>
      <c r="BG103" s="92"/>
      <c r="BH103" s="92"/>
      <c r="BI103" s="91" t="str">
        <f>IF(Table43[[#This Row],[SATUAN Fix Win]]&lt;&gt;"","KRT")</f>
        <v>KRT</v>
      </c>
      <c r="BJ103" s="91" t="str">
        <f>IF(Table43[[#This Row],[SATUAN Fix Win]]&lt;&gt;"","GD01")</f>
        <v>GD01</v>
      </c>
      <c r="BK103" s="91">
        <f>IF(Table43[[#This Row],[SATUAN Fix Win]]&lt;&gt;"",11611)</f>
        <v>11611</v>
      </c>
      <c r="BL103" s="91">
        <f>IF(Table43[[#This Row],[SATUAN Fix Win]]&lt;&gt;"",11612)</f>
        <v>11612</v>
      </c>
      <c r="BM103" s="104"/>
      <c r="BN103" s="91">
        <f>IF(Table43[[#This Row],[SATUAN Fix Win]]&lt;&gt;"",1)</f>
        <v>1</v>
      </c>
      <c r="BO103" s="91"/>
      <c r="BP103" s="91"/>
      <c r="BQ103" s="91"/>
      <c r="BR103" s="91"/>
    </row>
    <row r="104" spans="1:70" s="69" customFormat="1">
      <c r="A104" s="55" t="str">
        <f>CONCATENATE(Table43[[#This Row],[Kode BARANG Win2]],Table43[[#This Row],[No. Urut
Item Sama]])</f>
        <v>F406100010150101</v>
      </c>
      <c r="B104" s="56">
        <v>1</v>
      </c>
      <c r="C104" s="55">
        <v>168</v>
      </c>
      <c r="D104" s="108">
        <v>171701000</v>
      </c>
      <c r="E104" s="57" t="s">
        <v>628</v>
      </c>
      <c r="F104" s="57" t="s">
        <v>1268</v>
      </c>
      <c r="G104" s="57">
        <v>48</v>
      </c>
      <c r="H104" s="107"/>
      <c r="I104" s="93" t="str">
        <f>Table43[[#This Row],[Nama Jenis Kemasan]]</f>
        <v>BTL</v>
      </c>
      <c r="J104" s="91" t="str">
        <f>TRIM(CONCATENATE(Table43[[#This Row],[Nama            KLP]]," ",Table43[[#This Row],[Nama            Sub KLP]]))</f>
        <v>SHINZUI MICELLAR WATER</v>
      </c>
      <c r="K104" s="91" t="str">
        <f>CONCATENATE(Table43[[#This Row],[kode  2 Digit                (hrf+No)]],Table43[[#This Row],[kode  2 Digit                (Nomor)]],Table43[[#This Row],[kode  1 Digit                (Nomor)]])</f>
        <v>F40610</v>
      </c>
      <c r="L104" s="91" t="str">
        <f>IF(AG104="",CONCATENATE(Q104,S104,U104,W104,Y104,AA104,AC104,AE104,Table43[[#This Row],[Tanda Kode Revisi]]),CONCATENATE(Q104,S104,U104,W104,Y104,AA104,AC104,AG104))</f>
        <v>F40610001015010</v>
      </c>
      <c r="M104" s="59">
        <f>LEN(L104)</f>
        <v>15</v>
      </c>
      <c r="N104" s="60" t="str">
        <f>IF(AF104&lt;&gt;"",TRIM(UPPER(CONCATENATE(P104," ",R104," ",T104," ",V104," ",X104," ",Z104," ","X"," ",Table43[[#This Row],[ISI/CTN]]," ",AF104," ",AB104," ",AD104," ",AH104))),TRIM(UPPER(CONCATENATE(P104," ",R104," ",T104," ",V104," ",X104," ",Z104," ","X"," ",Table43[[#This Row],[ISI/CTN]]," ",AB104," ",AD104," ",AH104))))</f>
        <v>SHINZUI MICELLAR WATER BRIGHTENING 150ML X 48 BTL</v>
      </c>
      <c r="O104" s="59">
        <f>LEN(N104)</f>
        <v>49</v>
      </c>
      <c r="P104" s="55"/>
      <c r="Q104" s="92" t="s">
        <v>662</v>
      </c>
      <c r="R104" s="91" t="s">
        <v>680</v>
      </c>
      <c r="S104" s="97" t="s">
        <v>755</v>
      </c>
      <c r="T104" s="98" t="s">
        <v>1262</v>
      </c>
      <c r="U104" s="92">
        <v>10</v>
      </c>
      <c r="V104" s="98"/>
      <c r="W104" s="97" t="s">
        <v>370</v>
      </c>
      <c r="X104" s="91" t="s">
        <v>701</v>
      </c>
      <c r="Y104" s="99" t="s">
        <v>749</v>
      </c>
      <c r="Z104" s="55" t="s">
        <v>1269</v>
      </c>
      <c r="AA104" s="63" t="s">
        <v>1270</v>
      </c>
      <c r="AB104" s="55" t="s">
        <v>705</v>
      </c>
      <c r="AC104" s="56">
        <v>1</v>
      </c>
      <c r="AD104" s="55"/>
      <c r="AE104" s="56">
        <v>0</v>
      </c>
      <c r="AF104" s="56"/>
      <c r="AG104" s="56"/>
      <c r="AH104" s="56"/>
      <c r="AI104" s="92" t="s">
        <v>178</v>
      </c>
      <c r="AJ104" s="92">
        <v>2</v>
      </c>
      <c r="AK104" s="56"/>
      <c r="AL104" s="64">
        <v>22521.89189189189</v>
      </c>
      <c r="AM104" s="65">
        <f>Table43[[#This Row],[Harga Beli Pcs
(-PPN)]]*Table43[[#This Row],[ISI/CTN]]</f>
        <v>1081050.8108108107</v>
      </c>
      <c r="AN104" s="65">
        <f>Table43[[#This Row],[Harga Beli Pcs
(-PPN)]]*1.11</f>
        <v>24999.3</v>
      </c>
      <c r="AO104" s="65">
        <f>Table43[[#This Row],[Harga Beli Krt
(- PPN)]]*1.11</f>
        <v>1199966.3999999999</v>
      </c>
      <c r="AP104" s="65">
        <v>24324.324324324323</v>
      </c>
      <c r="AQ104" s="65">
        <f>Table43[[#This Row],[Harga Jual Pcs GT
(-PPN)]]*Table43[[#This Row],[ISI/CTN]]</f>
        <v>1167567.5675675676</v>
      </c>
      <c r="AR104" s="65">
        <f>Table43[[#This Row],[Harga Jual Pcs GT
(-PPN)]]*1.11</f>
        <v>27000</v>
      </c>
      <c r="AS104" s="65">
        <f>Table43[[#This Row],[Harga Jual Krt GT
(- PPN)]]*1.11</f>
        <v>1296000.0000000002</v>
      </c>
      <c r="AT104" s="65"/>
      <c r="AU104" s="65">
        <f>Table43[[#This Row],[Harga Jual Pcs MT
(-PPN)]]*Table43[[#This Row],[ISI/CTN]]</f>
        <v>0</v>
      </c>
      <c r="AV104" s="65">
        <f>Table43[[#This Row],[Harga Jual Pcs MT
(-PPN)]]*1.11</f>
        <v>0</v>
      </c>
      <c r="AW104" s="65">
        <f>Table43[[#This Row],[Harga Jual Pcs MT
(+PPN)]]*Table43[[#This Row],[ISI/CTN]]</f>
        <v>0</v>
      </c>
      <c r="AX104" s="66">
        <f>IFERROR((Table43[[#This Row],[Harga Jual Pcs GT
(-PPN)]]-Table43[[#This Row],[Harga Beli Pcs
(-PPN)]])/Table43[[#This Row],[Harga Jual Pcs GT
(-PPN)]],0)</f>
        <v>7.4100000000000041E-2</v>
      </c>
      <c r="AY104" s="67"/>
      <c r="AZ104" s="56"/>
      <c r="BA104" s="56" t="str">
        <f ca="1">IF(TODAY()-Table43[[#This Row],[Efektif
Pembuatan]]&gt;60,"Lama","Baru")</f>
        <v>Lama</v>
      </c>
      <c r="BB104" s="56" t="str">
        <f ca="1">IF(TODAY()-Table43[[#This Row],[Efektif Naik Harga]]&lt;30,"Naik","Sama")</f>
        <v>Sama</v>
      </c>
      <c r="BC104" s="56"/>
      <c r="BD104" s="56" t="str">
        <f>IF(Table43[[#This Row],[Kode BARANG Win2]]&lt;&gt;"","IDR","")</f>
        <v>IDR</v>
      </c>
      <c r="BE104" s="56" t="str">
        <f>CONCATENATE(Table43[[#This Row],[kode  1 Digit
(Nomor)]],Table43[[#This Row],[kode  4 Digit                (Nomor)]])</f>
        <v>20150</v>
      </c>
      <c r="BF104" s="56" t="str">
        <f>Table43[[#This Row],[Nama            Gramasi atau Jumlah Pack per CTN]]</f>
        <v>150ML</v>
      </c>
      <c r="BG104" s="56"/>
      <c r="BH104" s="56"/>
      <c r="BI104" s="55" t="str">
        <f>IF(Table43[[#This Row],[SATUAN Fix Win]]&lt;&gt;"","KRT")</f>
        <v>KRT</v>
      </c>
      <c r="BJ104" s="55" t="str">
        <f>IF(Table43[[#This Row],[SATUAN Fix Win]]&lt;&gt;"","GD01")</f>
        <v>GD01</v>
      </c>
      <c r="BK104" s="55">
        <f>IF(Table43[[#This Row],[SATUAN Fix Win]]&lt;&gt;"",11611)</f>
        <v>11611</v>
      </c>
      <c r="BL104" s="55">
        <f>IF(Table43[[#This Row],[SATUAN Fix Win]]&lt;&gt;"",11612)</f>
        <v>11612</v>
      </c>
      <c r="BM104" s="68"/>
      <c r="BN104" s="55">
        <f>IF(Table43[[#This Row],[SATUAN Fix Win]]&lt;&gt;"",1)</f>
        <v>1</v>
      </c>
      <c r="BO104" s="55"/>
      <c r="BP104" s="55"/>
      <c r="BQ104" s="55"/>
      <c r="BR104" s="55"/>
    </row>
    <row r="105" spans="1:70">
      <c r="A105" s="4" t="str">
        <f>CONCATENATE(Table43[[#This Row],[Kode BARANG Win2]],Table43[[#This Row],[No. Urut
Item Sama]])</f>
        <v>F40640010130101</v>
      </c>
      <c r="B105" s="7">
        <v>1</v>
      </c>
      <c r="C105" s="4">
        <v>85</v>
      </c>
      <c r="D105" s="27" t="s">
        <v>496</v>
      </c>
      <c r="E105" s="27" t="s">
        <v>628</v>
      </c>
      <c r="F105" s="27" t="s">
        <v>617</v>
      </c>
      <c r="G105" s="27">
        <v>48</v>
      </c>
      <c r="H105" s="54" t="s">
        <v>651</v>
      </c>
      <c r="I105" s="27" t="str">
        <f>Table43[[#This Row],[Nama Jenis Kemasan]]</f>
        <v>TUBE</v>
      </c>
      <c r="J105" s="4" t="str">
        <f>TRIM(CONCATENATE(Table43[[#This Row],[Nama            KLP]]," ",Table43[[#This Row],[Nama            Sub KLP]]))</f>
        <v>SHINZUI EXFOLIATING</v>
      </c>
      <c r="K105" s="4" t="str">
        <f>CONCATENATE(Table43[[#This Row],[kode  2 Digit                (hrf+No)]],Table43[[#This Row],[kode  2 Digit                (Nomor)]],Table43[[#This Row],[kode  1 Digit                (Nomor)]])</f>
        <v>F4064</v>
      </c>
      <c r="L105" s="4" t="str">
        <f>IF(AG105="",CONCATENATE(Q105,S105,U105,W105,Y105,AA105,AC105,AE105,Table43[[#This Row],[Tanda Kode Revisi]]),CONCATENATE(Q105,S105,U105,W105,Y105,AA105,AC105,AG105))</f>
        <v>F4064001013010</v>
      </c>
      <c r="M105" s="11">
        <f t="shared" si="8"/>
        <v>14</v>
      </c>
      <c r="N105" s="14" t="str">
        <f>IF(AF105&lt;&gt;"",TRIM(UPPER(CONCATENATE(P105," ",R105," ",T105," ",V105," ",X105," ",Z105," ","X"," ",Table43[[#This Row],[ISI/CTN]]," ",AF105," ",AB105," ",AD105," ",AH105))),TRIM(UPPER(CONCATENATE(P105," ",R105," ",T105," ",V105," ",X105," ",Z105," ","X"," ",Table43[[#This Row],[ISI/CTN]]," ",AB105," ",AD105," ",AH105))))</f>
        <v>SHINZUI EXFOLIATING GEL CICA 130ML X 48 TUBE</v>
      </c>
      <c r="O105" s="11">
        <f t="shared" si="9"/>
        <v>44</v>
      </c>
      <c r="Q105" s="7" t="s">
        <v>662</v>
      </c>
      <c r="R105" s="4" t="s">
        <v>680</v>
      </c>
      <c r="S105" s="48" t="s">
        <v>755</v>
      </c>
      <c r="T105" s="49" t="s">
        <v>700</v>
      </c>
      <c r="U105" s="7">
        <v>4</v>
      </c>
      <c r="V105" s="49"/>
      <c r="W105" s="48" t="s">
        <v>370</v>
      </c>
      <c r="X105" s="4" t="s">
        <v>713</v>
      </c>
      <c r="Y105" s="50" t="s">
        <v>749</v>
      </c>
      <c r="Z105" s="4" t="s">
        <v>710</v>
      </c>
      <c r="AA105" s="50" t="s">
        <v>743</v>
      </c>
      <c r="AB105" s="4" t="s">
        <v>732</v>
      </c>
      <c r="AC105" s="7">
        <v>1</v>
      </c>
      <c r="AE105" s="7">
        <v>0</v>
      </c>
      <c r="AI105" s="7" t="s">
        <v>178</v>
      </c>
      <c r="AJ105" s="7">
        <v>2</v>
      </c>
      <c r="AL105" s="38">
        <v>8591.6846846846838</v>
      </c>
      <c r="AM105" s="39">
        <f>Table43[[#This Row],[Harga Beli Pcs
(-PPN)]]*Table43[[#This Row],[ISI/CTN]]</f>
        <v>412400.86486486485</v>
      </c>
      <c r="AN105" s="39">
        <f>Table43[[#This Row],[Harga Beli Pcs
(-PPN)]]*1.11</f>
        <v>9536.77</v>
      </c>
      <c r="AO105" s="39">
        <f>Table43[[#This Row],[Harga Beli Krt
(- PPN)]]*1.11</f>
        <v>457764.96</v>
      </c>
      <c r="AP105" s="39">
        <v>9279.2792792792789</v>
      </c>
      <c r="AQ105" s="39">
        <f>Table43[[#This Row],[Harga Jual Pcs GT
(-PPN)]]*Table43[[#This Row],[ISI/CTN]]</f>
        <v>445405.40540540538</v>
      </c>
      <c r="AR105" s="39">
        <f>Table43[[#This Row],[Harga Jual Pcs GT
(-PPN)]]*1.11</f>
        <v>10300</v>
      </c>
      <c r="AS105" s="39">
        <f>Table43[[#This Row],[Harga Jual Krt GT
(- PPN)]]*1.11</f>
        <v>494400</v>
      </c>
      <c r="AT105" s="39"/>
      <c r="AU105" s="39">
        <f>Table43[[#This Row],[Harga Jual Pcs MT
(-PPN)]]*Table43[[#This Row],[ISI/CTN]]</f>
        <v>0</v>
      </c>
      <c r="AV105" s="39">
        <f>Table43[[#This Row],[Harga Jual Pcs MT
(-PPN)]]*1.11</f>
        <v>0</v>
      </c>
      <c r="AW105" s="39">
        <f>Table43[[#This Row],[Harga Jual Pcs MT
(+PPN)]]*Table43[[#This Row],[ISI/CTN]]</f>
        <v>0</v>
      </c>
      <c r="AX105" s="47">
        <f>IFERROR((Table43[[#This Row],[Harga Jual Pcs GT
(-PPN)]]-Table43[[#This Row],[Harga Beli Pcs
(-PPN)]])/Table43[[#This Row],[Harga Jual Pcs GT
(-PPN)]],0)</f>
        <v>7.4100000000000055E-2</v>
      </c>
      <c r="AY105" s="51">
        <v>45848</v>
      </c>
      <c r="AZ105" s="7"/>
      <c r="BA105" s="7" t="str">
        <f ca="1">IF(TODAY()-Table43[[#This Row],[Efektif
Pembuatan]]&gt;60,"Lama","Baru")</f>
        <v>Lama</v>
      </c>
      <c r="BB105" s="7" t="str">
        <f ca="1">IF(TODAY()-Table43[[#This Row],[Efektif Naik Harga]]&lt;30,"Naik","Sama")</f>
        <v>Sama</v>
      </c>
      <c r="BC105" s="7" t="s">
        <v>185</v>
      </c>
      <c r="BD105" s="7" t="str">
        <f>IF(Table43[[#This Row],[Kode BARANG Win2]]&lt;&gt;"","IDR","")</f>
        <v>IDR</v>
      </c>
      <c r="BE105" s="7" t="str">
        <f>CONCATENATE(Table43[[#This Row],[kode  1 Digit
(Nomor)]],Table43[[#This Row],[kode  4 Digit                (Nomor)]])</f>
        <v>20130</v>
      </c>
      <c r="BF105" s="7" t="str">
        <f>Table43[[#This Row],[Nama            Gramasi atau Jumlah Pack per CTN]]</f>
        <v>130ML</v>
      </c>
      <c r="BG105" s="7" t="s">
        <v>1060</v>
      </c>
      <c r="BH105" s="7" t="s">
        <v>377</v>
      </c>
      <c r="BI105" s="4" t="str">
        <f>IF(Table43[[#This Row],[SATUAN Fix Win]]&lt;&gt;"","KRT")</f>
        <v>KRT</v>
      </c>
      <c r="BJ105" s="4" t="str">
        <f>IF(Table43[[#This Row],[SATUAN Fix Win]]&lt;&gt;"","GD01")</f>
        <v>GD01</v>
      </c>
      <c r="BK105" s="4">
        <f>IF(Table43[[#This Row],[SATUAN Fix Win]]&lt;&gt;"",11611)</f>
        <v>11611</v>
      </c>
      <c r="BL105" s="4">
        <f>IF(Table43[[#This Row],[SATUAN Fix Win]]&lt;&gt;"",11612)</f>
        <v>11612</v>
      </c>
      <c r="BM105" s="52" t="s">
        <v>378</v>
      </c>
      <c r="BN105" s="4">
        <f>IF(Table43[[#This Row],[SATUAN Fix Win]]&lt;&gt;"",1)</f>
        <v>1</v>
      </c>
      <c r="BO105" s="4" t="s">
        <v>637</v>
      </c>
    </row>
    <row r="106" spans="1:70" s="126" customFormat="1">
      <c r="A106" s="111" t="str">
        <f>CONCATENATE(Table43[[#This Row],[Kode BARANG Win2]],Table43[[#This Row],[No. Urut
Item Sama]])</f>
        <v>F40640010260101</v>
      </c>
      <c r="B106" s="112">
        <v>1</v>
      </c>
      <c r="C106" s="111"/>
      <c r="D106" s="113" t="s">
        <v>1289</v>
      </c>
      <c r="E106" s="113" t="s">
        <v>628</v>
      </c>
      <c r="F106" s="113" t="s">
        <v>1286</v>
      </c>
      <c r="G106" s="113">
        <v>48</v>
      </c>
      <c r="H106" s="127"/>
      <c r="I106" s="113" t="str">
        <f>Table43[[#This Row],[Nama Jenis Kemasan]]</f>
        <v>TUBE</v>
      </c>
      <c r="J106" s="111" t="str">
        <f>TRIM(CONCATENATE(Table43[[#This Row],[Nama            KLP]]," ",Table43[[#This Row],[Nama            Sub KLP]]))</f>
        <v>SHINZUI EXFOLIATING</v>
      </c>
      <c r="K106" s="111" t="str">
        <f>CONCATENATE(Table43[[#This Row],[kode  2 Digit                (hrf+No)]],Table43[[#This Row],[kode  2 Digit                (Nomor)]],Table43[[#This Row],[kode  1 Digit                (Nomor)]])</f>
        <v>F4064</v>
      </c>
      <c r="L106" s="111" t="str">
        <f>IF(AG106="",CONCATENATE(Q106,S106,U106,W106,Y106,AA106,AC106,AE106,Table43[[#This Row],[Tanda Kode Revisi]]),CONCATENATE(Q106,S106,U106,W106,Y106,AA106,AC106,AG106))</f>
        <v>F4064001026010</v>
      </c>
      <c r="M106" s="116">
        <f>LEN(L106)</f>
        <v>14</v>
      </c>
      <c r="N106" s="117" t="str">
        <f>IF(AF106&lt;&gt;"",TRIM(UPPER(CONCATENATE(P106," ",R106," ",T106," ",V106," ",X106," ",Z106," ","X"," ",Table43[[#This Row],[ISI/CTN]]," ",AF106," ",AB106," ",AD106," ",AH106))),TRIM(UPPER(CONCATENATE(P106," ",R106," ",T106," ",V106," ",X106," ",Z106," ","X"," ",Table43[[#This Row],[ISI/CTN]]," ",AB106," ",AD106," ",AH106))))</f>
        <v>SHINZUI EXFOLIATING GEL CICA 260ML X 48 TUBE</v>
      </c>
      <c r="O106" s="116">
        <f>LEN(N106)</f>
        <v>44</v>
      </c>
      <c r="P106" s="111"/>
      <c r="Q106" s="112" t="s">
        <v>662</v>
      </c>
      <c r="R106" s="111" t="s">
        <v>680</v>
      </c>
      <c r="S106" s="118" t="s">
        <v>755</v>
      </c>
      <c r="T106" s="119" t="s">
        <v>700</v>
      </c>
      <c r="U106" s="112">
        <v>4</v>
      </c>
      <c r="V106" s="119"/>
      <c r="W106" s="118" t="s">
        <v>370</v>
      </c>
      <c r="X106" s="111" t="s">
        <v>713</v>
      </c>
      <c r="Y106" s="120" t="s">
        <v>749</v>
      </c>
      <c r="Z106" s="111" t="s">
        <v>1287</v>
      </c>
      <c r="AA106" s="120" t="s">
        <v>1288</v>
      </c>
      <c r="AB106" s="111" t="s">
        <v>732</v>
      </c>
      <c r="AC106" s="112">
        <v>1</v>
      </c>
      <c r="AD106" s="111"/>
      <c r="AE106" s="112">
        <v>0</v>
      </c>
      <c r="AF106" s="112"/>
      <c r="AG106" s="112"/>
      <c r="AH106" s="112"/>
      <c r="AI106" s="112" t="s">
        <v>178</v>
      </c>
      <c r="AJ106" s="112">
        <v>2</v>
      </c>
      <c r="AK106" s="112"/>
      <c r="AL106" s="121"/>
      <c r="AM106" s="122">
        <f>Table43[[#This Row],[Harga Beli Pcs
(-PPN)]]*Table43[[#This Row],[ISI/CTN]]</f>
        <v>0</v>
      </c>
      <c r="AN106" s="122">
        <f>Table43[[#This Row],[Harga Beli Pcs
(-PPN)]]*1.11</f>
        <v>0</v>
      </c>
      <c r="AO106" s="122">
        <f>Table43[[#This Row],[Harga Beli Krt
(- PPN)]]*1.11</f>
        <v>0</v>
      </c>
      <c r="AP106" s="122"/>
      <c r="AQ106" s="122">
        <f>Table43[[#This Row],[Harga Jual Pcs GT
(-PPN)]]*Table43[[#This Row],[ISI/CTN]]</f>
        <v>0</v>
      </c>
      <c r="AR106" s="122">
        <f>Table43[[#This Row],[Harga Jual Pcs GT
(-PPN)]]*1.11</f>
        <v>0</v>
      </c>
      <c r="AS106" s="122">
        <f>Table43[[#This Row],[Harga Jual Krt GT
(- PPN)]]*1.11</f>
        <v>0</v>
      </c>
      <c r="AT106" s="122"/>
      <c r="AU106" s="122">
        <f>Table43[[#This Row],[Harga Jual Pcs MT
(-PPN)]]*Table43[[#This Row],[ISI/CTN]]</f>
        <v>0</v>
      </c>
      <c r="AV106" s="122">
        <f>Table43[[#This Row],[Harga Jual Pcs MT
(-PPN)]]*1.11</f>
        <v>0</v>
      </c>
      <c r="AW106" s="122">
        <f>Table43[[#This Row],[Harga Jual Pcs MT
(+PPN)]]*Table43[[#This Row],[ISI/CTN]]</f>
        <v>0</v>
      </c>
      <c r="AX106" s="123">
        <f>IFERROR((Table43[[#This Row],[Harga Jual Pcs GT
(-PPN)]]-Table43[[#This Row],[Harga Beli Pcs
(-PPN)]])/Table43[[#This Row],[Harga Jual Pcs GT
(-PPN)]],0)</f>
        <v>0</v>
      </c>
      <c r="AY106" s="124"/>
      <c r="AZ106" s="112"/>
      <c r="BA106" s="112" t="str">
        <f ca="1">IF(TODAY()-Table43[[#This Row],[Efektif
Pembuatan]]&gt;60,"Lama","Baru")</f>
        <v>Lama</v>
      </c>
      <c r="BB106" s="112" t="str">
        <f ca="1">IF(TODAY()-Table43[[#This Row],[Efektif Naik Harga]]&lt;30,"Naik","Sama")</f>
        <v>Sama</v>
      </c>
      <c r="BC106" s="112"/>
      <c r="BD106" s="112" t="str">
        <f>IF(Table43[[#This Row],[Kode BARANG Win2]]&lt;&gt;"","IDR","")</f>
        <v>IDR</v>
      </c>
      <c r="BE106" s="112" t="str">
        <f>CONCATENATE(Table43[[#This Row],[kode  1 Digit
(Nomor)]],Table43[[#This Row],[kode  4 Digit                (Nomor)]])</f>
        <v>20260</v>
      </c>
      <c r="BF106" s="112" t="str">
        <f>Table43[[#This Row],[Nama            Gramasi atau Jumlah Pack per CTN]]</f>
        <v>260ML</v>
      </c>
      <c r="BG106" s="112"/>
      <c r="BH106" s="112"/>
      <c r="BI106" s="111" t="str">
        <f>IF(Table43[[#This Row],[SATUAN Fix Win]]&lt;&gt;"","KRT")</f>
        <v>KRT</v>
      </c>
      <c r="BJ106" s="111" t="str">
        <f>IF(Table43[[#This Row],[SATUAN Fix Win]]&lt;&gt;"","GD01")</f>
        <v>GD01</v>
      </c>
      <c r="BK106" s="111">
        <f>IF(Table43[[#This Row],[SATUAN Fix Win]]&lt;&gt;"",11611)</f>
        <v>11611</v>
      </c>
      <c r="BL106" s="111">
        <f>IF(Table43[[#This Row],[SATUAN Fix Win]]&lt;&gt;"",11612)</f>
        <v>11612</v>
      </c>
      <c r="BM106" s="125"/>
      <c r="BN106" s="111">
        <f>IF(Table43[[#This Row],[SATUAN Fix Win]]&lt;&gt;"",1)</f>
        <v>1</v>
      </c>
      <c r="BO106" s="111"/>
      <c r="BP106" s="111"/>
      <c r="BQ106" s="111"/>
      <c r="BR106" s="111"/>
    </row>
    <row r="107" spans="1:70">
      <c r="A107" s="4" t="str">
        <f>CONCATENATE(Table43[[#This Row],[Kode BARANG Win2]],Table43[[#This Row],[No. Urut
Item Sama]])</f>
        <v>F40640020130101</v>
      </c>
      <c r="B107" s="7">
        <v>1</v>
      </c>
      <c r="C107" s="4">
        <v>86</v>
      </c>
      <c r="D107" s="27" t="s">
        <v>497</v>
      </c>
      <c r="E107" s="27" t="s">
        <v>628</v>
      </c>
      <c r="F107" s="27" t="s">
        <v>618</v>
      </c>
      <c r="G107" s="27">
        <v>48</v>
      </c>
      <c r="H107" s="54">
        <v>8992946534133</v>
      </c>
      <c r="I107" s="27" t="str">
        <f>Table43[[#This Row],[Nama Jenis Kemasan]]</f>
        <v>TUBE</v>
      </c>
      <c r="J107" s="4" t="str">
        <f>TRIM(CONCATENATE(Table43[[#This Row],[Nama            KLP]]," ",Table43[[#This Row],[Nama            Sub KLP]]))</f>
        <v>SHINZUI EXFOLIATING</v>
      </c>
      <c r="K107" s="4" t="str">
        <f>CONCATENATE(Table43[[#This Row],[kode  2 Digit                (hrf+No)]],Table43[[#This Row],[kode  2 Digit                (Nomor)]],Table43[[#This Row],[kode  1 Digit                (Nomor)]])</f>
        <v>F4064</v>
      </c>
      <c r="L107" s="4" t="str">
        <f>IF(AG107="",CONCATENATE(Q107,S107,U107,W107,Y107,AA107,AC107,AE107,Table43[[#This Row],[Tanda Kode Revisi]]),CONCATENATE(Q107,S107,U107,W107,Y107,AA107,AC107,AG107))</f>
        <v>F4064002013010</v>
      </c>
      <c r="M107" s="11">
        <f t="shared" si="8"/>
        <v>14</v>
      </c>
      <c r="N107" s="14" t="str">
        <f>IF(AF107&lt;&gt;"",TRIM(UPPER(CONCATENATE(P107," ",R107," ",T107," ",V107," ",X107," ",Z107," ","X"," ",Table43[[#This Row],[ISI/CTN]]," ",AF107," ",AB107," ",AD107," ",AH107))),TRIM(UPPER(CONCATENATE(P107," ",R107," ",T107," ",V107," ",X107," ",Z107," ","X"," ",Table43[[#This Row],[ISI/CTN]]," ",AB107," ",AD107," ",AH107))))</f>
        <v>SHINZUI EXFOLIATING GEL HONEY 130ML X 48 TUBE</v>
      </c>
      <c r="O107" s="11">
        <f t="shared" si="9"/>
        <v>45</v>
      </c>
      <c r="Q107" s="7" t="s">
        <v>662</v>
      </c>
      <c r="R107" s="4" t="s">
        <v>680</v>
      </c>
      <c r="S107" s="48" t="s">
        <v>755</v>
      </c>
      <c r="T107" s="49" t="s">
        <v>700</v>
      </c>
      <c r="U107" s="7">
        <v>4</v>
      </c>
      <c r="V107" s="49"/>
      <c r="W107" s="48" t="s">
        <v>370</v>
      </c>
      <c r="X107" s="4" t="s">
        <v>714</v>
      </c>
      <c r="Y107" s="50" t="s">
        <v>751</v>
      </c>
      <c r="Z107" s="4" t="s">
        <v>710</v>
      </c>
      <c r="AA107" s="50" t="s">
        <v>743</v>
      </c>
      <c r="AB107" s="4" t="s">
        <v>732</v>
      </c>
      <c r="AC107" s="7">
        <v>1</v>
      </c>
      <c r="AE107" s="7">
        <v>0</v>
      </c>
      <c r="AI107" s="7" t="s">
        <v>178</v>
      </c>
      <c r="AJ107" s="7">
        <v>2</v>
      </c>
      <c r="AL107" s="38">
        <v>8591.6846846846838</v>
      </c>
      <c r="AM107" s="39">
        <f>Table43[[#This Row],[Harga Beli Pcs
(-PPN)]]*Table43[[#This Row],[ISI/CTN]]</f>
        <v>412400.86486486485</v>
      </c>
      <c r="AN107" s="39">
        <f>Table43[[#This Row],[Harga Beli Pcs
(-PPN)]]*1.11</f>
        <v>9536.77</v>
      </c>
      <c r="AO107" s="39">
        <f>Table43[[#This Row],[Harga Beli Krt
(- PPN)]]*1.11</f>
        <v>457764.96</v>
      </c>
      <c r="AP107" s="39">
        <v>9279.2792792792789</v>
      </c>
      <c r="AQ107" s="39">
        <f>Table43[[#This Row],[Harga Jual Pcs GT
(-PPN)]]*Table43[[#This Row],[ISI/CTN]]</f>
        <v>445405.40540540538</v>
      </c>
      <c r="AR107" s="39">
        <f>Table43[[#This Row],[Harga Jual Pcs GT
(-PPN)]]*1.11</f>
        <v>10300</v>
      </c>
      <c r="AS107" s="39">
        <f>Table43[[#This Row],[Harga Jual Krt GT
(- PPN)]]*1.11</f>
        <v>494400</v>
      </c>
      <c r="AT107" s="39"/>
      <c r="AU107" s="39">
        <f>Table43[[#This Row],[Harga Jual Pcs MT
(-PPN)]]*Table43[[#This Row],[ISI/CTN]]</f>
        <v>0</v>
      </c>
      <c r="AV107" s="39">
        <f>Table43[[#This Row],[Harga Jual Pcs MT
(-PPN)]]*1.11</f>
        <v>0</v>
      </c>
      <c r="AW107" s="39">
        <f>Table43[[#This Row],[Harga Jual Pcs MT
(+PPN)]]*Table43[[#This Row],[ISI/CTN]]</f>
        <v>0</v>
      </c>
      <c r="AX107" s="47">
        <f>IFERROR((Table43[[#This Row],[Harga Jual Pcs GT
(-PPN)]]-Table43[[#This Row],[Harga Beli Pcs
(-PPN)]])/Table43[[#This Row],[Harga Jual Pcs GT
(-PPN)]],0)</f>
        <v>7.4100000000000055E-2</v>
      </c>
      <c r="AY107" s="51">
        <v>45848</v>
      </c>
      <c r="AZ107" s="7"/>
      <c r="BA107" s="7" t="str">
        <f ca="1">IF(TODAY()-Table43[[#This Row],[Efektif
Pembuatan]]&gt;60,"Lama","Baru")</f>
        <v>Lama</v>
      </c>
      <c r="BB107" s="7" t="str">
        <f ca="1">IF(TODAY()-Table43[[#This Row],[Efektif Naik Harga]]&lt;30,"Naik","Sama")</f>
        <v>Sama</v>
      </c>
      <c r="BC107" s="7" t="s">
        <v>185</v>
      </c>
      <c r="BD107" s="7" t="str">
        <f>IF(Table43[[#This Row],[Kode BARANG Win2]]&lt;&gt;"","IDR","")</f>
        <v>IDR</v>
      </c>
      <c r="BE107" s="7" t="str">
        <f>CONCATENATE(Table43[[#This Row],[kode  1 Digit
(Nomor)]],Table43[[#This Row],[kode  4 Digit                (Nomor)]])</f>
        <v>20130</v>
      </c>
      <c r="BF107" s="7" t="str">
        <f>Table43[[#This Row],[Nama            Gramasi atau Jumlah Pack per CTN]]</f>
        <v>130ML</v>
      </c>
      <c r="BG107" s="7" t="s">
        <v>1060</v>
      </c>
      <c r="BH107" s="7" t="s">
        <v>377</v>
      </c>
      <c r="BI107" s="4" t="str">
        <f>IF(Table43[[#This Row],[SATUAN Fix Win]]&lt;&gt;"","KRT")</f>
        <v>KRT</v>
      </c>
      <c r="BJ107" s="4" t="str">
        <f>IF(Table43[[#This Row],[SATUAN Fix Win]]&lt;&gt;"","GD01")</f>
        <v>GD01</v>
      </c>
      <c r="BK107" s="4">
        <f>IF(Table43[[#This Row],[SATUAN Fix Win]]&lt;&gt;"",11611)</f>
        <v>11611</v>
      </c>
      <c r="BL107" s="4">
        <f>IF(Table43[[#This Row],[SATUAN Fix Win]]&lt;&gt;"",11612)</f>
        <v>11612</v>
      </c>
      <c r="BM107" s="52" t="s">
        <v>378</v>
      </c>
      <c r="BN107" s="4">
        <f>IF(Table43[[#This Row],[SATUAN Fix Win]]&lt;&gt;"",1)</f>
        <v>1</v>
      </c>
      <c r="BO107" s="4" t="s">
        <v>637</v>
      </c>
    </row>
    <row r="108" spans="1:70">
      <c r="A108" s="4" t="str">
        <f>CONCATENATE(Table43[[#This Row],[Kode BARANG Win2]],Table43[[#This Row],[No. Urut
Item Sama]])</f>
        <v>F40640030130101</v>
      </c>
      <c r="B108" s="7">
        <v>1</v>
      </c>
      <c r="C108" s="4">
        <v>87</v>
      </c>
      <c r="D108" s="27" t="s">
        <v>495</v>
      </c>
      <c r="E108" s="27" t="s">
        <v>628</v>
      </c>
      <c r="F108" s="27" t="s">
        <v>616</v>
      </c>
      <c r="G108" s="27">
        <v>48</v>
      </c>
      <c r="H108" s="54" t="s">
        <v>650</v>
      </c>
      <c r="I108" s="27" t="str">
        <f>Table43[[#This Row],[Nama Jenis Kemasan]]</f>
        <v>TUBE</v>
      </c>
      <c r="J108" s="4" t="str">
        <f>TRIM(CONCATENATE(Table43[[#This Row],[Nama            KLP]]," ",Table43[[#This Row],[Nama            Sub KLP]]))</f>
        <v>SHINZUI EXFOLIATING</v>
      </c>
      <c r="K108" s="4" t="str">
        <f>CONCATENATE(Table43[[#This Row],[kode  2 Digit                (hrf+No)]],Table43[[#This Row],[kode  2 Digit                (Nomor)]],Table43[[#This Row],[kode  1 Digit                (Nomor)]])</f>
        <v>F4064</v>
      </c>
      <c r="L108" s="4" t="str">
        <f>IF(AG108="",CONCATENATE(Q108,S108,U108,W108,Y108,AA108,AC108,AE108,Table43[[#This Row],[Tanda Kode Revisi]]),CONCATENATE(Q108,S108,U108,W108,Y108,AA108,AC108,AG108))</f>
        <v>F4064003013010</v>
      </c>
      <c r="M108" s="11">
        <f t="shared" si="8"/>
        <v>14</v>
      </c>
      <c r="N108" s="14" t="str">
        <f>IF(AF108&lt;&gt;"",TRIM(UPPER(CONCATENATE(P108," ",R108," ",T108," ",V108," ",X108," ",Z108," ","X"," ",Table43[[#This Row],[ISI/CTN]]," ",AF108," ",AB108," ",AD108," ",AH108))),TRIM(UPPER(CONCATENATE(P108," ",R108," ",T108," ",V108," ",X108," ",Z108," ","X"," ",Table43[[#This Row],[ISI/CTN]]," ",AB108," ",AD108," ",AH108))))</f>
        <v>SHINZUI EXFOLIATING GEL ICHIGO 130ML X 48 TUBE</v>
      </c>
      <c r="O108" s="11">
        <f t="shared" si="9"/>
        <v>46</v>
      </c>
      <c r="Q108" s="7" t="s">
        <v>662</v>
      </c>
      <c r="R108" s="4" t="s">
        <v>680</v>
      </c>
      <c r="S108" s="48" t="s">
        <v>755</v>
      </c>
      <c r="T108" s="49" t="s">
        <v>700</v>
      </c>
      <c r="U108" s="7">
        <v>4</v>
      </c>
      <c r="V108" s="49"/>
      <c r="W108" s="48" t="s">
        <v>370</v>
      </c>
      <c r="X108" s="4" t="s">
        <v>712</v>
      </c>
      <c r="Y108" s="50" t="s">
        <v>752</v>
      </c>
      <c r="Z108" s="4" t="s">
        <v>710</v>
      </c>
      <c r="AA108" s="50" t="s">
        <v>743</v>
      </c>
      <c r="AB108" s="4" t="s">
        <v>732</v>
      </c>
      <c r="AC108" s="7">
        <v>1</v>
      </c>
      <c r="AE108" s="7">
        <v>0</v>
      </c>
      <c r="AI108" s="7" t="s">
        <v>178</v>
      </c>
      <c r="AJ108" s="7">
        <v>2</v>
      </c>
      <c r="AL108" s="38">
        <v>8591.6846846846838</v>
      </c>
      <c r="AM108" s="39">
        <f>Table43[[#This Row],[Harga Beli Pcs
(-PPN)]]*Table43[[#This Row],[ISI/CTN]]</f>
        <v>412400.86486486485</v>
      </c>
      <c r="AN108" s="39">
        <f>Table43[[#This Row],[Harga Beli Pcs
(-PPN)]]*1.11</f>
        <v>9536.77</v>
      </c>
      <c r="AO108" s="39">
        <f>Table43[[#This Row],[Harga Beli Krt
(- PPN)]]*1.11</f>
        <v>457764.96</v>
      </c>
      <c r="AP108" s="39">
        <v>9279.2792792792789</v>
      </c>
      <c r="AQ108" s="39">
        <f>Table43[[#This Row],[Harga Jual Pcs GT
(-PPN)]]*Table43[[#This Row],[ISI/CTN]]</f>
        <v>445405.40540540538</v>
      </c>
      <c r="AR108" s="39">
        <f>Table43[[#This Row],[Harga Jual Pcs GT
(-PPN)]]*1.11</f>
        <v>10300</v>
      </c>
      <c r="AS108" s="39">
        <f>Table43[[#This Row],[Harga Jual Krt GT
(- PPN)]]*1.11</f>
        <v>494400</v>
      </c>
      <c r="AT108" s="39"/>
      <c r="AU108" s="39">
        <f>Table43[[#This Row],[Harga Jual Pcs MT
(-PPN)]]*Table43[[#This Row],[ISI/CTN]]</f>
        <v>0</v>
      </c>
      <c r="AV108" s="39">
        <f>Table43[[#This Row],[Harga Jual Pcs MT
(-PPN)]]*1.11</f>
        <v>0</v>
      </c>
      <c r="AW108" s="39">
        <f>Table43[[#This Row],[Harga Jual Pcs MT
(+PPN)]]*Table43[[#This Row],[ISI/CTN]]</f>
        <v>0</v>
      </c>
      <c r="AX108" s="47">
        <f>IFERROR((Table43[[#This Row],[Harga Jual Pcs GT
(-PPN)]]-Table43[[#This Row],[Harga Beli Pcs
(-PPN)]])/Table43[[#This Row],[Harga Jual Pcs GT
(-PPN)]],0)</f>
        <v>7.4100000000000055E-2</v>
      </c>
      <c r="AY108" s="51">
        <v>45848</v>
      </c>
      <c r="AZ108" s="7"/>
      <c r="BA108" s="7" t="str">
        <f ca="1">IF(TODAY()-Table43[[#This Row],[Efektif
Pembuatan]]&gt;60,"Lama","Baru")</f>
        <v>Lama</v>
      </c>
      <c r="BB108" s="7" t="str">
        <f ca="1">IF(TODAY()-Table43[[#This Row],[Efektif Naik Harga]]&lt;30,"Naik","Sama")</f>
        <v>Sama</v>
      </c>
      <c r="BC108" s="7" t="s">
        <v>185</v>
      </c>
      <c r="BD108" s="7" t="str">
        <f>IF(Table43[[#This Row],[Kode BARANG Win2]]&lt;&gt;"","IDR","")</f>
        <v>IDR</v>
      </c>
      <c r="BE108" s="7" t="str">
        <f>CONCATENATE(Table43[[#This Row],[kode  1 Digit
(Nomor)]],Table43[[#This Row],[kode  4 Digit                (Nomor)]])</f>
        <v>20130</v>
      </c>
      <c r="BF108" s="7" t="str">
        <f>Table43[[#This Row],[Nama            Gramasi atau Jumlah Pack per CTN]]</f>
        <v>130ML</v>
      </c>
      <c r="BG108" s="7" t="s">
        <v>1060</v>
      </c>
      <c r="BH108" s="7" t="s">
        <v>377</v>
      </c>
      <c r="BI108" s="4" t="str">
        <f>IF(Table43[[#This Row],[SATUAN Fix Win]]&lt;&gt;"","KRT")</f>
        <v>KRT</v>
      </c>
      <c r="BJ108" s="4" t="str">
        <f>IF(Table43[[#This Row],[SATUAN Fix Win]]&lt;&gt;"","GD01")</f>
        <v>GD01</v>
      </c>
      <c r="BK108" s="4">
        <f>IF(Table43[[#This Row],[SATUAN Fix Win]]&lt;&gt;"",11611)</f>
        <v>11611</v>
      </c>
      <c r="BL108" s="4">
        <f>IF(Table43[[#This Row],[SATUAN Fix Win]]&lt;&gt;"",11612)</f>
        <v>11612</v>
      </c>
      <c r="BM108" s="52" t="s">
        <v>378</v>
      </c>
      <c r="BN108" s="4">
        <f>IF(Table43[[#This Row],[SATUAN Fix Win]]&lt;&gt;"",1)</f>
        <v>1</v>
      </c>
      <c r="BO108" s="4" t="s">
        <v>637</v>
      </c>
    </row>
    <row r="109" spans="1:70">
      <c r="A109" s="4" t="str">
        <f>CONCATENATE(Table43[[#This Row],[Kode BARANG Win2]],Table43[[#This Row],[No. Urut
Item Sama]])</f>
        <v>F40650010080111</v>
      </c>
      <c r="B109" s="7">
        <v>1</v>
      </c>
      <c r="C109" s="4">
        <v>88</v>
      </c>
      <c r="D109" s="27" t="s">
        <v>502</v>
      </c>
      <c r="E109" s="27" t="s">
        <v>628</v>
      </c>
      <c r="F109" s="27" t="s">
        <v>624</v>
      </c>
      <c r="G109" s="27">
        <v>48</v>
      </c>
      <c r="H109" s="54">
        <v>8992946514296</v>
      </c>
      <c r="I109" s="27" t="str">
        <f>Table43[[#This Row],[Nama Jenis Kemasan]]</f>
        <v>TUBE</v>
      </c>
      <c r="J109" s="4" t="str">
        <f>TRIM(CONCATENATE(Table43[[#This Row],[Nama            KLP]]," ",Table43[[#This Row],[Nama            Sub KLP]]))</f>
        <v>SHINZUI FACIAL WSH</v>
      </c>
      <c r="K109" s="4" t="str">
        <f>CONCATENATE(Table43[[#This Row],[kode  2 Digit                (hrf+No)]],Table43[[#This Row],[kode  2 Digit                (Nomor)]],Table43[[#This Row],[kode  1 Digit                (Nomor)]])</f>
        <v>F4065</v>
      </c>
      <c r="L109" s="4" t="str">
        <f>IF(AG109="",CONCATENATE(Q109,S109,U109,W109,Y109,AA109,AC109,AE109,Table43[[#This Row],[Tanda Kode Revisi]]),CONCATENATE(Q109,S109,U109,W109,Y109,AA109,AC109,AG109))</f>
        <v>F4065001008011</v>
      </c>
      <c r="M109" s="11">
        <f t="shared" si="8"/>
        <v>14</v>
      </c>
      <c r="N109" s="14" t="str">
        <f>IF(AF109&lt;&gt;"",TRIM(UPPER(CONCATENATE(P109," ",R109," ",T109," ",V109," ",X109," ",Z109," ","X"," ",Table43[[#This Row],[ISI/CTN]]," ",AF109," ",AB109," ",AD109," ",AH109))),TRIM(UPPER(CONCATENATE(P109," ",R109," ",T109," ",V109," ",X109," ",Z109," ","X"," ",Table43[[#This Row],[ISI/CTN]]," ",AB109," ",AD109," ",AH109))))</f>
        <v>SHINZUI FACIAL WSH SNOW MSHRM 80ML X 48 TUBE +20ML</v>
      </c>
      <c r="O109" s="11">
        <f t="shared" si="9"/>
        <v>50</v>
      </c>
      <c r="Q109" s="7" t="s">
        <v>662</v>
      </c>
      <c r="R109" s="4" t="s">
        <v>680</v>
      </c>
      <c r="S109" s="48" t="s">
        <v>755</v>
      </c>
      <c r="T109" s="49" t="s">
        <v>783</v>
      </c>
      <c r="U109" s="7">
        <v>5</v>
      </c>
      <c r="V109" s="49"/>
      <c r="W109" s="48" t="s">
        <v>370</v>
      </c>
      <c r="X109" s="4" t="s">
        <v>784</v>
      </c>
      <c r="Y109" s="50" t="s">
        <v>749</v>
      </c>
      <c r="Z109" s="4" t="s">
        <v>719</v>
      </c>
      <c r="AA109" s="50" t="s">
        <v>765</v>
      </c>
      <c r="AB109" s="4" t="s">
        <v>732</v>
      </c>
      <c r="AC109" s="7">
        <v>1</v>
      </c>
      <c r="AD109" s="52" t="s">
        <v>728</v>
      </c>
      <c r="AE109" s="7">
        <v>1</v>
      </c>
      <c r="AI109" s="7" t="s">
        <v>178</v>
      </c>
      <c r="AJ109" s="7">
        <v>2</v>
      </c>
      <c r="AL109" s="38">
        <v>17517.027027027023</v>
      </c>
      <c r="AM109" s="39">
        <f>Table43[[#This Row],[Harga Beli Pcs
(-PPN)]]*Table43[[#This Row],[ISI/CTN]]</f>
        <v>840817.29729729705</v>
      </c>
      <c r="AN109" s="39">
        <f>Table43[[#This Row],[Harga Beli Pcs
(-PPN)]]*1.11</f>
        <v>19443.899999999998</v>
      </c>
      <c r="AO109" s="39">
        <f>Table43[[#This Row],[Harga Beli Krt
(- PPN)]]*1.11</f>
        <v>933307.19999999984</v>
      </c>
      <c r="AP109" s="39">
        <v>18918.918918918916</v>
      </c>
      <c r="AQ109" s="39">
        <f>Table43[[#This Row],[Harga Jual Pcs GT
(-PPN)]]*Table43[[#This Row],[ISI/CTN]]</f>
        <v>908108.10810810793</v>
      </c>
      <c r="AR109" s="39">
        <f>Table43[[#This Row],[Harga Jual Pcs GT
(-PPN)]]*1.11</f>
        <v>21000</v>
      </c>
      <c r="AS109" s="39">
        <f>Table43[[#This Row],[Harga Jual Krt GT
(- PPN)]]*1.11</f>
        <v>1007999.9999999999</v>
      </c>
      <c r="AT109" s="39"/>
      <c r="AU109" s="39">
        <f>Table43[[#This Row],[Harga Jual Pcs MT
(-PPN)]]*Table43[[#This Row],[ISI/CTN]]</f>
        <v>0</v>
      </c>
      <c r="AV109" s="39">
        <f>Table43[[#This Row],[Harga Jual Pcs MT
(-PPN)]]*1.11</f>
        <v>0</v>
      </c>
      <c r="AW109" s="39">
        <f>Table43[[#This Row],[Harga Jual Pcs MT
(+PPN)]]*Table43[[#This Row],[ISI/CTN]]</f>
        <v>0</v>
      </c>
      <c r="AX109" s="47">
        <f>IFERROR((Table43[[#This Row],[Harga Jual Pcs GT
(-PPN)]]-Table43[[#This Row],[Harga Beli Pcs
(-PPN)]])/Table43[[#This Row],[Harga Jual Pcs GT
(-PPN)]],0)</f>
        <v>7.4100000000000096E-2</v>
      </c>
      <c r="AY109" s="51">
        <v>45848</v>
      </c>
      <c r="AZ109" s="7"/>
      <c r="BA109" s="7" t="str">
        <f ca="1">IF(TODAY()-Table43[[#This Row],[Efektif
Pembuatan]]&gt;60,"Lama","Baru")</f>
        <v>Lama</v>
      </c>
      <c r="BB109" s="7" t="str">
        <f ca="1">IF(TODAY()-Table43[[#This Row],[Efektif Naik Harga]]&lt;30,"Naik","Sama")</f>
        <v>Sama</v>
      </c>
      <c r="BC109" s="7" t="s">
        <v>185</v>
      </c>
      <c r="BD109" s="7" t="str">
        <f>IF(Table43[[#This Row],[Kode BARANG Win2]]&lt;&gt;"","IDR","")</f>
        <v>IDR</v>
      </c>
      <c r="BE109" s="7" t="str">
        <f>CONCATENATE(Table43[[#This Row],[kode  1 Digit
(Nomor)]],Table43[[#This Row],[kode  4 Digit                (Nomor)]])</f>
        <v>20080</v>
      </c>
      <c r="BF109" s="7" t="str">
        <f>Table43[[#This Row],[Nama            Gramasi atau Jumlah Pack per CTN]]</f>
        <v>80ML</v>
      </c>
      <c r="BG109" s="7" t="s">
        <v>1060</v>
      </c>
      <c r="BH109" s="7" t="s">
        <v>377</v>
      </c>
      <c r="BI109" s="4" t="str">
        <f>IF(Table43[[#This Row],[SATUAN Fix Win]]&lt;&gt;"","KRT")</f>
        <v>KRT</v>
      </c>
      <c r="BJ109" s="4" t="str">
        <f>IF(Table43[[#This Row],[SATUAN Fix Win]]&lt;&gt;"","GD01")</f>
        <v>GD01</v>
      </c>
      <c r="BK109" s="4">
        <f>IF(Table43[[#This Row],[SATUAN Fix Win]]&lt;&gt;"",11611)</f>
        <v>11611</v>
      </c>
      <c r="BL109" s="4">
        <f>IF(Table43[[#This Row],[SATUAN Fix Win]]&lt;&gt;"",11612)</f>
        <v>11612</v>
      </c>
      <c r="BM109" s="52" t="s">
        <v>378</v>
      </c>
      <c r="BN109" s="4">
        <f>IF(Table43[[#This Row],[SATUAN Fix Win]]&lt;&gt;"",1)</f>
        <v>1</v>
      </c>
      <c r="BO109" s="4" t="s">
        <v>637</v>
      </c>
    </row>
    <row r="110" spans="1:70" s="89" customFormat="1">
      <c r="A110" s="75" t="str">
        <f>CONCATENATE(Table43[[#This Row],[Kode BARANG Win2]],Table43[[#This Row],[No. Urut
Item Sama]])</f>
        <v>F40650010080121</v>
      </c>
      <c r="B110" s="76">
        <v>1</v>
      </c>
      <c r="C110" s="4">
        <v>89</v>
      </c>
      <c r="D110" s="77">
        <v>191702002</v>
      </c>
      <c r="E110" s="77" t="s">
        <v>628</v>
      </c>
      <c r="F110" s="77" t="s">
        <v>1096</v>
      </c>
      <c r="G110" s="77">
        <v>48</v>
      </c>
      <c r="H110" s="78">
        <v>8992946535625</v>
      </c>
      <c r="I110" s="77" t="str">
        <f>Table43[[#This Row],[Nama Jenis Kemasan]]</f>
        <v>TUBE</v>
      </c>
      <c r="J110" s="75" t="str">
        <f>TRIM(CONCATENATE(Table43[[#This Row],[Nama            KLP]]," ",Table43[[#This Row],[Nama            Sub KLP]]))</f>
        <v>SHINZUI FACIAL WSH</v>
      </c>
      <c r="K110" s="75" t="str">
        <f>CONCATENATE(Table43[[#This Row],[kode  2 Digit                (hrf+No)]],Table43[[#This Row],[kode  2 Digit                (Nomor)]],Table43[[#This Row],[kode  1 Digit                (Nomor)]])</f>
        <v>F4065</v>
      </c>
      <c r="L110" s="75" t="str">
        <f>IF(AG110="",CONCATENATE(Q110,S110,U110,W110,Y110,AA110,AC110,AE110,Table43[[#This Row],[Tanda Kode Revisi]]),CONCATENATE(Q110,S110,U110,W110,Y110,AA110,AC110,AG110))</f>
        <v>F4065001008012</v>
      </c>
      <c r="M110" s="79">
        <f>LEN(L110)</f>
        <v>14</v>
      </c>
      <c r="N110" s="80" t="str">
        <f>IF(AF110&lt;&gt;"",TRIM(UPPER(CONCATENATE(P110," ",R110," ",T110," ",V110," ",X110," ",Z110," ","X"," ",Table43[[#This Row],[ISI/CTN]]," ",AF110," ",AB110," ",AD110," ",AH110))),TRIM(UPPER(CONCATENATE(P110," ",R110," ",T110," ",V110," ",X110," ",Z110," ","X"," ",Table43[[#This Row],[ISI/CTN]]," ",AB110," ",AD110," ",AH110))))</f>
        <v>SHINZUI FACIAL WSH SNOW MSHRM 80ML X 48 TUBE BND</v>
      </c>
      <c r="O110" s="79">
        <f>LEN(N110)</f>
        <v>48</v>
      </c>
      <c r="P110" s="75"/>
      <c r="Q110" s="76" t="s">
        <v>662</v>
      </c>
      <c r="R110" s="75" t="s">
        <v>680</v>
      </c>
      <c r="S110" s="81" t="s">
        <v>755</v>
      </c>
      <c r="T110" s="82" t="s">
        <v>783</v>
      </c>
      <c r="U110" s="76">
        <v>5</v>
      </c>
      <c r="V110" s="82"/>
      <c r="W110" s="81" t="s">
        <v>370</v>
      </c>
      <c r="X110" s="75" t="s">
        <v>784</v>
      </c>
      <c r="Y110" s="83" t="s">
        <v>749</v>
      </c>
      <c r="Z110" s="75" t="s">
        <v>719</v>
      </c>
      <c r="AA110" s="83" t="s">
        <v>765</v>
      </c>
      <c r="AB110" s="75" t="s">
        <v>732</v>
      </c>
      <c r="AC110" s="76">
        <v>1</v>
      </c>
      <c r="AD110" s="88" t="s">
        <v>1074</v>
      </c>
      <c r="AE110" s="76">
        <v>2</v>
      </c>
      <c r="AF110" s="76"/>
      <c r="AG110" s="76"/>
      <c r="AH110" s="76"/>
      <c r="AI110" s="76" t="s">
        <v>178</v>
      </c>
      <c r="AJ110" s="76">
        <v>2</v>
      </c>
      <c r="AK110" s="76"/>
      <c r="AL110" s="84"/>
      <c r="AM110" s="85">
        <f>Table43[[#This Row],[Harga Beli Pcs
(-PPN)]]*Table43[[#This Row],[ISI/CTN]]</f>
        <v>0</v>
      </c>
      <c r="AN110" s="85">
        <f>Table43[[#This Row],[Harga Beli Pcs
(-PPN)]]*1.11</f>
        <v>0</v>
      </c>
      <c r="AO110" s="85">
        <f>Table43[[#This Row],[Harga Beli Krt
(- PPN)]]*1.11</f>
        <v>0</v>
      </c>
      <c r="AP110" s="85"/>
      <c r="AQ110" s="85">
        <f>Table43[[#This Row],[Harga Jual Pcs GT
(-PPN)]]*Table43[[#This Row],[ISI/CTN]]</f>
        <v>0</v>
      </c>
      <c r="AR110" s="85">
        <f>Table43[[#This Row],[Harga Jual Pcs GT
(-PPN)]]*1.11</f>
        <v>0</v>
      </c>
      <c r="AS110" s="85">
        <f>Table43[[#This Row],[Harga Jual Krt GT
(- PPN)]]*1.11</f>
        <v>0</v>
      </c>
      <c r="AT110" s="85"/>
      <c r="AU110" s="85">
        <f>Table43[[#This Row],[Harga Jual Pcs MT
(-PPN)]]*Table43[[#This Row],[ISI/CTN]]</f>
        <v>0</v>
      </c>
      <c r="AV110" s="85">
        <f>Table43[[#This Row],[Harga Jual Pcs MT
(-PPN)]]*1.11</f>
        <v>0</v>
      </c>
      <c r="AW110" s="85">
        <f>Table43[[#This Row],[Harga Jual Pcs MT
(+PPN)]]*Table43[[#This Row],[ISI/CTN]]</f>
        <v>0</v>
      </c>
      <c r="AX110" s="86">
        <f>IFERROR((Table43[[#This Row],[Harga Jual Pcs GT
(-PPN)]]-Table43[[#This Row],[Harga Beli Pcs
(-PPN)]])/Table43[[#This Row],[Harga Jual Pcs GT
(-PPN)]],0)</f>
        <v>0</v>
      </c>
      <c r="AY110" s="87"/>
      <c r="AZ110" s="76"/>
      <c r="BA110" s="76" t="str">
        <f ca="1">IF(TODAY()-Table43[[#This Row],[Efektif
Pembuatan]]&gt;60,"Lama","Baru")</f>
        <v>Lama</v>
      </c>
      <c r="BB110" s="76" t="str">
        <f ca="1">IF(TODAY()-Table43[[#This Row],[Efektif Naik Harga]]&lt;30,"Naik","Sama")</f>
        <v>Sama</v>
      </c>
      <c r="BC110" s="76"/>
      <c r="BD110" s="76" t="str">
        <f>IF(Table43[[#This Row],[Kode BARANG Win2]]&lt;&gt;"","IDR","")</f>
        <v>IDR</v>
      </c>
      <c r="BE110" s="76" t="str">
        <f>CONCATENATE(Table43[[#This Row],[kode  1 Digit
(Nomor)]],Table43[[#This Row],[kode  4 Digit                (Nomor)]])</f>
        <v>20080</v>
      </c>
      <c r="BF110" s="76" t="str">
        <f>Table43[[#This Row],[Nama            Gramasi atau Jumlah Pack per CTN]]</f>
        <v>80ML</v>
      </c>
      <c r="BG110" s="76"/>
      <c r="BH110" s="76"/>
      <c r="BI110" s="75" t="str">
        <f>IF(Table43[[#This Row],[SATUAN Fix Win]]&lt;&gt;"","KRT")</f>
        <v>KRT</v>
      </c>
      <c r="BJ110" s="75" t="str">
        <f>IF(Table43[[#This Row],[SATUAN Fix Win]]&lt;&gt;"","GD01")</f>
        <v>GD01</v>
      </c>
      <c r="BK110" s="75">
        <f>IF(Table43[[#This Row],[SATUAN Fix Win]]&lt;&gt;"",11611)</f>
        <v>11611</v>
      </c>
      <c r="BL110" s="75">
        <f>IF(Table43[[#This Row],[SATUAN Fix Win]]&lt;&gt;"",11612)</f>
        <v>11612</v>
      </c>
      <c r="BM110" s="88"/>
      <c r="BN110" s="75">
        <f>IF(Table43[[#This Row],[SATUAN Fix Win]]&lt;&gt;"",1)</f>
        <v>1</v>
      </c>
      <c r="BO110" s="75"/>
      <c r="BP110" s="75"/>
      <c r="BQ110" s="75"/>
      <c r="BR110" s="75"/>
    </row>
    <row r="111" spans="1:70">
      <c r="A111" s="4" t="str">
        <f>CONCATENATE(Table43[[#This Row],[Kode BARANG Win2]],Table43[[#This Row],[No. Urut
Item Sama]])</f>
        <v>F40650020080111</v>
      </c>
      <c r="B111" s="7">
        <v>1</v>
      </c>
      <c r="C111" s="4">
        <v>90</v>
      </c>
      <c r="D111" s="27" t="s">
        <v>501</v>
      </c>
      <c r="E111" s="27" t="s">
        <v>628</v>
      </c>
      <c r="F111" s="27" t="s">
        <v>622</v>
      </c>
      <c r="G111" s="27">
        <v>48</v>
      </c>
      <c r="H111" s="54">
        <v>8992946526206</v>
      </c>
      <c r="I111" s="27" t="str">
        <f>Table43[[#This Row],[Nama Jenis Kemasan]]</f>
        <v>TUBE</v>
      </c>
      <c r="J111" s="4" t="str">
        <f>TRIM(CONCATENATE(Table43[[#This Row],[Nama            KLP]]," ",Table43[[#This Row],[Nama            Sub KLP]]))</f>
        <v>SHINZUI FACIAL WSH</v>
      </c>
      <c r="K111" s="4" t="str">
        <f>CONCATENATE(Table43[[#This Row],[kode  2 Digit                (hrf+No)]],Table43[[#This Row],[kode  2 Digit                (Nomor)]],Table43[[#This Row],[kode  1 Digit                (Nomor)]])</f>
        <v>F4065</v>
      </c>
      <c r="L111" s="4" t="str">
        <f>IF(AG111="",CONCATENATE(Q111,S111,U111,W111,Y111,AA111,AC111,AE111,Table43[[#This Row],[Tanda Kode Revisi]]),CONCATENATE(Q111,S111,U111,W111,Y111,AA111,AC111,AG111))</f>
        <v>F4065002008011</v>
      </c>
      <c r="M111" s="11">
        <f t="shared" si="8"/>
        <v>14</v>
      </c>
      <c r="N111" s="14" t="str">
        <f>IF(AF111&lt;&gt;"",TRIM(UPPER(CONCATENATE(P111," ",R111," ",T111," ",V111," ",X111," ",Z111," ","X"," ",Table43[[#This Row],[ISI/CTN]]," ",AF111," ",AB111," ",AD111," ",AH111))),TRIM(UPPER(CONCATENATE(P111," ",R111," ",T111," ",V111," ",X111," ",Z111," ","X"," ",Table43[[#This Row],[ISI/CTN]]," ",AB111," ",AD111," ",AH111))))</f>
        <v>SHINZUI FACIAL WSH CICA 80ML X 48 TUBE +20ML</v>
      </c>
      <c r="O111" s="11">
        <f t="shared" si="9"/>
        <v>44</v>
      </c>
      <c r="Q111" s="7" t="s">
        <v>662</v>
      </c>
      <c r="R111" s="4" t="s">
        <v>680</v>
      </c>
      <c r="S111" s="48" t="s">
        <v>755</v>
      </c>
      <c r="T111" s="49" t="s">
        <v>783</v>
      </c>
      <c r="U111" s="7">
        <v>5</v>
      </c>
      <c r="V111" s="49"/>
      <c r="W111" s="48" t="s">
        <v>370</v>
      </c>
      <c r="X111" s="4" t="s">
        <v>703</v>
      </c>
      <c r="Y111" s="50" t="s">
        <v>751</v>
      </c>
      <c r="Z111" s="4" t="s">
        <v>719</v>
      </c>
      <c r="AA111" s="50" t="s">
        <v>765</v>
      </c>
      <c r="AB111" s="4" t="s">
        <v>732</v>
      </c>
      <c r="AC111" s="7">
        <v>1</v>
      </c>
      <c r="AD111" s="52" t="s">
        <v>728</v>
      </c>
      <c r="AE111" s="7">
        <v>1</v>
      </c>
      <c r="AI111" s="7" t="s">
        <v>178</v>
      </c>
      <c r="AJ111" s="7">
        <v>2</v>
      </c>
      <c r="AL111" s="38">
        <v>17517.027027027023</v>
      </c>
      <c r="AM111" s="39">
        <f>Table43[[#This Row],[Harga Beli Pcs
(-PPN)]]*Table43[[#This Row],[ISI/CTN]]</f>
        <v>840817.29729729705</v>
      </c>
      <c r="AN111" s="39">
        <f>Table43[[#This Row],[Harga Beli Pcs
(-PPN)]]*1.11</f>
        <v>19443.899999999998</v>
      </c>
      <c r="AO111" s="39">
        <f>Table43[[#This Row],[Harga Beli Krt
(- PPN)]]*1.11</f>
        <v>933307.19999999984</v>
      </c>
      <c r="AP111" s="39">
        <v>18918.918918918916</v>
      </c>
      <c r="AQ111" s="39">
        <f>Table43[[#This Row],[Harga Jual Pcs GT
(-PPN)]]*Table43[[#This Row],[ISI/CTN]]</f>
        <v>908108.10810810793</v>
      </c>
      <c r="AR111" s="39">
        <f>Table43[[#This Row],[Harga Jual Pcs GT
(-PPN)]]*1.11</f>
        <v>21000</v>
      </c>
      <c r="AS111" s="39">
        <f>Table43[[#This Row],[Harga Jual Krt GT
(- PPN)]]*1.11</f>
        <v>1007999.9999999999</v>
      </c>
      <c r="AT111" s="39"/>
      <c r="AU111" s="39">
        <f>Table43[[#This Row],[Harga Jual Pcs MT
(-PPN)]]*Table43[[#This Row],[ISI/CTN]]</f>
        <v>0</v>
      </c>
      <c r="AV111" s="39">
        <f>Table43[[#This Row],[Harga Jual Pcs MT
(-PPN)]]*1.11</f>
        <v>0</v>
      </c>
      <c r="AW111" s="39">
        <f>Table43[[#This Row],[Harga Jual Pcs MT
(+PPN)]]*Table43[[#This Row],[ISI/CTN]]</f>
        <v>0</v>
      </c>
      <c r="AX111" s="47">
        <f>IFERROR((Table43[[#This Row],[Harga Jual Pcs GT
(-PPN)]]-Table43[[#This Row],[Harga Beli Pcs
(-PPN)]])/Table43[[#This Row],[Harga Jual Pcs GT
(-PPN)]],0)</f>
        <v>7.4100000000000096E-2</v>
      </c>
      <c r="AY111" s="51">
        <v>45848</v>
      </c>
      <c r="AZ111" s="7"/>
      <c r="BA111" s="7" t="str">
        <f ca="1">IF(TODAY()-Table43[[#This Row],[Efektif
Pembuatan]]&gt;60,"Lama","Baru")</f>
        <v>Lama</v>
      </c>
      <c r="BB111" s="7" t="str">
        <f ca="1">IF(TODAY()-Table43[[#This Row],[Efektif Naik Harga]]&lt;30,"Naik","Sama")</f>
        <v>Sama</v>
      </c>
      <c r="BC111" s="7" t="s">
        <v>185</v>
      </c>
      <c r="BD111" s="7" t="str">
        <f>IF(Table43[[#This Row],[Kode BARANG Win2]]&lt;&gt;"","IDR","")</f>
        <v>IDR</v>
      </c>
      <c r="BE111" s="7" t="str">
        <f>CONCATENATE(Table43[[#This Row],[kode  1 Digit
(Nomor)]],Table43[[#This Row],[kode  4 Digit                (Nomor)]])</f>
        <v>20080</v>
      </c>
      <c r="BF111" s="7" t="str">
        <f>Table43[[#This Row],[Nama            Gramasi atau Jumlah Pack per CTN]]</f>
        <v>80ML</v>
      </c>
      <c r="BG111" s="7" t="s">
        <v>1060</v>
      </c>
      <c r="BH111" s="7" t="s">
        <v>377</v>
      </c>
      <c r="BI111" s="4" t="str">
        <f>IF(Table43[[#This Row],[SATUAN Fix Win]]&lt;&gt;"","KRT")</f>
        <v>KRT</v>
      </c>
      <c r="BJ111" s="4" t="str">
        <f>IF(Table43[[#This Row],[SATUAN Fix Win]]&lt;&gt;"","GD01")</f>
        <v>GD01</v>
      </c>
      <c r="BK111" s="4">
        <f>IF(Table43[[#This Row],[SATUAN Fix Win]]&lt;&gt;"",11611)</f>
        <v>11611</v>
      </c>
      <c r="BL111" s="4">
        <f>IF(Table43[[#This Row],[SATUAN Fix Win]]&lt;&gt;"",11612)</f>
        <v>11612</v>
      </c>
      <c r="BM111" s="52" t="s">
        <v>378</v>
      </c>
      <c r="BN111" s="4">
        <f>IF(Table43[[#This Row],[SATUAN Fix Win]]&lt;&gt;"",1)</f>
        <v>1</v>
      </c>
      <c r="BO111" s="4" t="s">
        <v>637</v>
      </c>
    </row>
    <row r="112" spans="1:70" s="89" customFormat="1">
      <c r="A112" s="75" t="str">
        <f>CONCATENATE(Table43[[#This Row],[Kode BARANG Win2]],Table43[[#This Row],[No. Urut
Item Sama]])</f>
        <v>F40650020080121</v>
      </c>
      <c r="B112" s="76">
        <v>1</v>
      </c>
      <c r="C112" s="75"/>
      <c r="D112" s="77"/>
      <c r="E112" s="27" t="s">
        <v>628</v>
      </c>
      <c r="F112" s="77"/>
      <c r="G112" s="77"/>
      <c r="H112" s="78"/>
      <c r="I112" s="77" t="str">
        <f>Table43[[#This Row],[Nama Jenis Kemasan]]</f>
        <v>TUBE</v>
      </c>
      <c r="J112" s="75" t="str">
        <f>TRIM(CONCATENATE(Table43[[#This Row],[Nama            KLP]]," ",Table43[[#This Row],[Nama            Sub KLP]]))</f>
        <v>SHINZUI FACIAL WSH</v>
      </c>
      <c r="K112" s="75" t="str">
        <f>CONCATENATE(Table43[[#This Row],[kode  2 Digit                (hrf+No)]],Table43[[#This Row],[kode  2 Digit                (Nomor)]],Table43[[#This Row],[kode  1 Digit                (Nomor)]])</f>
        <v>F4065</v>
      </c>
      <c r="L112" s="75" t="str">
        <f>IF(AG112="",CONCATENATE(Q112,S112,U112,W112,Y112,AA112,AC112,AE112,Table43[[#This Row],[Tanda Kode Revisi]]),CONCATENATE(Q112,S112,U112,W112,Y112,AA112,AC112,AG112))</f>
        <v>F4065002008012</v>
      </c>
      <c r="M112" s="79">
        <f>LEN(L112)</f>
        <v>14</v>
      </c>
      <c r="N112" s="80" t="str">
        <f>IF(AF112&lt;&gt;"",TRIM(UPPER(CONCATENATE(P112," ",R112," ",T112," ",V112," ",X112," ",Z112," ","X"," ",Table43[[#This Row],[ISI/CTN]]," ",AF112," ",AB112," ",AD112," ",AH112))),TRIM(UPPER(CONCATENATE(P112," ",R112," ",T112," ",V112," ",X112," ",Z112," ","X"," ",Table43[[#This Row],[ISI/CTN]]," ",AB112," ",AD112," ",AH112))))</f>
        <v>SHINZUI FACIAL WSH CICA 80ML X TUBE BND</v>
      </c>
      <c r="O112" s="79">
        <f>LEN(N112)</f>
        <v>39</v>
      </c>
      <c r="P112" s="75"/>
      <c r="Q112" s="76" t="s">
        <v>662</v>
      </c>
      <c r="R112" s="75" t="s">
        <v>680</v>
      </c>
      <c r="S112" s="81" t="s">
        <v>755</v>
      </c>
      <c r="T112" s="82" t="s">
        <v>783</v>
      </c>
      <c r="U112" s="76">
        <v>5</v>
      </c>
      <c r="V112" s="82"/>
      <c r="W112" s="81" t="s">
        <v>370</v>
      </c>
      <c r="X112" s="75" t="s">
        <v>703</v>
      </c>
      <c r="Y112" s="83" t="s">
        <v>751</v>
      </c>
      <c r="Z112" s="75" t="s">
        <v>719</v>
      </c>
      <c r="AA112" s="83" t="s">
        <v>765</v>
      </c>
      <c r="AB112" s="75" t="s">
        <v>732</v>
      </c>
      <c r="AC112" s="76">
        <v>1</v>
      </c>
      <c r="AD112" s="88" t="s">
        <v>1074</v>
      </c>
      <c r="AE112" s="76">
        <v>2</v>
      </c>
      <c r="AF112" s="76"/>
      <c r="AG112" s="76"/>
      <c r="AH112" s="76"/>
      <c r="AI112" s="76" t="s">
        <v>178</v>
      </c>
      <c r="AJ112" s="76">
        <v>2</v>
      </c>
      <c r="AK112" s="76"/>
      <c r="AL112" s="84"/>
      <c r="AM112" s="85">
        <f>Table43[[#This Row],[Harga Beli Pcs
(-PPN)]]*Table43[[#This Row],[ISI/CTN]]</f>
        <v>0</v>
      </c>
      <c r="AN112" s="85">
        <f>Table43[[#This Row],[Harga Beli Pcs
(-PPN)]]*1.11</f>
        <v>0</v>
      </c>
      <c r="AO112" s="85">
        <f>Table43[[#This Row],[Harga Beli Krt
(- PPN)]]*1.11</f>
        <v>0</v>
      </c>
      <c r="AP112" s="85"/>
      <c r="AQ112" s="85">
        <f>Table43[[#This Row],[Harga Jual Pcs GT
(-PPN)]]*Table43[[#This Row],[ISI/CTN]]</f>
        <v>0</v>
      </c>
      <c r="AR112" s="85">
        <f>Table43[[#This Row],[Harga Jual Pcs GT
(-PPN)]]*1.11</f>
        <v>0</v>
      </c>
      <c r="AS112" s="85">
        <f>Table43[[#This Row],[Harga Jual Krt GT
(- PPN)]]*1.11</f>
        <v>0</v>
      </c>
      <c r="AT112" s="85"/>
      <c r="AU112" s="85">
        <f>Table43[[#This Row],[Harga Jual Pcs MT
(-PPN)]]*Table43[[#This Row],[ISI/CTN]]</f>
        <v>0</v>
      </c>
      <c r="AV112" s="85">
        <f>Table43[[#This Row],[Harga Jual Pcs MT
(-PPN)]]*1.11</f>
        <v>0</v>
      </c>
      <c r="AW112" s="85">
        <f>Table43[[#This Row],[Harga Jual Pcs MT
(+PPN)]]*Table43[[#This Row],[ISI/CTN]]</f>
        <v>0</v>
      </c>
      <c r="AX112" s="86">
        <f>IFERROR((Table43[[#This Row],[Harga Jual Pcs GT
(-PPN)]]-Table43[[#This Row],[Harga Beli Pcs
(-PPN)]])/Table43[[#This Row],[Harga Jual Pcs GT
(-PPN)]],0)</f>
        <v>0</v>
      </c>
      <c r="AY112" s="87"/>
      <c r="AZ112" s="76"/>
      <c r="BA112" s="76" t="str">
        <f ca="1">IF(TODAY()-Table43[[#This Row],[Efektif
Pembuatan]]&gt;60,"Lama","Baru")</f>
        <v>Lama</v>
      </c>
      <c r="BB112" s="76" t="str">
        <f ca="1">IF(TODAY()-Table43[[#This Row],[Efektif Naik Harga]]&lt;30,"Naik","Sama")</f>
        <v>Sama</v>
      </c>
      <c r="BC112" s="76"/>
      <c r="BD112" s="76" t="str">
        <f>IF(Table43[[#This Row],[Kode BARANG Win2]]&lt;&gt;"","IDR","")</f>
        <v>IDR</v>
      </c>
      <c r="BE112" s="76" t="str">
        <f>CONCATENATE(Table43[[#This Row],[kode  1 Digit
(Nomor)]],Table43[[#This Row],[kode  4 Digit                (Nomor)]])</f>
        <v>20080</v>
      </c>
      <c r="BF112" s="76" t="str">
        <f>Table43[[#This Row],[Nama            Gramasi atau Jumlah Pack per CTN]]</f>
        <v>80ML</v>
      </c>
      <c r="BG112" s="76"/>
      <c r="BH112" s="76"/>
      <c r="BI112" s="75" t="str">
        <f>IF(Table43[[#This Row],[SATUAN Fix Win]]&lt;&gt;"","KRT")</f>
        <v>KRT</v>
      </c>
      <c r="BJ112" s="75" t="str">
        <f>IF(Table43[[#This Row],[SATUAN Fix Win]]&lt;&gt;"","GD01")</f>
        <v>GD01</v>
      </c>
      <c r="BK112" s="75">
        <f>IF(Table43[[#This Row],[SATUAN Fix Win]]&lt;&gt;"",11611)</f>
        <v>11611</v>
      </c>
      <c r="BL112" s="75">
        <f>IF(Table43[[#This Row],[SATUAN Fix Win]]&lt;&gt;"",11612)</f>
        <v>11612</v>
      </c>
      <c r="BM112" s="88"/>
      <c r="BN112" s="75">
        <f>IF(Table43[[#This Row],[SATUAN Fix Win]]&lt;&gt;"",1)</f>
        <v>1</v>
      </c>
      <c r="BO112" s="75"/>
      <c r="BP112" s="75"/>
      <c r="BQ112" s="75"/>
      <c r="BR112" s="75"/>
    </row>
    <row r="113" spans="1:70" s="89" customFormat="1">
      <c r="A113" s="4" t="str">
        <f>CONCATENATE(Table43[[#This Row],[Kode BARANG Win2]],Table43[[#This Row],[No. Urut
Item Sama]])</f>
        <v>F40650020080111</v>
      </c>
      <c r="B113" s="7">
        <v>1</v>
      </c>
      <c r="C113" s="4"/>
      <c r="D113" s="77">
        <v>191703000</v>
      </c>
      <c r="E113" s="77" t="s">
        <v>628</v>
      </c>
      <c r="F113" s="77" t="s">
        <v>1265</v>
      </c>
      <c r="G113" s="77">
        <v>48</v>
      </c>
      <c r="H113" s="78">
        <v>8992946526206</v>
      </c>
      <c r="I113" s="77" t="str">
        <f>Table43[[#This Row],[Nama Jenis Kemasan]]</f>
        <v>TUBE</v>
      </c>
      <c r="J113" s="4" t="str">
        <f>TRIM(CONCATENATE(Table43[[#This Row],[Nama            KLP]]," ",Table43[[#This Row],[Nama            Sub KLP]]))</f>
        <v>SHINZUI FACIAL WSH</v>
      </c>
      <c r="K113" s="4" t="str">
        <f>CONCATENATE(Table43[[#This Row],[kode  2 Digit                (hrf+No)]],Table43[[#This Row],[kode  2 Digit                (Nomor)]],Table43[[#This Row],[kode  1 Digit                (Nomor)]])</f>
        <v>F4065</v>
      </c>
      <c r="L113" s="4" t="str">
        <f>IF(AG113="",CONCATENATE(Q113,S113,U113,W113,Y113,AA113,AC113,AE113,Table43[[#This Row],[Tanda Kode Revisi]]),CONCATENATE(Q113,S113,U113,W113,Y113,AA113,AC113,AG113))</f>
        <v>F4065002008011</v>
      </c>
      <c r="M113" s="11">
        <f>LEN(L113)</f>
        <v>14</v>
      </c>
      <c r="N113" s="14" t="str">
        <f>IF(AF113&lt;&gt;"",TRIM(UPPER(CONCATENATE(P113," ",R113," ",T113," ",V113," ",X113," ",Z113," ","X"," ",Table43[[#This Row],[ISI/CTN]]," ",AF113," ",AB113," ",AD113," ",AH113))),TRIM(UPPER(CONCATENATE(P113," ",R113," ",T113," ",V113," ",X113," ",Z113," ","X"," ",Table43[[#This Row],[ISI/CTN]]," ",AB113," ",AD113," ",AH113))))</f>
        <v>SHINZUI FACIAL WSH CICA 80ML X 48 TUBE +20ML</v>
      </c>
      <c r="O113" s="11">
        <f>LEN(N113)</f>
        <v>44</v>
      </c>
      <c r="P113" s="4"/>
      <c r="Q113" s="7" t="s">
        <v>662</v>
      </c>
      <c r="R113" s="4" t="s">
        <v>680</v>
      </c>
      <c r="S113" s="48" t="s">
        <v>755</v>
      </c>
      <c r="T113" s="49" t="s">
        <v>783</v>
      </c>
      <c r="U113" s="7">
        <v>5</v>
      </c>
      <c r="V113" s="49"/>
      <c r="W113" s="48" t="s">
        <v>370</v>
      </c>
      <c r="X113" s="4" t="s">
        <v>703</v>
      </c>
      <c r="Y113" s="50" t="s">
        <v>751</v>
      </c>
      <c r="Z113" s="4" t="s">
        <v>719</v>
      </c>
      <c r="AA113" s="50" t="s">
        <v>765</v>
      </c>
      <c r="AB113" s="4" t="s">
        <v>732</v>
      </c>
      <c r="AC113" s="7">
        <v>1</v>
      </c>
      <c r="AD113" s="52" t="s">
        <v>728</v>
      </c>
      <c r="AE113" s="7">
        <v>1</v>
      </c>
      <c r="AF113" s="7"/>
      <c r="AG113" s="7"/>
      <c r="AH113" s="7"/>
      <c r="AI113" s="7"/>
      <c r="AJ113" s="7"/>
      <c r="AK113" s="7"/>
      <c r="AL113" s="38"/>
      <c r="AM113" s="39">
        <f>Table43[[#This Row],[Harga Beli Pcs
(-PPN)]]*Table43[[#This Row],[ISI/CTN]]</f>
        <v>0</v>
      </c>
      <c r="AN113" s="39">
        <f>Table43[[#This Row],[Harga Beli Pcs
(-PPN)]]*1.11</f>
        <v>0</v>
      </c>
      <c r="AO113" s="39">
        <f>Table43[[#This Row],[Harga Beli Krt
(- PPN)]]*1.11</f>
        <v>0</v>
      </c>
      <c r="AP113" s="39"/>
      <c r="AQ113" s="39">
        <f>Table43[[#This Row],[Harga Jual Pcs GT
(-PPN)]]*Table43[[#This Row],[ISI/CTN]]</f>
        <v>0</v>
      </c>
      <c r="AR113" s="39">
        <f>Table43[[#This Row],[Harga Jual Pcs GT
(-PPN)]]*1.11</f>
        <v>0</v>
      </c>
      <c r="AS113" s="39">
        <f>Table43[[#This Row],[Harga Jual Krt GT
(- PPN)]]*1.11</f>
        <v>0</v>
      </c>
      <c r="AT113" s="39"/>
      <c r="AU113" s="39">
        <f>Table43[[#This Row],[Harga Jual Pcs MT
(-PPN)]]*Table43[[#This Row],[ISI/CTN]]</f>
        <v>0</v>
      </c>
      <c r="AV113" s="39">
        <f>Table43[[#This Row],[Harga Jual Pcs MT
(-PPN)]]*1.11</f>
        <v>0</v>
      </c>
      <c r="AW113" s="39">
        <f>Table43[[#This Row],[Harga Jual Pcs MT
(+PPN)]]*Table43[[#This Row],[ISI/CTN]]</f>
        <v>0</v>
      </c>
      <c r="AX113" s="47">
        <f>IFERROR((Table43[[#This Row],[Harga Jual Pcs GT
(-PPN)]]-Table43[[#This Row],[Harga Beli Pcs
(-PPN)]])/Table43[[#This Row],[Harga Jual Pcs GT
(-PPN)]],0)</f>
        <v>0</v>
      </c>
      <c r="AY113" s="51"/>
      <c r="AZ113" s="7"/>
      <c r="BA113" s="7" t="str">
        <f ca="1">IF(TODAY()-Table43[[#This Row],[Efektif
Pembuatan]]&gt;60,"Lama","Baru")</f>
        <v>Lama</v>
      </c>
      <c r="BB113" s="7" t="str">
        <f ca="1">IF(TODAY()-Table43[[#This Row],[Efektif Naik Harga]]&lt;30,"Naik","Sama")</f>
        <v>Sama</v>
      </c>
      <c r="BC113" s="7"/>
      <c r="BD113" s="7" t="str">
        <f>IF(Table43[[#This Row],[Kode BARANG Win2]]&lt;&gt;"","IDR","")</f>
        <v>IDR</v>
      </c>
      <c r="BE113" s="7" t="str">
        <f>CONCATENATE(Table43[[#This Row],[kode  1 Digit
(Nomor)]],Table43[[#This Row],[kode  4 Digit                (Nomor)]])</f>
        <v>0080</v>
      </c>
      <c r="BF113" s="7" t="str">
        <f>Table43[[#This Row],[Nama            Gramasi atau Jumlah Pack per CTN]]</f>
        <v>80ML</v>
      </c>
      <c r="BG113" s="7"/>
      <c r="BH113" s="7"/>
      <c r="BI113" s="4" t="str">
        <f>IF(Table43[[#This Row],[SATUAN Fix Win]]&lt;&gt;"","KRT")</f>
        <v>KRT</v>
      </c>
      <c r="BJ113" s="4" t="str">
        <f>IF(Table43[[#This Row],[SATUAN Fix Win]]&lt;&gt;"","GD01")</f>
        <v>GD01</v>
      </c>
      <c r="BK113" s="4">
        <f>IF(Table43[[#This Row],[SATUAN Fix Win]]&lt;&gt;"",11611)</f>
        <v>11611</v>
      </c>
      <c r="BL113" s="4">
        <f>IF(Table43[[#This Row],[SATUAN Fix Win]]&lt;&gt;"",11612)</f>
        <v>11612</v>
      </c>
      <c r="BM113" s="52"/>
      <c r="BN113" s="4">
        <f>IF(Table43[[#This Row],[SATUAN Fix Win]]&lt;&gt;"",1)</f>
        <v>1</v>
      </c>
      <c r="BO113" s="4"/>
      <c r="BP113" s="75"/>
      <c r="BQ113" s="75"/>
      <c r="BR113" s="75"/>
    </row>
    <row r="114" spans="1:70">
      <c r="A114" s="4" t="str">
        <f>CONCATENATE(Table43[[#This Row],[Kode BARANG Win2]],Table43[[#This Row],[No. Urut
Item Sama]])</f>
        <v>F40650030020101</v>
      </c>
      <c r="B114" s="7">
        <v>1</v>
      </c>
      <c r="C114" s="4">
        <v>91</v>
      </c>
      <c r="D114" s="27">
        <v>191702000</v>
      </c>
      <c r="E114" s="27" t="s">
        <v>628</v>
      </c>
      <c r="F114" s="27" t="s">
        <v>623</v>
      </c>
      <c r="G114" s="27">
        <v>12</v>
      </c>
      <c r="H114" s="54" t="s">
        <v>652</v>
      </c>
      <c r="I114" s="27" t="str">
        <f>Table43[[#This Row],[Nama Jenis Kemasan]]</f>
        <v>TUBE</v>
      </c>
      <c r="J114" s="4" t="str">
        <f>TRIM(CONCATENATE(Table43[[#This Row],[Nama            KLP]]," ",Table43[[#This Row],[Nama            Sub KLP]]))</f>
        <v>SHINZUI FACIAL WSH</v>
      </c>
      <c r="K114" s="4" t="str">
        <f>CONCATENATE(Table43[[#This Row],[kode  2 Digit                (hrf+No)]],Table43[[#This Row],[kode  2 Digit                (Nomor)]],Table43[[#This Row],[kode  1 Digit                (Nomor)]])</f>
        <v>F4065</v>
      </c>
      <c r="L114" s="4" t="str">
        <f>IF(AG114="",CONCATENATE(Q114,S114,U114,W114,Y114,AA114,AC114,AE114,Table43[[#This Row],[Tanda Kode Revisi]]),CONCATENATE(Q114,S114,U114,W114,Y114,AA114,AC114,AG114))</f>
        <v>F4065003002010</v>
      </c>
      <c r="M114" s="11">
        <f t="shared" si="8"/>
        <v>14</v>
      </c>
      <c r="N114" s="14" t="str">
        <f>IF(AF114&lt;&gt;"",TRIM(UPPER(CONCATENATE(P114," ",R114," ",T114," ",V114," ",X114," ",Z114," ","X"," ",Table43[[#This Row],[ISI/CTN]]," ",AF114," ",AB114," ",AD114," ",AH114))),TRIM(UPPER(CONCATENATE(P114," ",R114," ",T114," ",V114," ",X114," ",Z114," ","X"," ",Table43[[#This Row],[ISI/CTN]]," ",AB114," ",AD114," ",AH114))))</f>
        <v>SHINZUI FACIAL WSH SNOW MSHRM 20ML X 12 TUBE</v>
      </c>
      <c r="O114" s="11">
        <f t="shared" si="9"/>
        <v>44</v>
      </c>
      <c r="Q114" s="7" t="s">
        <v>662</v>
      </c>
      <c r="R114" s="4" t="s">
        <v>680</v>
      </c>
      <c r="S114" s="48" t="s">
        <v>755</v>
      </c>
      <c r="T114" s="49" t="s">
        <v>783</v>
      </c>
      <c r="U114" s="7">
        <v>5</v>
      </c>
      <c r="V114" s="49"/>
      <c r="W114" s="48" t="s">
        <v>370</v>
      </c>
      <c r="X114" s="4" t="s">
        <v>784</v>
      </c>
      <c r="Y114" s="50" t="s">
        <v>752</v>
      </c>
      <c r="Z114" s="4" t="s">
        <v>717</v>
      </c>
      <c r="AA114" s="50" t="s">
        <v>746</v>
      </c>
      <c r="AB114" s="4" t="s">
        <v>732</v>
      </c>
      <c r="AC114" s="7">
        <v>1</v>
      </c>
      <c r="AE114" s="7">
        <v>0</v>
      </c>
      <c r="AI114" s="7" t="s">
        <v>178</v>
      </c>
      <c r="AJ114" s="7">
        <v>2</v>
      </c>
      <c r="AL114" s="38">
        <v>41707.207207207204</v>
      </c>
      <c r="AM114" s="39">
        <f>Table43[[#This Row],[Harga Beli Pcs
(-PPN)]]*Table43[[#This Row],[ISI/CTN]]</f>
        <v>500486.48648648645</v>
      </c>
      <c r="AN114" s="39">
        <f>Table43[[#This Row],[Harga Beli Pcs
(-PPN)]]*1.11</f>
        <v>46295</v>
      </c>
      <c r="AO114" s="39">
        <f>Table43[[#This Row],[Harga Beli Krt
(- PPN)]]*1.11</f>
        <v>555540</v>
      </c>
      <c r="AP114" s="39">
        <v>45045.045045045037</v>
      </c>
      <c r="AQ114" s="39">
        <f>Table43[[#This Row],[Harga Jual Pcs GT
(-PPN)]]*Table43[[#This Row],[ISI/CTN]]</f>
        <v>540540.54054054047</v>
      </c>
      <c r="AR114" s="39">
        <f>Table43[[#This Row],[Harga Jual Pcs GT
(-PPN)]]*1.11</f>
        <v>49999.999999999993</v>
      </c>
      <c r="AS114" s="39">
        <f>Table43[[#This Row],[Harga Jual Krt GT
(- PPN)]]*1.11</f>
        <v>600000</v>
      </c>
      <c r="AT114" s="39"/>
      <c r="AU114" s="39">
        <f>Table43[[#This Row],[Harga Jual Pcs MT
(-PPN)]]*Table43[[#This Row],[ISI/CTN]]</f>
        <v>0</v>
      </c>
      <c r="AV114" s="39">
        <f>Table43[[#This Row],[Harga Jual Pcs MT
(-PPN)]]*1.11</f>
        <v>0</v>
      </c>
      <c r="AW114" s="39">
        <f>Table43[[#This Row],[Harga Jual Pcs MT
(+PPN)]]*Table43[[#This Row],[ISI/CTN]]</f>
        <v>0</v>
      </c>
      <c r="AX114" s="47">
        <f>IFERROR((Table43[[#This Row],[Harga Jual Pcs GT
(-PPN)]]-Table43[[#This Row],[Harga Beli Pcs
(-PPN)]])/Table43[[#This Row],[Harga Jual Pcs GT
(-PPN)]],0)</f>
        <v>7.4099999999999902E-2</v>
      </c>
      <c r="AY114" s="51">
        <v>45848</v>
      </c>
      <c r="AZ114" s="7"/>
      <c r="BA114" s="7" t="str">
        <f ca="1">IF(TODAY()-Table43[[#This Row],[Efektif
Pembuatan]]&gt;60,"Lama","Baru")</f>
        <v>Lama</v>
      </c>
      <c r="BB114" s="7" t="str">
        <f ca="1">IF(TODAY()-Table43[[#This Row],[Efektif Naik Harga]]&lt;30,"Naik","Sama")</f>
        <v>Sama</v>
      </c>
      <c r="BC114" s="7" t="s">
        <v>185</v>
      </c>
      <c r="BD114" s="7" t="str">
        <f>IF(Table43[[#This Row],[Kode BARANG Win2]]&lt;&gt;"","IDR","")</f>
        <v>IDR</v>
      </c>
      <c r="BE114" s="7" t="str">
        <f>CONCATENATE(Table43[[#This Row],[kode  1 Digit
(Nomor)]],Table43[[#This Row],[kode  4 Digit                (Nomor)]])</f>
        <v>20020</v>
      </c>
      <c r="BF114" s="7" t="str">
        <f>Table43[[#This Row],[Nama            Gramasi atau Jumlah Pack per CTN]]</f>
        <v>20ML</v>
      </c>
      <c r="BG114" s="7" t="s">
        <v>1060</v>
      </c>
      <c r="BH114" s="7" t="s">
        <v>377</v>
      </c>
      <c r="BI114" s="4" t="str">
        <f>IF(Table43[[#This Row],[SATUAN Fix Win]]&lt;&gt;"","KRT")</f>
        <v>KRT</v>
      </c>
      <c r="BJ114" s="4" t="str">
        <f>IF(Table43[[#This Row],[SATUAN Fix Win]]&lt;&gt;"","GD01")</f>
        <v>GD01</v>
      </c>
      <c r="BK114" s="4">
        <f>IF(Table43[[#This Row],[SATUAN Fix Win]]&lt;&gt;"",11611)</f>
        <v>11611</v>
      </c>
      <c r="BL114" s="4">
        <f>IF(Table43[[#This Row],[SATUAN Fix Win]]&lt;&gt;"",11612)</f>
        <v>11612</v>
      </c>
      <c r="BM114" s="52" t="s">
        <v>378</v>
      </c>
      <c r="BN114" s="4">
        <f>IF(Table43[[#This Row],[SATUAN Fix Win]]&lt;&gt;"",1)</f>
        <v>1</v>
      </c>
      <c r="BO114" s="4" t="s">
        <v>637</v>
      </c>
    </row>
    <row r="115" spans="1:70">
      <c r="A115" s="4" t="str">
        <f>CONCATENATE(Table43[[#This Row],[Kode BARANG Win2]],Table43[[#This Row],[No. Urut
Item Sama]])</f>
        <v>F40650030020131</v>
      </c>
      <c r="B115" s="7">
        <v>1</v>
      </c>
      <c r="D115" s="27" t="s">
        <v>1313</v>
      </c>
      <c r="E115" s="27" t="s">
        <v>628</v>
      </c>
      <c r="F115" s="27"/>
      <c r="G115" s="27">
        <v>12</v>
      </c>
      <c r="H115" s="54"/>
      <c r="I115" s="27" t="str">
        <f>Table43[[#This Row],[Nama Jenis Kemasan]]</f>
        <v>TOPLES</v>
      </c>
      <c r="J115" s="4" t="str">
        <f>TRIM(CONCATENATE(Table43[[#This Row],[Nama            KLP]]," ",Table43[[#This Row],[Nama            Sub KLP]]))</f>
        <v>SHINZUI FACIAL WSH</v>
      </c>
      <c r="K115" s="4" t="str">
        <f>CONCATENATE(Table43[[#This Row],[kode  2 Digit                (hrf+No)]],Table43[[#This Row],[kode  2 Digit                (Nomor)]],Table43[[#This Row],[kode  1 Digit                (Nomor)]])</f>
        <v>F4065</v>
      </c>
      <c r="L115" s="4" t="str">
        <f>IF(AG115="",CONCATENATE(Q115,S115,U115,W115,Y115,AA115,AC115,AE115,Table43[[#This Row],[Tanda Kode Revisi]]),CONCATENATE(Q115,S115,U115,W115,Y115,AA115,AC115,AG115))</f>
        <v>F4065003002013</v>
      </c>
      <c r="M115" s="11">
        <f>LEN(L115)</f>
        <v>14</v>
      </c>
      <c r="N115" s="14" t="str">
        <f>IF(AF115&lt;&gt;"",TRIM(UPPER(CONCATENATE(P115," ",R115," ",T115," ",V115," ",X115," ",Z115," ","X"," ",Table43[[#This Row],[ISI/CTN]]," ",AF115," ",AB115," ",AD115," ",AH115))),TRIM(UPPER(CONCATENATE(P115," ",R115," ",T115," ",V115," ",X115," ",Z115," ","X"," ",Table43[[#This Row],[ISI/CTN]]," ",AB115," ",AD115," ",AH115))))</f>
        <v>SHINZUI FACIAL WSH SNOW MSHRM 20ML X 12 TOPLES MIX</v>
      </c>
      <c r="O115" s="11">
        <f>LEN(N115)</f>
        <v>50</v>
      </c>
      <c r="Q115" s="7" t="s">
        <v>662</v>
      </c>
      <c r="R115" s="4" t="s">
        <v>680</v>
      </c>
      <c r="S115" s="48" t="s">
        <v>755</v>
      </c>
      <c r="T115" s="49" t="s">
        <v>783</v>
      </c>
      <c r="U115" s="7">
        <v>5</v>
      </c>
      <c r="V115" s="49"/>
      <c r="W115" s="48" t="s">
        <v>370</v>
      </c>
      <c r="X115" s="4" t="s">
        <v>784</v>
      </c>
      <c r="Y115" s="50" t="s">
        <v>752</v>
      </c>
      <c r="Z115" s="4" t="s">
        <v>717</v>
      </c>
      <c r="AA115" s="50" t="s">
        <v>746</v>
      </c>
      <c r="AB115" s="4" t="s">
        <v>1295</v>
      </c>
      <c r="AC115" s="7">
        <v>1</v>
      </c>
      <c r="AD115" s="4" t="s">
        <v>704</v>
      </c>
      <c r="AE115" s="7">
        <v>3</v>
      </c>
      <c r="AL115" s="38">
        <v>41707.207207207204</v>
      </c>
      <c r="AM115" s="39">
        <f>Table43[[#This Row],[Harga Beli Pcs
(-PPN)]]*Table43[[#This Row],[ISI/CTN]]</f>
        <v>500486.48648648645</v>
      </c>
      <c r="AN115" s="39">
        <f>Table43[[#This Row],[Harga Beli Pcs
(-PPN)]]*1.11</f>
        <v>46295</v>
      </c>
      <c r="AO115" s="39">
        <f>Table43[[#This Row],[Harga Beli Krt
(- PPN)]]*1.11</f>
        <v>555540</v>
      </c>
      <c r="AP115" s="39">
        <v>45045.045045045037</v>
      </c>
      <c r="AQ115" s="39">
        <f>Table43[[#This Row],[Harga Jual Pcs GT
(-PPN)]]*Table43[[#This Row],[ISI/CTN]]</f>
        <v>540540.54054054047</v>
      </c>
      <c r="AR115" s="39">
        <f>Table43[[#This Row],[Harga Jual Pcs GT
(-PPN)]]*1.11</f>
        <v>49999.999999999993</v>
      </c>
      <c r="AS115" s="39">
        <f>Table43[[#This Row],[Harga Jual Krt GT
(- PPN)]]*1.11</f>
        <v>600000</v>
      </c>
      <c r="AT115" s="39"/>
      <c r="AU115" s="39">
        <f>Table43[[#This Row],[Harga Jual Pcs MT
(-PPN)]]*Table43[[#This Row],[ISI/CTN]]</f>
        <v>0</v>
      </c>
      <c r="AV115" s="39">
        <f>Table43[[#This Row],[Harga Jual Pcs MT
(-PPN)]]*1.11</f>
        <v>0</v>
      </c>
      <c r="AW115" s="39">
        <f>Table43[[#This Row],[Harga Jual Pcs MT
(+PPN)]]*Table43[[#This Row],[ISI/CTN]]</f>
        <v>0</v>
      </c>
      <c r="AX115" s="47">
        <f>IFERROR((Table43[[#This Row],[Harga Jual Pcs GT
(-PPN)]]-Table43[[#This Row],[Harga Beli Pcs
(-PPN)]])/Table43[[#This Row],[Harga Jual Pcs GT
(-PPN)]],0)</f>
        <v>7.4099999999999902E-2</v>
      </c>
      <c r="AY115" s="51"/>
      <c r="AZ115" s="7"/>
      <c r="BA115" s="7" t="str">
        <f ca="1">IF(TODAY()-Table43[[#This Row],[Efektif
Pembuatan]]&gt;60,"Lama","Baru")</f>
        <v>Lama</v>
      </c>
      <c r="BB115" s="7" t="str">
        <f ca="1">IF(TODAY()-Table43[[#This Row],[Efektif Naik Harga]]&lt;30,"Naik","Sama")</f>
        <v>Sama</v>
      </c>
      <c r="BC115" s="7"/>
      <c r="BD115" s="7" t="str">
        <f>IF(Table43[[#This Row],[Kode BARANG Win2]]&lt;&gt;"","IDR","")</f>
        <v>IDR</v>
      </c>
      <c r="BE115" s="7" t="str">
        <f>CONCATENATE(Table43[[#This Row],[kode  1 Digit
(Nomor)]],Table43[[#This Row],[kode  4 Digit                (Nomor)]])</f>
        <v>0020</v>
      </c>
      <c r="BF115" s="7" t="str">
        <f>Table43[[#This Row],[Nama            Gramasi atau Jumlah Pack per CTN]]</f>
        <v>20ML</v>
      </c>
      <c r="BG115" s="7"/>
      <c r="BH115" s="7"/>
      <c r="BI115" s="4" t="str">
        <f>IF(Table43[[#This Row],[SATUAN Fix Win]]&lt;&gt;"","KRT")</f>
        <v>KRT</v>
      </c>
      <c r="BJ115" s="4" t="str">
        <f>IF(Table43[[#This Row],[SATUAN Fix Win]]&lt;&gt;"","GD01")</f>
        <v>GD01</v>
      </c>
      <c r="BK115" s="4">
        <f>IF(Table43[[#This Row],[SATUAN Fix Win]]&lt;&gt;"",11611)</f>
        <v>11611</v>
      </c>
      <c r="BL115" s="4">
        <f>IF(Table43[[#This Row],[SATUAN Fix Win]]&lt;&gt;"",11612)</f>
        <v>11612</v>
      </c>
      <c r="BM115" s="52"/>
      <c r="BN115" s="4">
        <f>IF(Table43[[#This Row],[SATUAN Fix Win]]&lt;&gt;"",1)</f>
        <v>1</v>
      </c>
    </row>
    <row r="116" spans="1:70" s="105" customFormat="1">
      <c r="A116" s="91" t="str">
        <f>CONCATENATE(Table43[[#This Row],[Kode BARANG Win2]],Table43[[#This Row],[No. Urut
Item Sama]])</f>
        <v>F40650010020201</v>
      </c>
      <c r="B116" s="92">
        <v>1</v>
      </c>
      <c r="C116" s="91">
        <v>162</v>
      </c>
      <c r="D116" s="93">
        <v>191702001</v>
      </c>
      <c r="E116" s="93" t="s">
        <v>628</v>
      </c>
      <c r="F116" s="93" t="s">
        <v>1219</v>
      </c>
      <c r="G116" s="93">
        <v>120</v>
      </c>
      <c r="H116" s="94" t="s">
        <v>1220</v>
      </c>
      <c r="I116" s="93" t="str">
        <f>Table43[[#This Row],[Nama Jenis Kemasan]]</f>
        <v>PCS</v>
      </c>
      <c r="J116" s="91" t="str">
        <f>TRIM(CONCATENATE(Table43[[#This Row],[Nama            KLP]]," ",Table43[[#This Row],[Nama            Sub KLP]]))</f>
        <v>SHINZUI FACIAL WSH</v>
      </c>
      <c r="K116" s="91" t="str">
        <f>CONCATENATE(Table43[[#This Row],[kode  2 Digit                (hrf+No)]],Table43[[#This Row],[kode  2 Digit                (Nomor)]],Table43[[#This Row],[kode  1 Digit                (Nomor)]])</f>
        <v>F4065</v>
      </c>
      <c r="L116" s="91" t="str">
        <f>IF(AG116="",CONCATENATE(Q116,S116,U116,W116,Y116,AA116,AC116,AE116,Table43[[#This Row],[Tanda Kode Revisi]]),CONCATENATE(Q116,S116,U116,W116,Y116,AA116,AC116,AG116))</f>
        <v>F4065001002020</v>
      </c>
      <c r="M116" s="95">
        <f t="shared" si="8"/>
        <v>14</v>
      </c>
      <c r="N116" s="96" t="str">
        <f>IF(AF116&lt;&gt;"",TRIM(UPPER(CONCATENATE(P116," ",R116," ",T116," ",V116," ",X116," ",Z116," ","X"," ",Table43[[#This Row],[ISI/CTN]]," ",AF116," ",AB116," ",AD116," ",AH116))),TRIM(UPPER(CONCATENATE(P116," ",R116," ",T116," ",V116," ",X116," ",Z116," ","X"," ",Table43[[#This Row],[ISI/CTN]]," ",AB116," ",AD116," ",AH116))))</f>
        <v>SHINZUI FACIAL WSH SNOW MSHRM 20ML X 120 PCS</v>
      </c>
      <c r="O116" s="95">
        <f t="shared" si="9"/>
        <v>44</v>
      </c>
      <c r="P116" s="91"/>
      <c r="Q116" s="92" t="s">
        <v>662</v>
      </c>
      <c r="R116" s="91" t="s">
        <v>680</v>
      </c>
      <c r="S116" s="97" t="s">
        <v>755</v>
      </c>
      <c r="T116" s="98" t="s">
        <v>783</v>
      </c>
      <c r="U116" s="92">
        <v>5</v>
      </c>
      <c r="V116" s="98"/>
      <c r="W116" s="97" t="s">
        <v>370</v>
      </c>
      <c r="X116" s="91" t="s">
        <v>784</v>
      </c>
      <c r="Y116" s="99" t="s">
        <v>749</v>
      </c>
      <c r="Z116" s="91" t="s">
        <v>717</v>
      </c>
      <c r="AA116" s="99" t="s">
        <v>746</v>
      </c>
      <c r="AB116" s="91" t="s">
        <v>187</v>
      </c>
      <c r="AC116" s="92">
        <v>2</v>
      </c>
      <c r="AD116" s="91"/>
      <c r="AE116" s="92">
        <v>0</v>
      </c>
      <c r="AF116" s="92"/>
      <c r="AG116" s="92"/>
      <c r="AH116" s="92"/>
      <c r="AI116" s="92"/>
      <c r="AJ116" s="92"/>
      <c r="AK116" s="92"/>
      <c r="AL116" s="100"/>
      <c r="AM116" s="101">
        <f>Table43[[#This Row],[Harga Beli Pcs
(-PPN)]]*Table43[[#This Row],[ISI/CTN]]</f>
        <v>0</v>
      </c>
      <c r="AN116" s="101">
        <f>Table43[[#This Row],[Harga Beli Pcs
(-PPN)]]*1.11</f>
        <v>0</v>
      </c>
      <c r="AO116" s="101">
        <f>Table43[[#This Row],[Harga Beli Krt
(- PPN)]]*1.11</f>
        <v>0</v>
      </c>
      <c r="AP116" s="101"/>
      <c r="AQ116" s="101">
        <f>Table43[[#This Row],[Harga Jual Pcs GT
(-PPN)]]*Table43[[#This Row],[ISI/CTN]]</f>
        <v>0</v>
      </c>
      <c r="AR116" s="101">
        <f>Table43[[#This Row],[Harga Jual Pcs GT
(-PPN)]]*1.11</f>
        <v>0</v>
      </c>
      <c r="AS116" s="101">
        <f>Table43[[#This Row],[Harga Jual Krt GT
(- PPN)]]*1.11</f>
        <v>0</v>
      </c>
      <c r="AT116" s="101"/>
      <c r="AU116" s="101">
        <f>Table43[[#This Row],[Harga Jual Pcs MT
(-PPN)]]*Table43[[#This Row],[ISI/CTN]]</f>
        <v>0</v>
      </c>
      <c r="AV116" s="101">
        <f>Table43[[#This Row],[Harga Jual Pcs MT
(-PPN)]]*1.11</f>
        <v>0</v>
      </c>
      <c r="AW116" s="101">
        <f>Table43[[#This Row],[Harga Jual Pcs MT
(+PPN)]]*Table43[[#This Row],[ISI/CTN]]</f>
        <v>0</v>
      </c>
      <c r="AX116" s="102">
        <f>IFERROR((Table43[[#This Row],[Harga Jual Pcs GT
(-PPN)]]-Table43[[#This Row],[Harga Beli Pcs
(-PPN)]])/Table43[[#This Row],[Harga Jual Pcs GT
(-PPN)]],0)</f>
        <v>0</v>
      </c>
      <c r="AY116" s="103"/>
      <c r="AZ116" s="92"/>
      <c r="BA116" s="92" t="str">
        <f ca="1">IF(TODAY()-Table43[[#This Row],[Efektif
Pembuatan]]&gt;60,"Lama","Baru")</f>
        <v>Lama</v>
      </c>
      <c r="BB116" s="92" t="str">
        <f ca="1">IF(TODAY()-Table43[[#This Row],[Efektif Naik Harga]]&lt;30,"Naik","Sama")</f>
        <v>Sama</v>
      </c>
      <c r="BC116" s="92"/>
      <c r="BD116" s="92" t="str">
        <f>IF(Table43[[#This Row],[Kode BARANG Win2]]&lt;&gt;"","IDR","")</f>
        <v>IDR</v>
      </c>
      <c r="BE116" s="92" t="str">
        <f>CONCATENATE(Table43[[#This Row],[kode  1 Digit
(Nomor)]],Table43[[#This Row],[kode  4 Digit                (Nomor)]])</f>
        <v>0020</v>
      </c>
      <c r="BF116" s="92" t="str">
        <f>Table43[[#This Row],[Nama            Gramasi atau Jumlah Pack per CTN]]</f>
        <v>20ML</v>
      </c>
      <c r="BG116" s="92"/>
      <c r="BH116" s="92"/>
      <c r="BI116" s="91" t="str">
        <f>IF(Table43[[#This Row],[SATUAN Fix Win]]&lt;&gt;"","KRT")</f>
        <v>KRT</v>
      </c>
      <c r="BJ116" s="91" t="str">
        <f>IF(Table43[[#This Row],[SATUAN Fix Win]]&lt;&gt;"","GD01")</f>
        <v>GD01</v>
      </c>
      <c r="BK116" s="91">
        <f>IF(Table43[[#This Row],[SATUAN Fix Win]]&lt;&gt;"",11611)</f>
        <v>11611</v>
      </c>
      <c r="BL116" s="91">
        <f>IF(Table43[[#This Row],[SATUAN Fix Win]]&lt;&gt;"",11612)</f>
        <v>11612</v>
      </c>
      <c r="BM116" s="104"/>
      <c r="BN116" s="91">
        <f>IF(Table43[[#This Row],[SATUAN Fix Win]]&lt;&gt;"",1)</f>
        <v>1</v>
      </c>
      <c r="BO116" s="91"/>
      <c r="BP116" s="91"/>
      <c r="BQ116" s="91"/>
      <c r="BR116" s="91"/>
    </row>
    <row r="117" spans="1:70" s="126" customFormat="1">
      <c r="A117" s="111" t="str">
        <f>CONCATENATE(Table43[[#This Row],[Kode BARANG Win2]],Table43[[#This Row],[No. Urut
Item Sama]])</f>
        <v>F40650010020202</v>
      </c>
      <c r="B117" s="112">
        <v>2</v>
      </c>
      <c r="C117" s="111">
        <v>172</v>
      </c>
      <c r="D117" s="113">
        <v>191702003</v>
      </c>
      <c r="E117" s="113" t="s">
        <v>628</v>
      </c>
      <c r="F117" s="113" t="s">
        <v>1344</v>
      </c>
      <c r="G117" s="113">
        <v>120</v>
      </c>
      <c r="H117" s="115"/>
      <c r="I117" s="113" t="str">
        <f>Table43[[#This Row],[Nama Jenis Kemasan]]</f>
        <v>PCS</v>
      </c>
      <c r="J117" s="111" t="str">
        <f>TRIM(CONCATENATE(Table43[[#This Row],[Nama            KLP]]," ",Table43[[#This Row],[Nama            Sub KLP]]))</f>
        <v>SHINZUI FACIAL WSH</v>
      </c>
      <c r="K117" s="111" t="str">
        <f>CONCATENATE(Table43[[#This Row],[kode  2 Digit                (hrf+No)]],Table43[[#This Row],[kode  2 Digit                (Nomor)]],Table43[[#This Row],[kode  1 Digit                (Nomor)]])</f>
        <v>F4065</v>
      </c>
      <c r="L117" s="111" t="str">
        <f>IF(AG117="",CONCATENATE(Q117,S117,U117,W117,Y117,AA117,AC117,AE117,Table43[[#This Row],[Tanda Kode Revisi]]),CONCATENATE(Q117,S117,U117,W117,Y117,AA117,AC117,AG117))</f>
        <v>F4065001002020</v>
      </c>
      <c r="M117" s="116">
        <f>LEN(L117)</f>
        <v>14</v>
      </c>
      <c r="N117" s="117" t="str">
        <f>IF(AF117&lt;&gt;"",TRIM(UPPER(CONCATENATE(P117," ",R117," ",T117," ",V117," ",X117," ",Z117," ","X"," ",Table43[[#This Row],[ISI/CTN]]," ",AF117," ",AB117," ",AD117," ",AH117))),TRIM(UPPER(CONCATENATE(P117," ",R117," ",T117," ",V117," ",X117," ",Z117," ","X"," ",Table43[[#This Row],[ISI/CTN]]," ",AB117," ",AD117," ",AH117))))</f>
        <v>SHINZUI FACIAL WSH SNOW MSHRM 20ML X 120 PCS</v>
      </c>
      <c r="O117" s="116">
        <f>LEN(N117)</f>
        <v>44</v>
      </c>
      <c r="P117" s="111"/>
      <c r="Q117" s="112" t="s">
        <v>662</v>
      </c>
      <c r="R117" s="111" t="s">
        <v>680</v>
      </c>
      <c r="S117" s="118" t="s">
        <v>755</v>
      </c>
      <c r="T117" s="119" t="s">
        <v>783</v>
      </c>
      <c r="U117" s="112">
        <v>5</v>
      </c>
      <c r="V117" s="119"/>
      <c r="W117" s="118" t="s">
        <v>370</v>
      </c>
      <c r="X117" s="111" t="s">
        <v>784</v>
      </c>
      <c r="Y117" s="120" t="s">
        <v>749</v>
      </c>
      <c r="Z117" s="111" t="s">
        <v>717</v>
      </c>
      <c r="AA117" s="120" t="s">
        <v>746</v>
      </c>
      <c r="AB117" s="111" t="s">
        <v>187</v>
      </c>
      <c r="AC117" s="112">
        <v>2</v>
      </c>
      <c r="AD117" s="111"/>
      <c r="AE117" s="112">
        <v>0</v>
      </c>
      <c r="AF117" s="112"/>
      <c r="AG117" s="112"/>
      <c r="AH117" s="112"/>
      <c r="AI117" s="112"/>
      <c r="AJ117" s="112"/>
      <c r="AK117" s="112"/>
      <c r="AL117" s="121"/>
      <c r="AM117" s="122">
        <f>Table43[[#This Row],[Harga Beli Pcs
(-PPN)]]*Table43[[#This Row],[ISI/CTN]]</f>
        <v>0</v>
      </c>
      <c r="AN117" s="122">
        <f>Table43[[#This Row],[Harga Beli Pcs
(-PPN)]]*1.11</f>
        <v>0</v>
      </c>
      <c r="AO117" s="122">
        <f>Table43[[#This Row],[Harga Beli Krt
(- PPN)]]*1.11</f>
        <v>0</v>
      </c>
      <c r="AP117" s="122"/>
      <c r="AQ117" s="122">
        <f>Table43[[#This Row],[Harga Jual Pcs GT
(-PPN)]]*Table43[[#This Row],[ISI/CTN]]</f>
        <v>0</v>
      </c>
      <c r="AR117" s="122">
        <f>Table43[[#This Row],[Harga Jual Pcs GT
(-PPN)]]*1.11</f>
        <v>0</v>
      </c>
      <c r="AS117" s="122">
        <f>Table43[[#This Row],[Harga Jual Krt GT
(- PPN)]]*1.11</f>
        <v>0</v>
      </c>
      <c r="AT117" s="122"/>
      <c r="AU117" s="122">
        <f>Table43[[#This Row],[Harga Jual Pcs MT
(-PPN)]]*Table43[[#This Row],[ISI/CTN]]</f>
        <v>0</v>
      </c>
      <c r="AV117" s="122">
        <f>Table43[[#This Row],[Harga Jual Pcs MT
(-PPN)]]*1.11</f>
        <v>0</v>
      </c>
      <c r="AW117" s="122">
        <f>Table43[[#This Row],[Harga Jual Pcs MT
(+PPN)]]*Table43[[#This Row],[ISI/CTN]]</f>
        <v>0</v>
      </c>
      <c r="AX117" s="123">
        <f>IFERROR((Table43[[#This Row],[Harga Jual Pcs GT
(-PPN)]]-Table43[[#This Row],[Harga Beli Pcs
(-PPN)]])/Table43[[#This Row],[Harga Jual Pcs GT
(-PPN)]],0)</f>
        <v>0</v>
      </c>
      <c r="AY117" s="124"/>
      <c r="AZ117" s="112"/>
      <c r="BA117" s="112" t="str">
        <f ca="1">IF(TODAY()-Table43[[#This Row],[Efektif
Pembuatan]]&gt;60,"Lama","Baru")</f>
        <v>Lama</v>
      </c>
      <c r="BB117" s="112" t="str">
        <f ca="1">IF(TODAY()-Table43[[#This Row],[Efektif Naik Harga]]&lt;30,"Naik","Sama")</f>
        <v>Sama</v>
      </c>
      <c r="BC117" s="112"/>
      <c r="BD117" s="112" t="str">
        <f>IF(Table43[[#This Row],[Kode BARANG Win2]]&lt;&gt;"","IDR","")</f>
        <v>IDR</v>
      </c>
      <c r="BE117" s="112" t="str">
        <f>CONCATENATE(Table43[[#This Row],[kode  1 Digit
(Nomor)]],Table43[[#This Row],[kode  4 Digit                (Nomor)]])</f>
        <v>0020</v>
      </c>
      <c r="BF117" s="112" t="str">
        <f>Table43[[#This Row],[Nama            Gramasi atau Jumlah Pack per CTN]]</f>
        <v>20ML</v>
      </c>
      <c r="BG117" s="112"/>
      <c r="BH117" s="112"/>
      <c r="BI117" s="111" t="str">
        <f>IF(Table43[[#This Row],[SATUAN Fix Win]]&lt;&gt;"","KRT")</f>
        <v>KRT</v>
      </c>
      <c r="BJ117" s="111" t="str">
        <f>IF(Table43[[#This Row],[SATUAN Fix Win]]&lt;&gt;"","GD01")</f>
        <v>GD01</v>
      </c>
      <c r="BK117" s="111">
        <f>IF(Table43[[#This Row],[SATUAN Fix Win]]&lt;&gt;"",11611)</f>
        <v>11611</v>
      </c>
      <c r="BL117" s="111">
        <f>IF(Table43[[#This Row],[SATUAN Fix Win]]&lt;&gt;"",11612)</f>
        <v>11612</v>
      </c>
      <c r="BM117" s="125"/>
      <c r="BN117" s="111">
        <f>IF(Table43[[#This Row],[SATUAN Fix Win]]&lt;&gt;"",1)</f>
        <v>1</v>
      </c>
      <c r="BO117" s="111"/>
      <c r="BP117" s="111"/>
      <c r="BQ117" s="111"/>
      <c r="BR117" s="111"/>
    </row>
    <row r="118" spans="1:70" s="126" customFormat="1">
      <c r="A118" s="111" t="str">
        <f>CONCATENATE(Table43[[#This Row],[Kode BARANG Win2]],Table43[[#This Row],[No. Urut
Item Sama]])</f>
        <v>F40650040080201</v>
      </c>
      <c r="B118" s="112">
        <v>1</v>
      </c>
      <c r="C118" s="111"/>
      <c r="D118" s="113">
        <v>191701700</v>
      </c>
      <c r="E118" s="113" t="s">
        <v>628</v>
      </c>
      <c r="F118" s="114" t="s">
        <v>1280</v>
      </c>
      <c r="G118" s="113">
        <v>48</v>
      </c>
      <c r="H118" s="115"/>
      <c r="I118" s="113" t="str">
        <f>Table43[[#This Row],[Nama Jenis Kemasan]]</f>
        <v>PCS</v>
      </c>
      <c r="J118" s="111" t="s">
        <v>1044</v>
      </c>
      <c r="K118" s="111" t="str">
        <f>CONCATENATE(Table43[[#This Row],[kode  2 Digit                (hrf+No)]],Table43[[#This Row],[kode  2 Digit                (Nomor)]],Table43[[#This Row],[kode  1 Digit                (Nomor)]])</f>
        <v>F4065</v>
      </c>
      <c r="L118" s="111" t="str">
        <f>IF(AG118="",CONCATENATE(Q118,S118,U118,W118,Y118,AA118,AC118,AE118,Table43[[#This Row],[Tanda Kode Revisi]]),CONCATENATE(Q118,S118,U118,W118,Y118,AA118,AC118,AG118))</f>
        <v>F4065004008020</v>
      </c>
      <c r="M118" s="116">
        <f>LEN(L118)</f>
        <v>14</v>
      </c>
      <c r="N118" s="117" t="str">
        <f>IF(AF118&lt;&gt;"",TRIM(UPPER(CONCATENATE(P118," ",R118," ",T118," ",V118," ",X118," ",Z118," ","X"," ",Table43[[#This Row],[ISI/CTN]]," ",AF118," ",AB118," ",AD118," ",AH118))),TRIM(UPPER(CONCATENATE(P118," ",R118," ",T118," ",V118," ",X118," ",Z118," ","X"," ",Table43[[#This Row],[ISI/CTN]]," ",AB118," ",AD118," ",AH118))))</f>
        <v>SHINZUI FACIAL WSH ANTI ACNE 80ML X 48 PCS</v>
      </c>
      <c r="O118" s="116">
        <f>LEN(N118)</f>
        <v>42</v>
      </c>
      <c r="P118" s="111"/>
      <c r="Q118" s="112" t="s">
        <v>662</v>
      </c>
      <c r="R118" s="111" t="s">
        <v>680</v>
      </c>
      <c r="S118" s="118" t="s">
        <v>755</v>
      </c>
      <c r="T118" s="119" t="s">
        <v>783</v>
      </c>
      <c r="U118" s="112">
        <v>5</v>
      </c>
      <c r="V118" s="119"/>
      <c r="W118" s="118" t="s">
        <v>370</v>
      </c>
      <c r="X118" s="111" t="s">
        <v>1281</v>
      </c>
      <c r="Y118" s="120" t="s">
        <v>753</v>
      </c>
      <c r="Z118" s="111" t="s">
        <v>719</v>
      </c>
      <c r="AA118" s="120" t="s">
        <v>765</v>
      </c>
      <c r="AB118" s="111" t="s">
        <v>187</v>
      </c>
      <c r="AC118" s="112">
        <v>2</v>
      </c>
      <c r="AD118" s="111"/>
      <c r="AE118" s="112">
        <v>0</v>
      </c>
      <c r="AF118" s="112"/>
      <c r="AG118" s="112"/>
      <c r="AH118" s="112"/>
      <c r="AI118" s="112" t="s">
        <v>179</v>
      </c>
      <c r="AJ118" s="112">
        <v>1</v>
      </c>
      <c r="AK118" s="112"/>
      <c r="AL118" s="121"/>
      <c r="AM118" s="122">
        <f>Table43[[#This Row],[Harga Beli Pcs
(-PPN)]]*Table43[[#This Row],[ISI/CTN]]</f>
        <v>0</v>
      </c>
      <c r="AN118" s="122">
        <f>Table43[[#This Row],[Harga Beli Pcs
(-PPN)]]*1.11</f>
        <v>0</v>
      </c>
      <c r="AO118" s="122">
        <f>Table43[[#This Row],[Harga Beli Krt
(- PPN)]]*1.11</f>
        <v>0</v>
      </c>
      <c r="AP118" s="122"/>
      <c r="AQ118" s="122">
        <f>Table43[[#This Row],[Harga Jual Pcs GT
(-PPN)]]*Table43[[#This Row],[ISI/CTN]]</f>
        <v>0</v>
      </c>
      <c r="AR118" s="122">
        <f>Table43[[#This Row],[Harga Jual Pcs GT
(-PPN)]]*1.11</f>
        <v>0</v>
      </c>
      <c r="AS118" s="122">
        <f>Table43[[#This Row],[Harga Jual Krt GT
(- PPN)]]*1.11</f>
        <v>0</v>
      </c>
      <c r="AT118" s="122"/>
      <c r="AU118" s="122">
        <f>Table43[[#This Row],[Harga Jual Pcs MT
(-PPN)]]*Table43[[#This Row],[ISI/CTN]]</f>
        <v>0</v>
      </c>
      <c r="AV118" s="122">
        <f>Table43[[#This Row],[Harga Jual Pcs MT
(-PPN)]]*1.11</f>
        <v>0</v>
      </c>
      <c r="AW118" s="122">
        <f>Table43[[#This Row],[Harga Jual Pcs MT
(+PPN)]]*Table43[[#This Row],[ISI/CTN]]</f>
        <v>0</v>
      </c>
      <c r="AX118" s="123">
        <f>IFERROR((Table43[[#This Row],[Harga Jual Pcs GT
(-PPN)]]-Table43[[#This Row],[Harga Beli Pcs
(-PPN)]])/Table43[[#This Row],[Harga Jual Pcs GT
(-PPN)]],0)</f>
        <v>0</v>
      </c>
      <c r="AY118" s="124"/>
      <c r="AZ118" s="112"/>
      <c r="BA118" s="112" t="str">
        <f ca="1">IF(TODAY()-Table43[[#This Row],[Efektif
Pembuatan]]&gt;60,"Lama","Baru")</f>
        <v>Lama</v>
      </c>
      <c r="BB118" s="112" t="str">
        <f ca="1">IF(TODAY()-Table43[[#This Row],[Efektif Naik Harga]]&lt;30,"Naik","Sama")</f>
        <v>Sama</v>
      </c>
      <c r="BC118" s="112"/>
      <c r="BD118" s="112" t="str">
        <f>IF(Table43[[#This Row],[Kode BARANG Win2]]&lt;&gt;"","IDR","")</f>
        <v>IDR</v>
      </c>
      <c r="BE118" s="112" t="str">
        <f>CONCATENATE(Table43[[#This Row],[kode  1 Digit
(Nomor)]],Table43[[#This Row],[kode  4 Digit                (Nomor)]])</f>
        <v>10080</v>
      </c>
      <c r="BF118" s="112" t="str">
        <f>Table43[[#This Row],[Nama            Gramasi atau Jumlah Pack per CTN]]</f>
        <v>80ML</v>
      </c>
      <c r="BG118" s="112"/>
      <c r="BH118" s="112"/>
      <c r="BI118" s="111" t="str">
        <f>IF(Table43[[#This Row],[SATUAN Fix Win]]&lt;&gt;"","KRT")</f>
        <v>KRT</v>
      </c>
      <c r="BJ118" s="111" t="str">
        <f>IF(Table43[[#This Row],[SATUAN Fix Win]]&lt;&gt;"","GD01")</f>
        <v>GD01</v>
      </c>
      <c r="BK118" s="111">
        <f>IF(Table43[[#This Row],[SATUAN Fix Win]]&lt;&gt;"",11611)</f>
        <v>11611</v>
      </c>
      <c r="BL118" s="111">
        <f>IF(Table43[[#This Row],[SATUAN Fix Win]]&lt;&gt;"",11612)</f>
        <v>11612</v>
      </c>
      <c r="BM118" s="125"/>
      <c r="BN118" s="111">
        <f>IF(Table43[[#This Row],[SATUAN Fix Win]]&lt;&gt;"",1)</f>
        <v>1</v>
      </c>
      <c r="BO118" s="111"/>
      <c r="BP118" s="111"/>
      <c r="BQ118" s="111"/>
      <c r="BR118" s="111"/>
    </row>
    <row r="119" spans="1:70">
      <c r="A119" s="4" t="str">
        <f>CONCATENATE(Table43[[#This Row],[Kode BARANG Win2]],Table43[[#This Row],[No. Urut
Item Sama]])</f>
        <v>F40660010080101</v>
      </c>
      <c r="B119" s="7">
        <v>1</v>
      </c>
      <c r="C119" s="4">
        <v>93</v>
      </c>
      <c r="D119" s="27" t="s">
        <v>394</v>
      </c>
      <c r="E119" s="27" t="s">
        <v>628</v>
      </c>
      <c r="F119" s="27" t="s">
        <v>515</v>
      </c>
      <c r="G119" s="27">
        <v>144</v>
      </c>
      <c r="H119" s="54">
        <v>8992945512223</v>
      </c>
      <c r="I119" s="27" t="str">
        <f>Table43[[#This Row],[Nama Jenis Kemasan]]</f>
        <v>PCS</v>
      </c>
      <c r="J119" s="4" t="str">
        <f>TRIM(CONCATENATE(Table43[[#This Row],[Nama            KLP]]," ",Table43[[#This Row],[Nama            Sub KLP]]))</f>
        <v>SHINZUI SABUN</v>
      </c>
      <c r="K119" s="4" t="str">
        <f>CONCATENATE(Table43[[#This Row],[kode  2 Digit                (hrf+No)]],Table43[[#This Row],[kode  2 Digit                (Nomor)]],Table43[[#This Row],[kode  1 Digit                (Nomor)]])</f>
        <v>F4066</v>
      </c>
      <c r="L119" s="4" t="str">
        <f>IF(AG119="",CONCATENATE(Q119,S119,U119,W119,Y119,AA119,AC119,AE119,Table43[[#This Row],[Tanda Kode Revisi]]),CONCATENATE(Q119,S119,U119,W119,Y119,AA119,AC119,AG119))</f>
        <v>F4066001008010</v>
      </c>
      <c r="M119" s="11">
        <f t="shared" si="8"/>
        <v>14</v>
      </c>
      <c r="N119" s="14" t="str">
        <f>IF(AF119&lt;&gt;"",TRIM(UPPER(CONCATENATE(P119," ",R119," ",T119," ",V119," ",X119," ",Z119," ","X"," ",Table43[[#This Row],[ISI/CTN]]," ",AF119," ",AB119," ",AD119," ",AH119))),TRIM(UPPER(CONCATENATE(P119," ",R119," ",T119," ",V119," ",X119," ",Z119," ","X"," ",Table43[[#This Row],[ISI/CTN]]," ",AB119," ",AD119," ",AH119))))</f>
        <v>SHINZUI SABUN HANA 80G X 144 PCS</v>
      </c>
      <c r="O119" s="11">
        <f t="shared" si="9"/>
        <v>32</v>
      </c>
      <c r="Q119" s="7" t="s">
        <v>662</v>
      </c>
      <c r="R119" s="4" t="s">
        <v>680</v>
      </c>
      <c r="S119" s="48" t="s">
        <v>755</v>
      </c>
      <c r="T119" s="49" t="s">
        <v>665</v>
      </c>
      <c r="U119" s="7">
        <v>6</v>
      </c>
      <c r="V119" s="49"/>
      <c r="W119" s="48" t="s">
        <v>370</v>
      </c>
      <c r="X119" s="4" t="s">
        <v>682</v>
      </c>
      <c r="Y119" s="50" t="s">
        <v>749</v>
      </c>
      <c r="Z119" s="4" t="s">
        <v>770</v>
      </c>
      <c r="AA119" s="50" t="s">
        <v>765</v>
      </c>
      <c r="AB119" s="4" t="s">
        <v>187</v>
      </c>
      <c r="AC119" s="7">
        <v>1</v>
      </c>
      <c r="AE119" s="7">
        <v>0</v>
      </c>
      <c r="AI119" s="7" t="s">
        <v>179</v>
      </c>
      <c r="AJ119" s="7">
        <v>1</v>
      </c>
      <c r="AL119" s="38">
        <v>3586.8198198198197</v>
      </c>
      <c r="AM119" s="39">
        <f>Table43[[#This Row],[Harga Beli Pcs
(-PPN)]]*Table43[[#This Row],[ISI/CTN]]</f>
        <v>516502.05405405402</v>
      </c>
      <c r="AN119" s="39">
        <f>Table43[[#This Row],[Harga Beli Pcs
(-PPN)]]*1.11</f>
        <v>3981.3700000000003</v>
      </c>
      <c r="AO119" s="39">
        <f>Table43[[#This Row],[Harga Beli Krt
(- PPN)]]*1.11</f>
        <v>573317.28</v>
      </c>
      <c r="AP119" s="39">
        <v>3873.8738738738734</v>
      </c>
      <c r="AQ119" s="39">
        <f>Table43[[#This Row],[Harga Jual Pcs GT
(-PPN)]]*Table43[[#This Row],[ISI/CTN]]</f>
        <v>557837.83783783775</v>
      </c>
      <c r="AR119" s="39">
        <f>Table43[[#This Row],[Harga Jual Pcs GT
(-PPN)]]*1.11</f>
        <v>4300</v>
      </c>
      <c r="AS119" s="39">
        <f>Table43[[#This Row],[Harga Jual Krt GT
(- PPN)]]*1.11</f>
        <v>619200</v>
      </c>
      <c r="AT119" s="39"/>
      <c r="AU119" s="39">
        <f>Table43[[#This Row],[Harga Jual Pcs MT
(-PPN)]]*Table43[[#This Row],[ISI/CTN]]</f>
        <v>0</v>
      </c>
      <c r="AV119" s="39">
        <f>Table43[[#This Row],[Harga Jual Pcs MT
(-PPN)]]*1.11</f>
        <v>0</v>
      </c>
      <c r="AW119" s="39">
        <f>Table43[[#This Row],[Harga Jual Pcs MT
(+PPN)]]*Table43[[#This Row],[ISI/CTN]]</f>
        <v>0</v>
      </c>
      <c r="AX119" s="47">
        <f>IFERROR((Table43[[#This Row],[Harga Jual Pcs GT
(-PPN)]]-Table43[[#This Row],[Harga Beli Pcs
(-PPN)]])/Table43[[#This Row],[Harga Jual Pcs GT
(-PPN)]],0)</f>
        <v>7.4099999999999916E-2</v>
      </c>
      <c r="AY119" s="51">
        <v>45848</v>
      </c>
      <c r="AZ119" s="7"/>
      <c r="BA119" s="7" t="str">
        <f ca="1">IF(TODAY()-Table43[[#This Row],[Efektif
Pembuatan]]&gt;60,"Lama","Baru")</f>
        <v>Lama</v>
      </c>
      <c r="BB119" s="7" t="str">
        <f ca="1">IF(TODAY()-Table43[[#This Row],[Efektif Naik Harga]]&lt;30,"Naik","Sama")</f>
        <v>Sama</v>
      </c>
      <c r="BC119" s="7" t="s">
        <v>185</v>
      </c>
      <c r="BD119" s="7" t="str">
        <f>IF(Table43[[#This Row],[Kode BARANG Win2]]&lt;&gt;"","IDR","")</f>
        <v>IDR</v>
      </c>
      <c r="BE119" s="7" t="str">
        <f>CONCATENATE(Table43[[#This Row],[kode  1 Digit
(Nomor)]],Table43[[#This Row],[kode  4 Digit                (Nomor)]])</f>
        <v>10080</v>
      </c>
      <c r="BF119" s="7" t="str">
        <f>Table43[[#This Row],[Nama            Gramasi atau Jumlah Pack per CTN]]</f>
        <v>80G</v>
      </c>
      <c r="BG119" s="7" t="s">
        <v>1060</v>
      </c>
      <c r="BH119" s="7" t="s">
        <v>377</v>
      </c>
      <c r="BI119" s="4" t="str">
        <f>IF(Table43[[#This Row],[SATUAN Fix Win]]&lt;&gt;"","KRT")</f>
        <v>KRT</v>
      </c>
      <c r="BJ119" s="4" t="str">
        <f>IF(Table43[[#This Row],[SATUAN Fix Win]]&lt;&gt;"","GD01")</f>
        <v>GD01</v>
      </c>
      <c r="BK119" s="4">
        <f>IF(Table43[[#This Row],[SATUAN Fix Win]]&lt;&gt;"",11611)</f>
        <v>11611</v>
      </c>
      <c r="BL119" s="4">
        <f>IF(Table43[[#This Row],[SATUAN Fix Win]]&lt;&gt;"",11612)</f>
        <v>11612</v>
      </c>
      <c r="BM119" s="52" t="s">
        <v>378</v>
      </c>
      <c r="BN119" s="4">
        <f>IF(Table43[[#This Row],[SATUAN Fix Win]]&lt;&gt;"",1)</f>
        <v>1</v>
      </c>
      <c r="BO119" s="4" t="s">
        <v>637</v>
      </c>
    </row>
    <row r="120" spans="1:70">
      <c r="A120" s="4" t="str">
        <f>CONCATENATE(Table43[[#This Row],[Kode BARANG Win2]],Table43[[#This Row],[No. Urut
Item Sama]])</f>
        <v>F40660020080101</v>
      </c>
      <c r="B120" s="7">
        <v>1</v>
      </c>
      <c r="C120" s="4">
        <v>94</v>
      </c>
      <c r="D120" s="27" t="s">
        <v>398</v>
      </c>
      <c r="E120" s="27" t="s">
        <v>628</v>
      </c>
      <c r="F120" s="27" t="s">
        <v>519</v>
      </c>
      <c r="G120" s="27">
        <v>144</v>
      </c>
      <c r="H120" s="54">
        <v>8992946521836</v>
      </c>
      <c r="I120" s="27" t="str">
        <f>Table43[[#This Row],[Nama Jenis Kemasan]]</f>
        <v>PCS</v>
      </c>
      <c r="J120" s="4" t="str">
        <f>TRIM(CONCATENATE(Table43[[#This Row],[Nama            KLP]]," ",Table43[[#This Row],[Nama            Sub KLP]]))</f>
        <v>SHINZUI SABUN</v>
      </c>
      <c r="K120" s="4" t="str">
        <f>CONCATENATE(Table43[[#This Row],[kode  2 Digit                (hrf+No)]],Table43[[#This Row],[kode  2 Digit                (Nomor)]],Table43[[#This Row],[kode  1 Digit                (Nomor)]])</f>
        <v>F4066</v>
      </c>
      <c r="L120" s="4" t="str">
        <f>IF(AG120="",CONCATENATE(Q120,S120,U120,W120,Y120,AA120,AC120,AE120,Table43[[#This Row],[Tanda Kode Revisi]]),CONCATENATE(Q120,S120,U120,W120,Y120,AA120,AC120,AG120))</f>
        <v>F4066002008010</v>
      </c>
      <c r="M120" s="11">
        <f t="shared" si="8"/>
        <v>14</v>
      </c>
      <c r="N120" s="14" t="str">
        <f>IF(AF120&lt;&gt;"",TRIM(UPPER(CONCATENATE(P120," ",R120," ",T120," ",V120," ",X120," ",Z120," ","X"," ",Table43[[#This Row],[ISI/CTN]]," ",AF120," ",AB120," ",AD120," ",AH120))),TRIM(UPPER(CONCATENATE(P120," ",R120," ",T120," ",V120," ",X120," ",Z120," ","X"," ",Table43[[#This Row],[ISI/CTN]]," ",AB120," ",AD120," ",AH120))))</f>
        <v>SHINZUI SABUN KENSHO 80G X 144 PCS</v>
      </c>
      <c r="O120" s="11">
        <f t="shared" si="9"/>
        <v>34</v>
      </c>
      <c r="Q120" s="7" t="s">
        <v>662</v>
      </c>
      <c r="R120" s="4" t="s">
        <v>680</v>
      </c>
      <c r="S120" s="48" t="s">
        <v>755</v>
      </c>
      <c r="T120" s="49" t="s">
        <v>665</v>
      </c>
      <c r="U120" s="7">
        <v>6</v>
      </c>
      <c r="V120" s="49"/>
      <c r="W120" s="48" t="s">
        <v>370</v>
      </c>
      <c r="X120" s="4" t="s">
        <v>694</v>
      </c>
      <c r="Y120" s="50" t="s">
        <v>751</v>
      </c>
      <c r="Z120" s="4" t="s">
        <v>770</v>
      </c>
      <c r="AA120" s="50" t="s">
        <v>765</v>
      </c>
      <c r="AB120" s="4" t="s">
        <v>187</v>
      </c>
      <c r="AC120" s="7">
        <v>1</v>
      </c>
      <c r="AE120" s="7">
        <v>0</v>
      </c>
      <c r="AI120" s="7" t="s">
        <v>179</v>
      </c>
      <c r="AJ120" s="7">
        <v>1</v>
      </c>
      <c r="AL120" s="38">
        <v>3586.8198198198197</v>
      </c>
      <c r="AM120" s="39">
        <f>Table43[[#This Row],[Harga Beli Pcs
(-PPN)]]*Table43[[#This Row],[ISI/CTN]]</f>
        <v>516502.05405405402</v>
      </c>
      <c r="AN120" s="39">
        <f>Table43[[#This Row],[Harga Beli Pcs
(-PPN)]]*1.11</f>
        <v>3981.3700000000003</v>
      </c>
      <c r="AO120" s="39">
        <f>Table43[[#This Row],[Harga Beli Krt
(- PPN)]]*1.11</f>
        <v>573317.28</v>
      </c>
      <c r="AP120" s="39">
        <v>3873.8738738738734</v>
      </c>
      <c r="AQ120" s="39">
        <f>Table43[[#This Row],[Harga Jual Pcs GT
(-PPN)]]*Table43[[#This Row],[ISI/CTN]]</f>
        <v>557837.83783783775</v>
      </c>
      <c r="AR120" s="39">
        <f>Table43[[#This Row],[Harga Jual Pcs GT
(-PPN)]]*1.11</f>
        <v>4300</v>
      </c>
      <c r="AS120" s="39">
        <f>Table43[[#This Row],[Harga Jual Krt GT
(- PPN)]]*1.11</f>
        <v>619200</v>
      </c>
      <c r="AT120" s="39"/>
      <c r="AU120" s="39">
        <f>Table43[[#This Row],[Harga Jual Pcs MT
(-PPN)]]*Table43[[#This Row],[ISI/CTN]]</f>
        <v>0</v>
      </c>
      <c r="AV120" s="39">
        <f>Table43[[#This Row],[Harga Jual Pcs MT
(-PPN)]]*1.11</f>
        <v>0</v>
      </c>
      <c r="AW120" s="39">
        <f>Table43[[#This Row],[Harga Jual Pcs MT
(+PPN)]]*Table43[[#This Row],[ISI/CTN]]</f>
        <v>0</v>
      </c>
      <c r="AX120" s="47">
        <f>IFERROR((Table43[[#This Row],[Harga Jual Pcs GT
(-PPN)]]-Table43[[#This Row],[Harga Beli Pcs
(-PPN)]])/Table43[[#This Row],[Harga Jual Pcs GT
(-PPN)]],0)</f>
        <v>7.4099999999999916E-2</v>
      </c>
      <c r="AY120" s="51">
        <v>45848</v>
      </c>
      <c r="AZ120" s="7"/>
      <c r="BA120" s="7" t="str">
        <f ca="1">IF(TODAY()-Table43[[#This Row],[Efektif
Pembuatan]]&gt;60,"Lama","Baru")</f>
        <v>Lama</v>
      </c>
      <c r="BB120" s="7" t="str">
        <f ca="1">IF(TODAY()-Table43[[#This Row],[Efektif Naik Harga]]&lt;30,"Naik","Sama")</f>
        <v>Sama</v>
      </c>
      <c r="BC120" s="7" t="s">
        <v>185</v>
      </c>
      <c r="BD120" s="7" t="str">
        <f>IF(Table43[[#This Row],[Kode BARANG Win2]]&lt;&gt;"","IDR","")</f>
        <v>IDR</v>
      </c>
      <c r="BE120" s="7" t="str">
        <f>CONCATENATE(Table43[[#This Row],[kode  1 Digit
(Nomor)]],Table43[[#This Row],[kode  4 Digit                (Nomor)]])</f>
        <v>10080</v>
      </c>
      <c r="BF120" s="7" t="str">
        <f>Table43[[#This Row],[Nama            Gramasi atau Jumlah Pack per CTN]]</f>
        <v>80G</v>
      </c>
      <c r="BG120" s="7" t="s">
        <v>1060</v>
      </c>
      <c r="BH120" s="7" t="s">
        <v>377</v>
      </c>
      <c r="BI120" s="4" t="str">
        <f>IF(Table43[[#This Row],[SATUAN Fix Win]]&lt;&gt;"","KRT")</f>
        <v>KRT</v>
      </c>
      <c r="BJ120" s="4" t="str">
        <f>IF(Table43[[#This Row],[SATUAN Fix Win]]&lt;&gt;"","GD01")</f>
        <v>GD01</v>
      </c>
      <c r="BK120" s="4">
        <f>IF(Table43[[#This Row],[SATUAN Fix Win]]&lt;&gt;"",11611)</f>
        <v>11611</v>
      </c>
      <c r="BL120" s="4">
        <f>IF(Table43[[#This Row],[SATUAN Fix Win]]&lt;&gt;"",11612)</f>
        <v>11612</v>
      </c>
      <c r="BM120" s="52" t="s">
        <v>378</v>
      </c>
      <c r="BN120" s="4">
        <f>IF(Table43[[#This Row],[SATUAN Fix Win]]&lt;&gt;"",1)</f>
        <v>1</v>
      </c>
      <c r="BO120" s="4" t="s">
        <v>637</v>
      </c>
    </row>
    <row r="121" spans="1:70">
      <c r="A121" s="4" t="str">
        <f>CONCATENATE(Table43[[#This Row],[Kode BARANG Win2]],Table43[[#This Row],[No. Urut
Item Sama]])</f>
        <v>F40660030080101</v>
      </c>
      <c r="B121" s="7">
        <v>1</v>
      </c>
      <c r="C121" s="4">
        <v>95</v>
      </c>
      <c r="D121" s="27" t="s">
        <v>395</v>
      </c>
      <c r="E121" s="27" t="s">
        <v>628</v>
      </c>
      <c r="F121" s="27" t="s">
        <v>516</v>
      </c>
      <c r="G121" s="27">
        <v>144</v>
      </c>
      <c r="H121" s="54">
        <v>8992946512285</v>
      </c>
      <c r="I121" s="27" t="str">
        <f>Table43[[#This Row],[Nama Jenis Kemasan]]</f>
        <v>PCS</v>
      </c>
      <c r="J121" s="4" t="str">
        <f>TRIM(CONCATENATE(Table43[[#This Row],[Nama            KLP]]," ",Table43[[#This Row],[Nama            Sub KLP]]))</f>
        <v>SHINZUI SABUN</v>
      </c>
      <c r="K121" s="4" t="str">
        <f>CONCATENATE(Table43[[#This Row],[kode  2 Digit                (hrf+No)]],Table43[[#This Row],[kode  2 Digit                (Nomor)]],Table43[[#This Row],[kode  1 Digit                (Nomor)]])</f>
        <v>F4066</v>
      </c>
      <c r="L121" s="4" t="str">
        <f>IF(AG121="",CONCATENATE(Q121,S121,U121,W121,Y121,AA121,AC121,AE121,Table43[[#This Row],[Tanda Kode Revisi]]),CONCATENATE(Q121,S121,U121,W121,Y121,AA121,AC121,AG121))</f>
        <v>F4066003008010</v>
      </c>
      <c r="M121" s="11">
        <f t="shared" si="8"/>
        <v>14</v>
      </c>
      <c r="N121" s="14" t="str">
        <f>IF(AF121&lt;&gt;"",TRIM(UPPER(CONCATENATE(P121," ",R121," ",T121," ",V121," ",X121," ",Z121," ","X"," ",Table43[[#This Row],[ISI/CTN]]," ",AF121," ",AB121," ",AD121," ",AH121))),TRIM(UPPER(CONCATENATE(P121," ",R121," ",T121," ",V121," ",X121," ",Z121," ","X"," ",Table43[[#This Row],[ISI/CTN]]," ",AB121," ",AD121," ",AH121))))</f>
        <v>SHINZUI SABUN KIREI 80G X 144 PCS</v>
      </c>
      <c r="O121" s="11">
        <f t="shared" si="9"/>
        <v>33</v>
      </c>
      <c r="Q121" s="7" t="s">
        <v>662</v>
      </c>
      <c r="R121" s="4" t="s">
        <v>680</v>
      </c>
      <c r="S121" s="48" t="s">
        <v>755</v>
      </c>
      <c r="T121" s="49" t="s">
        <v>665</v>
      </c>
      <c r="U121" s="7">
        <v>6</v>
      </c>
      <c r="V121" s="49"/>
      <c r="W121" s="48" t="s">
        <v>370</v>
      </c>
      <c r="X121" s="4" t="s">
        <v>683</v>
      </c>
      <c r="Y121" s="50" t="s">
        <v>752</v>
      </c>
      <c r="Z121" s="4" t="s">
        <v>770</v>
      </c>
      <c r="AA121" s="50" t="s">
        <v>765</v>
      </c>
      <c r="AB121" s="4" t="s">
        <v>187</v>
      </c>
      <c r="AC121" s="7">
        <v>1</v>
      </c>
      <c r="AE121" s="7">
        <v>0</v>
      </c>
      <c r="AI121" s="7" t="s">
        <v>179</v>
      </c>
      <c r="AJ121" s="7">
        <v>1</v>
      </c>
      <c r="AL121" s="38">
        <v>3586.8198198198197</v>
      </c>
      <c r="AM121" s="39">
        <f>Table43[[#This Row],[Harga Beli Pcs
(-PPN)]]*Table43[[#This Row],[ISI/CTN]]</f>
        <v>516502.05405405402</v>
      </c>
      <c r="AN121" s="39">
        <f>Table43[[#This Row],[Harga Beli Pcs
(-PPN)]]*1.11</f>
        <v>3981.3700000000003</v>
      </c>
      <c r="AO121" s="39">
        <f>Table43[[#This Row],[Harga Beli Krt
(- PPN)]]*1.11</f>
        <v>573317.28</v>
      </c>
      <c r="AP121" s="39">
        <v>3873.8738738738734</v>
      </c>
      <c r="AQ121" s="39">
        <f>Table43[[#This Row],[Harga Jual Pcs GT
(-PPN)]]*Table43[[#This Row],[ISI/CTN]]</f>
        <v>557837.83783783775</v>
      </c>
      <c r="AR121" s="39">
        <f>Table43[[#This Row],[Harga Jual Pcs GT
(-PPN)]]*1.11</f>
        <v>4300</v>
      </c>
      <c r="AS121" s="39">
        <f>Table43[[#This Row],[Harga Jual Krt GT
(- PPN)]]*1.11</f>
        <v>619200</v>
      </c>
      <c r="AT121" s="39"/>
      <c r="AU121" s="39">
        <f>Table43[[#This Row],[Harga Jual Pcs MT
(-PPN)]]*Table43[[#This Row],[ISI/CTN]]</f>
        <v>0</v>
      </c>
      <c r="AV121" s="39">
        <f>Table43[[#This Row],[Harga Jual Pcs MT
(-PPN)]]*1.11</f>
        <v>0</v>
      </c>
      <c r="AW121" s="39">
        <f>Table43[[#This Row],[Harga Jual Pcs MT
(+PPN)]]*Table43[[#This Row],[ISI/CTN]]</f>
        <v>0</v>
      </c>
      <c r="AX121" s="47">
        <f>IFERROR((Table43[[#This Row],[Harga Jual Pcs GT
(-PPN)]]-Table43[[#This Row],[Harga Beli Pcs
(-PPN)]])/Table43[[#This Row],[Harga Jual Pcs GT
(-PPN)]],0)</f>
        <v>7.4099999999999916E-2</v>
      </c>
      <c r="AY121" s="51">
        <v>45848</v>
      </c>
      <c r="AZ121" s="7"/>
      <c r="BA121" s="7" t="str">
        <f ca="1">IF(TODAY()-Table43[[#This Row],[Efektif
Pembuatan]]&gt;60,"Lama","Baru")</f>
        <v>Lama</v>
      </c>
      <c r="BB121" s="7" t="str">
        <f ca="1">IF(TODAY()-Table43[[#This Row],[Efektif Naik Harga]]&lt;30,"Naik","Sama")</f>
        <v>Sama</v>
      </c>
      <c r="BC121" s="7" t="s">
        <v>185</v>
      </c>
      <c r="BD121" s="7" t="str">
        <f>IF(Table43[[#This Row],[Kode BARANG Win2]]&lt;&gt;"","IDR","")</f>
        <v>IDR</v>
      </c>
      <c r="BE121" s="7" t="str">
        <f>CONCATENATE(Table43[[#This Row],[kode  1 Digit
(Nomor)]],Table43[[#This Row],[kode  4 Digit                (Nomor)]])</f>
        <v>10080</v>
      </c>
      <c r="BF121" s="7" t="str">
        <f>Table43[[#This Row],[Nama            Gramasi atau Jumlah Pack per CTN]]</f>
        <v>80G</v>
      </c>
      <c r="BG121" s="7" t="s">
        <v>1060</v>
      </c>
      <c r="BH121" s="7" t="s">
        <v>377</v>
      </c>
      <c r="BI121" s="4" t="str">
        <f>IF(Table43[[#This Row],[SATUAN Fix Win]]&lt;&gt;"","KRT")</f>
        <v>KRT</v>
      </c>
      <c r="BJ121" s="4" t="str">
        <f>IF(Table43[[#This Row],[SATUAN Fix Win]]&lt;&gt;"","GD01")</f>
        <v>GD01</v>
      </c>
      <c r="BK121" s="4">
        <f>IF(Table43[[#This Row],[SATUAN Fix Win]]&lt;&gt;"",11611)</f>
        <v>11611</v>
      </c>
      <c r="BL121" s="4">
        <f>IF(Table43[[#This Row],[SATUAN Fix Win]]&lt;&gt;"",11612)</f>
        <v>11612</v>
      </c>
      <c r="BM121" s="52" t="s">
        <v>378</v>
      </c>
      <c r="BN121" s="4">
        <f>IF(Table43[[#This Row],[SATUAN Fix Win]]&lt;&gt;"",1)</f>
        <v>1</v>
      </c>
      <c r="BO121" s="4" t="s">
        <v>637</v>
      </c>
    </row>
    <row r="122" spans="1:70">
      <c r="A122" s="4" t="str">
        <f>CONCATENATE(Table43[[#This Row],[Kode BARANG Win2]],Table43[[#This Row],[No. Urut
Item Sama]])</f>
        <v>F40660040080101</v>
      </c>
      <c r="B122" s="7">
        <v>1</v>
      </c>
      <c r="C122" s="4">
        <v>96</v>
      </c>
      <c r="D122" s="27" t="s">
        <v>393</v>
      </c>
      <c r="E122" s="27" t="s">
        <v>628</v>
      </c>
      <c r="F122" s="27" t="s">
        <v>514</v>
      </c>
      <c r="G122" s="27">
        <v>144</v>
      </c>
      <c r="H122" s="54" t="s">
        <v>649</v>
      </c>
      <c r="I122" s="27" t="str">
        <f>Table43[[#This Row],[Nama Jenis Kemasan]]</f>
        <v>PCS</v>
      </c>
      <c r="J122" s="4" t="str">
        <f>TRIM(CONCATENATE(Table43[[#This Row],[Nama            KLP]]," ",Table43[[#This Row],[Nama            Sub KLP]]))</f>
        <v>SHINZUI SABUN</v>
      </c>
      <c r="K122" s="4" t="str">
        <f>CONCATENATE(Table43[[#This Row],[kode  2 Digit                (hrf+No)]],Table43[[#This Row],[kode  2 Digit                (Nomor)]],Table43[[#This Row],[kode  1 Digit                (Nomor)]])</f>
        <v>F4066</v>
      </c>
      <c r="L122" s="4" t="str">
        <f>IF(AG122="",CONCATENATE(Q122,S122,U122,W122,Y122,AA122,AC122,AE122,Table43[[#This Row],[Tanda Kode Revisi]]),CONCATENATE(Q122,S122,U122,W122,Y122,AA122,AC122,AG122))</f>
        <v>F4066004008010</v>
      </c>
      <c r="M122" s="11">
        <f t="shared" si="8"/>
        <v>14</v>
      </c>
      <c r="N122" s="14" t="str">
        <f>IF(AF122&lt;&gt;"",TRIM(UPPER(CONCATENATE(P122," ",R122," ",T122," ",V122," ",X122," ",Z122," ","X"," ",Table43[[#This Row],[ISI/CTN]]," ",AF122," ",AB122," ",AD122," ",AH122))),TRIM(UPPER(CONCATENATE(P122," ",R122," ",T122," ",V122," ",X122," ",Z122," ","X"," ",Table43[[#This Row],[ISI/CTN]]," ",AB122," ",AD122," ",AH122))))</f>
        <v>SHINZUI SABUN MATSU 80G X 144 PCS</v>
      </c>
      <c r="O122" s="11">
        <f t="shared" si="9"/>
        <v>33</v>
      </c>
      <c r="Q122" s="7" t="s">
        <v>662</v>
      </c>
      <c r="R122" s="4" t="s">
        <v>680</v>
      </c>
      <c r="S122" s="48" t="s">
        <v>755</v>
      </c>
      <c r="T122" s="49" t="s">
        <v>665</v>
      </c>
      <c r="U122" s="7">
        <v>6</v>
      </c>
      <c r="V122" s="49"/>
      <c r="W122" s="48" t="s">
        <v>370</v>
      </c>
      <c r="X122" s="4" t="s">
        <v>681</v>
      </c>
      <c r="Y122" s="50" t="s">
        <v>753</v>
      </c>
      <c r="Z122" s="4" t="s">
        <v>770</v>
      </c>
      <c r="AA122" s="50" t="s">
        <v>765</v>
      </c>
      <c r="AB122" s="4" t="s">
        <v>187</v>
      </c>
      <c r="AC122" s="7">
        <v>1</v>
      </c>
      <c r="AE122" s="7">
        <v>0</v>
      </c>
      <c r="AI122" s="7" t="s">
        <v>179</v>
      </c>
      <c r="AJ122" s="7">
        <v>1</v>
      </c>
      <c r="AL122" s="38">
        <v>3586.8198198198197</v>
      </c>
      <c r="AM122" s="39">
        <f>Table43[[#This Row],[Harga Beli Pcs
(-PPN)]]*Table43[[#This Row],[ISI/CTN]]</f>
        <v>516502.05405405402</v>
      </c>
      <c r="AN122" s="39">
        <f>Table43[[#This Row],[Harga Beli Pcs
(-PPN)]]*1.11</f>
        <v>3981.3700000000003</v>
      </c>
      <c r="AO122" s="39">
        <f>Table43[[#This Row],[Harga Beli Krt
(- PPN)]]*1.11</f>
        <v>573317.28</v>
      </c>
      <c r="AP122" s="39">
        <v>3873.8738738738734</v>
      </c>
      <c r="AQ122" s="39">
        <f>Table43[[#This Row],[Harga Jual Pcs GT
(-PPN)]]*Table43[[#This Row],[ISI/CTN]]</f>
        <v>557837.83783783775</v>
      </c>
      <c r="AR122" s="39">
        <f>Table43[[#This Row],[Harga Jual Pcs GT
(-PPN)]]*1.11</f>
        <v>4300</v>
      </c>
      <c r="AS122" s="39">
        <f>Table43[[#This Row],[Harga Jual Krt GT
(- PPN)]]*1.11</f>
        <v>619200</v>
      </c>
      <c r="AT122" s="39"/>
      <c r="AU122" s="39">
        <f>Table43[[#This Row],[Harga Jual Pcs MT
(-PPN)]]*Table43[[#This Row],[ISI/CTN]]</f>
        <v>0</v>
      </c>
      <c r="AV122" s="39">
        <f>Table43[[#This Row],[Harga Jual Pcs MT
(-PPN)]]*1.11</f>
        <v>0</v>
      </c>
      <c r="AW122" s="39">
        <f>Table43[[#This Row],[Harga Jual Pcs MT
(+PPN)]]*Table43[[#This Row],[ISI/CTN]]</f>
        <v>0</v>
      </c>
      <c r="AX122" s="47">
        <f>IFERROR((Table43[[#This Row],[Harga Jual Pcs GT
(-PPN)]]-Table43[[#This Row],[Harga Beli Pcs
(-PPN)]])/Table43[[#This Row],[Harga Jual Pcs GT
(-PPN)]],0)</f>
        <v>7.4099999999999916E-2</v>
      </c>
      <c r="AY122" s="51">
        <v>45848</v>
      </c>
      <c r="AZ122" s="7"/>
      <c r="BA122" s="7" t="str">
        <f ca="1">IF(TODAY()-Table43[[#This Row],[Efektif
Pembuatan]]&gt;60,"Lama","Baru")</f>
        <v>Lama</v>
      </c>
      <c r="BB122" s="7" t="str">
        <f ca="1">IF(TODAY()-Table43[[#This Row],[Efektif Naik Harga]]&lt;30,"Naik","Sama")</f>
        <v>Sama</v>
      </c>
      <c r="BC122" s="7" t="s">
        <v>185</v>
      </c>
      <c r="BD122" s="7" t="str">
        <f>IF(Table43[[#This Row],[Kode BARANG Win2]]&lt;&gt;"","IDR","")</f>
        <v>IDR</v>
      </c>
      <c r="BE122" s="7" t="str">
        <f>CONCATENATE(Table43[[#This Row],[kode  1 Digit
(Nomor)]],Table43[[#This Row],[kode  4 Digit                (Nomor)]])</f>
        <v>10080</v>
      </c>
      <c r="BF122" s="7" t="str">
        <f>Table43[[#This Row],[Nama            Gramasi atau Jumlah Pack per CTN]]</f>
        <v>80G</v>
      </c>
      <c r="BG122" s="7" t="s">
        <v>1060</v>
      </c>
      <c r="BH122" s="7" t="s">
        <v>377</v>
      </c>
      <c r="BI122" s="4" t="str">
        <f>IF(Table43[[#This Row],[SATUAN Fix Win]]&lt;&gt;"","KRT")</f>
        <v>KRT</v>
      </c>
      <c r="BJ122" s="4" t="str">
        <f>IF(Table43[[#This Row],[SATUAN Fix Win]]&lt;&gt;"","GD01")</f>
        <v>GD01</v>
      </c>
      <c r="BK122" s="4">
        <f>IF(Table43[[#This Row],[SATUAN Fix Win]]&lt;&gt;"",11611)</f>
        <v>11611</v>
      </c>
      <c r="BL122" s="4">
        <f>IF(Table43[[#This Row],[SATUAN Fix Win]]&lt;&gt;"",11612)</f>
        <v>11612</v>
      </c>
      <c r="BM122" s="52" t="s">
        <v>378</v>
      </c>
      <c r="BN122" s="4">
        <f>IF(Table43[[#This Row],[SATUAN Fix Win]]&lt;&gt;"",1)</f>
        <v>1</v>
      </c>
      <c r="BO122" s="4" t="s">
        <v>637</v>
      </c>
    </row>
    <row r="123" spans="1:70">
      <c r="A123" s="4" t="str">
        <f>CONCATENATE(Table43[[#This Row],[Kode BARANG Win2]],Table43[[#This Row],[No. Urut
Item Sama]])</f>
        <v>F40660050080101</v>
      </c>
      <c r="B123" s="7">
        <v>1</v>
      </c>
      <c r="C123" s="4">
        <v>97</v>
      </c>
      <c r="D123" s="27" t="s">
        <v>396</v>
      </c>
      <c r="E123" s="27" t="s">
        <v>628</v>
      </c>
      <c r="F123" s="27" t="s">
        <v>517</v>
      </c>
      <c r="G123" s="27">
        <v>144</v>
      </c>
      <c r="H123" s="54">
        <v>8992946521416</v>
      </c>
      <c r="I123" s="27" t="str">
        <f>Table43[[#This Row],[Nama Jenis Kemasan]]</f>
        <v>PCS</v>
      </c>
      <c r="J123" s="4" t="str">
        <f>TRIM(CONCATENATE(Table43[[#This Row],[Nama            KLP]]," ",Table43[[#This Row],[Nama            Sub KLP]]))</f>
        <v>SHINZUI SABUN</v>
      </c>
      <c r="K123" s="4" t="str">
        <f>CONCATENATE(Table43[[#This Row],[kode  2 Digit                (hrf+No)]],Table43[[#This Row],[kode  2 Digit                (Nomor)]],Table43[[#This Row],[kode  1 Digit                (Nomor)]])</f>
        <v>F4066</v>
      </c>
      <c r="L123" s="4" t="str">
        <f>IF(AG123="",CONCATENATE(Q123,S123,U123,W123,Y123,AA123,AC123,AE123,Table43[[#This Row],[Tanda Kode Revisi]]),CONCATENATE(Q123,S123,U123,W123,Y123,AA123,AC123,AG123))</f>
        <v>F4066005008010</v>
      </c>
      <c r="M123" s="11">
        <f t="shared" si="8"/>
        <v>14</v>
      </c>
      <c r="N123" s="14" t="str">
        <f>IF(AF123&lt;&gt;"",TRIM(UPPER(CONCATENATE(P123," ",R123," ",T123," ",V123," ",X123," ",Z123," ","X"," ",Table43[[#This Row],[ISI/CTN]]," ",AF123," ",AB123," ",AD123," ",AH123))),TRIM(UPPER(CONCATENATE(P123," ",R123," ",T123," ",V123," ",X123," ",Z123," ","X"," ",Table43[[#This Row],[ISI/CTN]]," ",AB123," ",AD123," ",AH123))))</f>
        <v>SHINZUI SABUN MYORI 80G X 144 PCS</v>
      </c>
      <c r="O123" s="11">
        <f t="shared" si="9"/>
        <v>33</v>
      </c>
      <c r="Q123" s="7" t="s">
        <v>662</v>
      </c>
      <c r="R123" s="4" t="s">
        <v>680</v>
      </c>
      <c r="S123" s="48" t="s">
        <v>755</v>
      </c>
      <c r="T123" s="49" t="s">
        <v>665</v>
      </c>
      <c r="U123" s="7">
        <v>6</v>
      </c>
      <c r="V123" s="49"/>
      <c r="W123" s="48" t="s">
        <v>370</v>
      </c>
      <c r="X123" s="4" t="s">
        <v>692</v>
      </c>
      <c r="Y123" s="50" t="s">
        <v>754</v>
      </c>
      <c r="Z123" s="4" t="s">
        <v>770</v>
      </c>
      <c r="AA123" s="50" t="s">
        <v>765</v>
      </c>
      <c r="AB123" s="4" t="s">
        <v>187</v>
      </c>
      <c r="AC123" s="7">
        <v>1</v>
      </c>
      <c r="AE123" s="7">
        <v>0</v>
      </c>
      <c r="AI123" s="7" t="s">
        <v>179</v>
      </c>
      <c r="AJ123" s="7">
        <v>1</v>
      </c>
      <c r="AL123" s="38">
        <v>3586.8198198198197</v>
      </c>
      <c r="AM123" s="39">
        <f>Table43[[#This Row],[Harga Beli Pcs
(-PPN)]]*Table43[[#This Row],[ISI/CTN]]</f>
        <v>516502.05405405402</v>
      </c>
      <c r="AN123" s="39">
        <f>Table43[[#This Row],[Harga Beli Pcs
(-PPN)]]*1.11</f>
        <v>3981.3700000000003</v>
      </c>
      <c r="AO123" s="39">
        <f>Table43[[#This Row],[Harga Beli Krt
(- PPN)]]*1.11</f>
        <v>573317.28</v>
      </c>
      <c r="AP123" s="39">
        <v>3873.8738738738734</v>
      </c>
      <c r="AQ123" s="39">
        <f>Table43[[#This Row],[Harga Jual Pcs GT
(-PPN)]]*Table43[[#This Row],[ISI/CTN]]</f>
        <v>557837.83783783775</v>
      </c>
      <c r="AR123" s="39">
        <f>Table43[[#This Row],[Harga Jual Pcs GT
(-PPN)]]*1.11</f>
        <v>4300</v>
      </c>
      <c r="AS123" s="39">
        <f>Table43[[#This Row],[Harga Jual Krt GT
(- PPN)]]*1.11</f>
        <v>619200</v>
      </c>
      <c r="AT123" s="39"/>
      <c r="AU123" s="39">
        <f>Table43[[#This Row],[Harga Jual Pcs MT
(-PPN)]]*Table43[[#This Row],[ISI/CTN]]</f>
        <v>0</v>
      </c>
      <c r="AV123" s="39">
        <f>Table43[[#This Row],[Harga Jual Pcs MT
(-PPN)]]*1.11</f>
        <v>0</v>
      </c>
      <c r="AW123" s="39">
        <f>Table43[[#This Row],[Harga Jual Pcs MT
(+PPN)]]*Table43[[#This Row],[ISI/CTN]]</f>
        <v>0</v>
      </c>
      <c r="AX123" s="47">
        <f>IFERROR((Table43[[#This Row],[Harga Jual Pcs GT
(-PPN)]]-Table43[[#This Row],[Harga Beli Pcs
(-PPN)]])/Table43[[#This Row],[Harga Jual Pcs GT
(-PPN)]],0)</f>
        <v>7.4099999999999916E-2</v>
      </c>
      <c r="AY123" s="51">
        <v>45848</v>
      </c>
      <c r="AZ123" s="7"/>
      <c r="BA123" s="7" t="str">
        <f ca="1">IF(TODAY()-Table43[[#This Row],[Efektif
Pembuatan]]&gt;60,"Lama","Baru")</f>
        <v>Lama</v>
      </c>
      <c r="BB123" s="7" t="str">
        <f ca="1">IF(TODAY()-Table43[[#This Row],[Efektif Naik Harga]]&lt;30,"Naik","Sama")</f>
        <v>Sama</v>
      </c>
      <c r="BC123" s="7" t="s">
        <v>185</v>
      </c>
      <c r="BD123" s="7" t="str">
        <f>IF(Table43[[#This Row],[Kode BARANG Win2]]&lt;&gt;"","IDR","")</f>
        <v>IDR</v>
      </c>
      <c r="BE123" s="7" t="str">
        <f>CONCATENATE(Table43[[#This Row],[kode  1 Digit
(Nomor)]],Table43[[#This Row],[kode  4 Digit                (Nomor)]])</f>
        <v>10080</v>
      </c>
      <c r="BF123" s="7" t="str">
        <f>Table43[[#This Row],[Nama            Gramasi atau Jumlah Pack per CTN]]</f>
        <v>80G</v>
      </c>
      <c r="BG123" s="7" t="s">
        <v>1060</v>
      </c>
      <c r="BH123" s="7" t="s">
        <v>377</v>
      </c>
      <c r="BI123" s="4" t="str">
        <f>IF(Table43[[#This Row],[SATUAN Fix Win]]&lt;&gt;"","KRT")</f>
        <v>KRT</v>
      </c>
      <c r="BJ123" s="4" t="str">
        <f>IF(Table43[[#This Row],[SATUAN Fix Win]]&lt;&gt;"","GD01")</f>
        <v>GD01</v>
      </c>
      <c r="BK123" s="4">
        <f>IF(Table43[[#This Row],[SATUAN Fix Win]]&lt;&gt;"",11611)</f>
        <v>11611</v>
      </c>
      <c r="BL123" s="4">
        <f>IF(Table43[[#This Row],[SATUAN Fix Win]]&lt;&gt;"",11612)</f>
        <v>11612</v>
      </c>
      <c r="BM123" s="52" t="s">
        <v>378</v>
      </c>
      <c r="BN123" s="4">
        <f>IF(Table43[[#This Row],[SATUAN Fix Win]]&lt;&gt;"",1)</f>
        <v>1</v>
      </c>
      <c r="BO123" s="4" t="s">
        <v>637</v>
      </c>
    </row>
    <row r="124" spans="1:70">
      <c r="A124" s="4" t="str">
        <f>CONCATENATE(Table43[[#This Row],[Kode BARANG Win2]],Table43[[#This Row],[No. Urut
Item Sama]])</f>
        <v>F40660060080101</v>
      </c>
      <c r="B124" s="7">
        <v>1</v>
      </c>
      <c r="C124" s="4">
        <v>98</v>
      </c>
      <c r="D124" s="27" t="s">
        <v>397</v>
      </c>
      <c r="E124" s="27" t="s">
        <v>628</v>
      </c>
      <c r="F124" s="27" t="s">
        <v>518</v>
      </c>
      <c r="G124" s="27">
        <v>144</v>
      </c>
      <c r="H124" s="54">
        <v>8992946521409</v>
      </c>
      <c r="I124" s="27" t="str">
        <f>Table43[[#This Row],[Nama Jenis Kemasan]]</f>
        <v>PCS</v>
      </c>
      <c r="J124" s="4" t="str">
        <f>TRIM(CONCATENATE(Table43[[#This Row],[Nama            KLP]]," ",Table43[[#This Row],[Nama            Sub KLP]]))</f>
        <v>SHINZUI SABUN</v>
      </c>
      <c r="K124" s="4" t="str">
        <f>CONCATENATE(Table43[[#This Row],[kode  2 Digit                (hrf+No)]],Table43[[#This Row],[kode  2 Digit                (Nomor)]],Table43[[#This Row],[kode  1 Digit                (Nomor)]])</f>
        <v>F4066</v>
      </c>
      <c r="L124" s="4" t="str">
        <f>IF(AG124="",CONCATENATE(Q124,S124,U124,W124,Y124,AA124,AC124,AE124,Table43[[#This Row],[Tanda Kode Revisi]]),CONCATENATE(Q124,S124,U124,W124,Y124,AA124,AC124,AG124))</f>
        <v>F4066006008010</v>
      </c>
      <c r="M124" s="11">
        <f t="shared" si="8"/>
        <v>14</v>
      </c>
      <c r="N124" s="14" t="str">
        <f>IF(AF124&lt;&gt;"",TRIM(UPPER(CONCATENATE(P124," ",R124," ",T124," ",V124," ",X124," ",Z124," ","X"," ",Table43[[#This Row],[ISI/CTN]]," ",AF124," ",AB124," ",AD124," ",AH124))),TRIM(UPPER(CONCATENATE(P124," ",R124," ",T124," ",V124," ",X124," ",Z124," ","X"," ",Table43[[#This Row],[ISI/CTN]]," ",AB124," ",AD124," ",AH124))))</f>
        <v>SHINZUI SABUN SAKURA 80G X 144 PCS</v>
      </c>
      <c r="O124" s="11">
        <f t="shared" si="9"/>
        <v>34</v>
      </c>
      <c r="Q124" s="7" t="s">
        <v>662</v>
      </c>
      <c r="R124" s="4" t="s">
        <v>680</v>
      </c>
      <c r="S124" s="48" t="s">
        <v>755</v>
      </c>
      <c r="T124" s="49" t="s">
        <v>665</v>
      </c>
      <c r="U124" s="7">
        <v>6</v>
      </c>
      <c r="V124" s="49"/>
      <c r="W124" s="48" t="s">
        <v>370</v>
      </c>
      <c r="X124" s="4" t="s">
        <v>693</v>
      </c>
      <c r="Y124" s="50" t="s">
        <v>755</v>
      </c>
      <c r="Z124" s="4" t="s">
        <v>770</v>
      </c>
      <c r="AA124" s="50" t="s">
        <v>765</v>
      </c>
      <c r="AB124" s="4" t="s">
        <v>187</v>
      </c>
      <c r="AC124" s="7">
        <v>1</v>
      </c>
      <c r="AE124" s="7">
        <v>0</v>
      </c>
      <c r="AI124" s="7" t="s">
        <v>179</v>
      </c>
      <c r="AJ124" s="7">
        <v>1</v>
      </c>
      <c r="AL124" s="38">
        <v>3586.8198198198197</v>
      </c>
      <c r="AM124" s="39">
        <f>Table43[[#This Row],[Harga Beli Pcs
(-PPN)]]*Table43[[#This Row],[ISI/CTN]]</f>
        <v>516502.05405405402</v>
      </c>
      <c r="AN124" s="39">
        <f>Table43[[#This Row],[Harga Beli Pcs
(-PPN)]]*1.11</f>
        <v>3981.3700000000003</v>
      </c>
      <c r="AO124" s="39">
        <f>Table43[[#This Row],[Harga Beli Krt
(- PPN)]]*1.11</f>
        <v>573317.28</v>
      </c>
      <c r="AP124" s="39">
        <v>3873.8738738738734</v>
      </c>
      <c r="AQ124" s="39">
        <f>Table43[[#This Row],[Harga Jual Pcs GT
(-PPN)]]*Table43[[#This Row],[ISI/CTN]]</f>
        <v>557837.83783783775</v>
      </c>
      <c r="AR124" s="39">
        <f>Table43[[#This Row],[Harga Jual Pcs GT
(-PPN)]]*1.11</f>
        <v>4300</v>
      </c>
      <c r="AS124" s="39">
        <f>Table43[[#This Row],[Harga Jual Krt GT
(- PPN)]]*1.11</f>
        <v>619200</v>
      </c>
      <c r="AT124" s="39"/>
      <c r="AU124" s="39">
        <f>Table43[[#This Row],[Harga Jual Pcs MT
(-PPN)]]*Table43[[#This Row],[ISI/CTN]]</f>
        <v>0</v>
      </c>
      <c r="AV124" s="39">
        <f>Table43[[#This Row],[Harga Jual Pcs MT
(-PPN)]]*1.11</f>
        <v>0</v>
      </c>
      <c r="AW124" s="39">
        <f>Table43[[#This Row],[Harga Jual Pcs MT
(+PPN)]]*Table43[[#This Row],[ISI/CTN]]</f>
        <v>0</v>
      </c>
      <c r="AX124" s="47">
        <f>IFERROR((Table43[[#This Row],[Harga Jual Pcs GT
(-PPN)]]-Table43[[#This Row],[Harga Beli Pcs
(-PPN)]])/Table43[[#This Row],[Harga Jual Pcs GT
(-PPN)]],0)</f>
        <v>7.4099999999999916E-2</v>
      </c>
      <c r="AY124" s="51">
        <v>45848</v>
      </c>
      <c r="AZ124" s="7"/>
      <c r="BA124" s="7" t="str">
        <f ca="1">IF(TODAY()-Table43[[#This Row],[Efektif
Pembuatan]]&gt;60,"Lama","Baru")</f>
        <v>Lama</v>
      </c>
      <c r="BB124" s="7" t="str">
        <f ca="1">IF(TODAY()-Table43[[#This Row],[Efektif Naik Harga]]&lt;30,"Naik","Sama")</f>
        <v>Sama</v>
      </c>
      <c r="BC124" s="7" t="s">
        <v>185</v>
      </c>
      <c r="BD124" s="7" t="str">
        <f>IF(Table43[[#This Row],[Kode BARANG Win2]]&lt;&gt;"","IDR","")</f>
        <v>IDR</v>
      </c>
      <c r="BE124" s="7" t="str">
        <f>CONCATENATE(Table43[[#This Row],[kode  1 Digit
(Nomor)]],Table43[[#This Row],[kode  4 Digit                (Nomor)]])</f>
        <v>10080</v>
      </c>
      <c r="BF124" s="7" t="str">
        <f>Table43[[#This Row],[Nama            Gramasi atau Jumlah Pack per CTN]]</f>
        <v>80G</v>
      </c>
      <c r="BG124" s="7" t="s">
        <v>1060</v>
      </c>
      <c r="BH124" s="7" t="s">
        <v>377</v>
      </c>
      <c r="BI124" s="4" t="str">
        <f>IF(Table43[[#This Row],[SATUAN Fix Win]]&lt;&gt;"","KRT")</f>
        <v>KRT</v>
      </c>
      <c r="BJ124" s="4" t="str">
        <f>IF(Table43[[#This Row],[SATUAN Fix Win]]&lt;&gt;"","GD01")</f>
        <v>GD01</v>
      </c>
      <c r="BK124" s="4">
        <f>IF(Table43[[#This Row],[SATUAN Fix Win]]&lt;&gt;"",11611)</f>
        <v>11611</v>
      </c>
      <c r="BL124" s="4">
        <f>IF(Table43[[#This Row],[SATUAN Fix Win]]&lt;&gt;"",11612)</f>
        <v>11612</v>
      </c>
      <c r="BM124" s="52" t="s">
        <v>378</v>
      </c>
      <c r="BN124" s="4">
        <f>IF(Table43[[#This Row],[SATUAN Fix Win]]&lt;&gt;"",1)</f>
        <v>1</v>
      </c>
      <c r="BO124" s="4" t="s">
        <v>637</v>
      </c>
    </row>
    <row r="125" spans="1:70">
      <c r="A125" s="4" t="str">
        <f>CONCATENATE(Table43[[#This Row],[Kode BARANG Win2]],Table43[[#This Row],[No. Urut
Item Sama]])</f>
        <v>F40660040060201</v>
      </c>
      <c r="B125" s="7">
        <v>1</v>
      </c>
      <c r="C125" s="4">
        <v>99</v>
      </c>
      <c r="D125" s="73" t="s">
        <v>1140</v>
      </c>
      <c r="E125" s="27" t="s">
        <v>628</v>
      </c>
      <c r="F125" s="27" t="s">
        <v>1141</v>
      </c>
      <c r="G125" s="27">
        <v>24</v>
      </c>
      <c r="H125" s="54">
        <v>8992946532938</v>
      </c>
      <c r="I125" s="27" t="str">
        <f>Table43[[#This Row],[Nama Jenis Kemasan]]</f>
        <v>PACK</v>
      </c>
      <c r="J125" s="4" t="str">
        <f>TRIM(CONCATENATE(Table43[[#This Row],[Nama            KLP]]," ",Table43[[#This Row],[Nama            Sub KLP]]))</f>
        <v>SHINZUI SABUN</v>
      </c>
      <c r="K125" s="4" t="str">
        <f>CONCATENATE(Table43[[#This Row],[kode  2 Digit                (hrf+No)]],Table43[[#This Row],[kode  2 Digit                (Nomor)]],Table43[[#This Row],[kode  1 Digit                (Nomor)]])</f>
        <v>F4066</v>
      </c>
      <c r="L125" s="4" t="str">
        <f>IF(AG125="",CONCATENATE(Q125,S125,U125,W125,Y125,AA125,AC125,AE125,Table43[[#This Row],[Tanda Kode Revisi]]),CONCATENATE(Q125,S125,U125,W125,Y125,AA125,AC125,AG125))</f>
        <v>F4066004006020</v>
      </c>
      <c r="M125" s="11">
        <f t="shared" ref="M125:M130" si="14">LEN(L125)</f>
        <v>14</v>
      </c>
      <c r="N125" s="14" t="str">
        <f>IF(AF125&lt;&gt;"",TRIM(UPPER(CONCATENATE(P125," ",R125," ",T125," ",V125," ",X125," ",Z125," ","X"," ",Table43[[#This Row],[ISI/CTN]]," ",AF125," ",AB125," ",AD125," ",AH125))),TRIM(UPPER(CONCATENATE(P125," ",R125," ",T125," ",V125," ",X125," ",Z125," ","X"," ",Table43[[#This Row],[ISI/CTN]]," ",AB125," ",AD125," ",AH125))))</f>
        <v>SHINZUI SABUN MATSU 60G X 24 PACK</v>
      </c>
      <c r="O125" s="11">
        <f t="shared" ref="O125:O130" si="15">LEN(N125)</f>
        <v>33</v>
      </c>
      <c r="Q125" s="7" t="s">
        <v>662</v>
      </c>
      <c r="R125" s="4" t="s">
        <v>680</v>
      </c>
      <c r="S125" s="48" t="s">
        <v>755</v>
      </c>
      <c r="T125" s="49" t="s">
        <v>665</v>
      </c>
      <c r="U125" s="7">
        <v>6</v>
      </c>
      <c r="V125" s="49"/>
      <c r="W125" s="48" t="s">
        <v>370</v>
      </c>
      <c r="X125" s="4" t="s">
        <v>681</v>
      </c>
      <c r="Y125" s="50" t="s">
        <v>753</v>
      </c>
      <c r="Z125" s="4" t="s">
        <v>772</v>
      </c>
      <c r="AA125" s="50" t="s">
        <v>762</v>
      </c>
      <c r="AB125" s="4" t="s">
        <v>736</v>
      </c>
      <c r="AC125" s="7">
        <v>2</v>
      </c>
      <c r="AE125" s="7">
        <v>0</v>
      </c>
      <c r="AI125" s="7" t="s">
        <v>179</v>
      </c>
      <c r="AJ125" s="7">
        <v>1</v>
      </c>
      <c r="AL125" s="38">
        <v>2627.5540540540537</v>
      </c>
      <c r="AM125" s="39">
        <f>Table43[[#This Row],[Harga Beli Pcs
(-PPN)]]*Table43[[#This Row],[ISI/CTN]]</f>
        <v>63061.297297297293</v>
      </c>
      <c r="AN125" s="39">
        <f>Table43[[#This Row],[Harga Beli Pcs
(-PPN)]]*1.11</f>
        <v>2916.585</v>
      </c>
      <c r="AO125" s="39">
        <f>Table43[[#This Row],[Harga Beli Krt
(- PPN)]]*1.11</f>
        <v>69998.040000000008</v>
      </c>
      <c r="AP125" s="39">
        <v>2837.8378378378379</v>
      </c>
      <c r="AQ125" s="39">
        <f>Table43[[#This Row],[Harga Jual Pcs GT
(-PPN)]]*Table43[[#This Row],[ISI/CTN]]</f>
        <v>68108.108108108107</v>
      </c>
      <c r="AR125" s="39">
        <f>Table43[[#This Row],[Harga Jual Pcs GT
(-PPN)]]*1.11</f>
        <v>3150.0000000000005</v>
      </c>
      <c r="AS125" s="39">
        <f>Table43[[#This Row],[Harga Jual Krt GT
(- PPN)]]*1.11</f>
        <v>75600</v>
      </c>
      <c r="AT125" s="39"/>
      <c r="AU125" s="39">
        <f>Table43[[#This Row],[Harga Jual Pcs MT
(-PPN)]]*Table43[[#This Row],[ISI/CTN]]</f>
        <v>0</v>
      </c>
      <c r="AV125" s="39">
        <f>Table43[[#This Row],[Harga Jual Pcs MT
(-PPN)]]*1.11</f>
        <v>0</v>
      </c>
      <c r="AW125" s="39">
        <f>Table43[[#This Row],[Harga Jual Pcs MT
(+PPN)]]*Table43[[#This Row],[ISI/CTN]]</f>
        <v>0</v>
      </c>
      <c r="AX125" s="47">
        <f>IFERROR((Table43[[#This Row],[Harga Jual Pcs GT
(-PPN)]]-Table43[[#This Row],[Harga Beli Pcs
(-PPN)]])/Table43[[#This Row],[Harga Jual Pcs GT
(-PPN)]],0)</f>
        <v>7.4100000000000152E-2</v>
      </c>
      <c r="AY125" s="51">
        <v>45960</v>
      </c>
      <c r="AZ125" s="7"/>
      <c r="BA125" s="7" t="str">
        <f ca="1">IF(TODAY()-Table43[[#This Row],[Efektif
Pembuatan]]&gt;60,"Lama","Baru")</f>
        <v>Lama</v>
      </c>
      <c r="BB125" s="7" t="str">
        <f ca="1">IF(TODAY()-Table43[[#This Row],[Efektif Naik Harga]]&lt;30,"Naik","Sama")</f>
        <v>Sama</v>
      </c>
      <c r="BC125" s="7"/>
      <c r="BD125" s="7" t="str">
        <f>IF(Table43[[#This Row],[Kode BARANG Win2]]&lt;&gt;"","IDR","")</f>
        <v>IDR</v>
      </c>
      <c r="BE125" s="7" t="str">
        <f>CONCATENATE(Table43[[#This Row],[kode  1 Digit
(Nomor)]],Table43[[#This Row],[kode  4 Digit                (Nomor)]])</f>
        <v>10060</v>
      </c>
      <c r="BF125" s="7" t="str">
        <f>Table43[[#This Row],[Nama            Gramasi atau Jumlah Pack per CTN]]</f>
        <v>60G</v>
      </c>
      <c r="BG125" s="7" t="s">
        <v>1060</v>
      </c>
      <c r="BH125" s="7" t="s">
        <v>377</v>
      </c>
      <c r="BI125" s="4" t="str">
        <f>IF(Table43[[#This Row],[SATUAN Fix Win]]&lt;&gt;"","KRT")</f>
        <v>KRT</v>
      </c>
      <c r="BJ125" s="4" t="str">
        <f>IF(Table43[[#This Row],[SATUAN Fix Win]]&lt;&gt;"","GD01")</f>
        <v>GD01</v>
      </c>
      <c r="BK125" s="4">
        <f>IF(Table43[[#This Row],[SATUAN Fix Win]]&lt;&gt;"",11611)</f>
        <v>11611</v>
      </c>
      <c r="BL125" s="4">
        <f>IF(Table43[[#This Row],[SATUAN Fix Win]]&lt;&gt;"",11612)</f>
        <v>11612</v>
      </c>
      <c r="BM125" s="52" t="s">
        <v>378</v>
      </c>
      <c r="BN125" s="4">
        <f>IF(Table43[[#This Row],[SATUAN Fix Win]]&lt;&gt;"",1)</f>
        <v>1</v>
      </c>
      <c r="BO125" s="4" t="s">
        <v>637</v>
      </c>
    </row>
    <row r="126" spans="1:70">
      <c r="A126" s="4" t="str">
        <f>CONCATENATE(Table43[[#This Row],[Kode BARANG Win2]],Table43[[#This Row],[No. Urut
Item Sama]])</f>
        <v>F40660030060201</v>
      </c>
      <c r="B126" s="7">
        <v>1</v>
      </c>
      <c r="C126" s="4">
        <v>100</v>
      </c>
      <c r="D126" s="73" t="s">
        <v>1142</v>
      </c>
      <c r="E126" s="27" t="s">
        <v>628</v>
      </c>
      <c r="F126" s="27" t="s">
        <v>1143</v>
      </c>
      <c r="G126" s="27">
        <v>24</v>
      </c>
      <c r="H126" s="54">
        <v>8992946532921</v>
      </c>
      <c r="I126" s="27" t="str">
        <f>Table43[[#This Row],[Nama Jenis Kemasan]]</f>
        <v>PACK</v>
      </c>
      <c r="J126" s="4" t="str">
        <f>TRIM(CONCATENATE(Table43[[#This Row],[Nama            KLP]]," ",Table43[[#This Row],[Nama            Sub KLP]]))</f>
        <v>SHINZUI SABUN</v>
      </c>
      <c r="K126" s="4" t="str">
        <f>CONCATENATE(Table43[[#This Row],[kode  2 Digit                (hrf+No)]],Table43[[#This Row],[kode  2 Digit                (Nomor)]],Table43[[#This Row],[kode  1 Digit                (Nomor)]])</f>
        <v>F4066</v>
      </c>
      <c r="L126" s="4" t="str">
        <f>IF(AG126="",CONCATENATE(Q126,S126,U126,W126,Y126,AA126,AC126,AE126,Table43[[#This Row],[Tanda Kode Revisi]]),CONCATENATE(Q126,S126,U126,W126,Y126,AA126,AC126,AG126))</f>
        <v>F4066003006020</v>
      </c>
      <c r="M126" s="11">
        <f t="shared" si="14"/>
        <v>14</v>
      </c>
      <c r="N126" s="14" t="str">
        <f>IF(AF126&lt;&gt;"",TRIM(UPPER(CONCATENATE(P126," ",R126," ",T126," ",V126," ",X126," ",Z126," ","X"," ",Table43[[#This Row],[ISI/CTN]]," ",AF126," ",AB126," ",AD126," ",AH126))),TRIM(UPPER(CONCATENATE(P126," ",R126," ",T126," ",V126," ",X126," ",Z126," ","X"," ",Table43[[#This Row],[ISI/CTN]]," ",AB126," ",AD126," ",AH126))))</f>
        <v>SHINZUI SABUN KIREI 60G X 24 PACK</v>
      </c>
      <c r="O126" s="11">
        <f t="shared" si="15"/>
        <v>33</v>
      </c>
      <c r="Q126" s="7" t="s">
        <v>662</v>
      </c>
      <c r="R126" s="4" t="s">
        <v>680</v>
      </c>
      <c r="S126" s="48" t="s">
        <v>755</v>
      </c>
      <c r="T126" s="49" t="s">
        <v>665</v>
      </c>
      <c r="U126" s="7">
        <v>6</v>
      </c>
      <c r="V126" s="49"/>
      <c r="W126" s="48" t="s">
        <v>370</v>
      </c>
      <c r="X126" s="4" t="s">
        <v>683</v>
      </c>
      <c r="Y126" s="50" t="s">
        <v>752</v>
      </c>
      <c r="Z126" s="4" t="s">
        <v>772</v>
      </c>
      <c r="AA126" s="50" t="s">
        <v>762</v>
      </c>
      <c r="AB126" s="4" t="s">
        <v>736</v>
      </c>
      <c r="AC126" s="7">
        <v>2</v>
      </c>
      <c r="AE126" s="7">
        <v>0</v>
      </c>
      <c r="AI126" s="7" t="s">
        <v>179</v>
      </c>
      <c r="AJ126" s="7">
        <v>1</v>
      </c>
      <c r="AL126" s="38">
        <v>2627.5540540540537</v>
      </c>
      <c r="AM126" s="39">
        <f>Table43[[#This Row],[Harga Beli Pcs
(-PPN)]]*Table43[[#This Row],[ISI/CTN]]</f>
        <v>63061.297297297293</v>
      </c>
      <c r="AN126" s="39">
        <f>Table43[[#This Row],[Harga Beli Pcs
(-PPN)]]*1.11</f>
        <v>2916.585</v>
      </c>
      <c r="AO126" s="39">
        <f>Table43[[#This Row],[Harga Beli Krt
(- PPN)]]*1.11</f>
        <v>69998.040000000008</v>
      </c>
      <c r="AP126" s="39">
        <v>2837.8378378378379</v>
      </c>
      <c r="AQ126" s="39">
        <f>Table43[[#This Row],[Harga Jual Pcs GT
(-PPN)]]*Table43[[#This Row],[ISI/CTN]]</f>
        <v>68108.108108108107</v>
      </c>
      <c r="AR126" s="39">
        <f>Table43[[#This Row],[Harga Jual Pcs GT
(-PPN)]]*1.11</f>
        <v>3150.0000000000005</v>
      </c>
      <c r="AS126" s="39">
        <f>Table43[[#This Row],[Harga Jual Krt GT
(- PPN)]]*1.11</f>
        <v>75600</v>
      </c>
      <c r="AT126" s="39"/>
      <c r="AU126" s="39">
        <f>Table43[[#This Row],[Harga Jual Pcs MT
(-PPN)]]*Table43[[#This Row],[ISI/CTN]]</f>
        <v>0</v>
      </c>
      <c r="AV126" s="39">
        <f>Table43[[#This Row],[Harga Jual Pcs MT
(-PPN)]]*1.11</f>
        <v>0</v>
      </c>
      <c r="AW126" s="39">
        <f>Table43[[#This Row],[Harga Jual Pcs MT
(+PPN)]]*Table43[[#This Row],[ISI/CTN]]</f>
        <v>0</v>
      </c>
      <c r="AX126" s="47">
        <f>IFERROR((Table43[[#This Row],[Harga Jual Pcs GT
(-PPN)]]-Table43[[#This Row],[Harga Beli Pcs
(-PPN)]])/Table43[[#This Row],[Harga Jual Pcs GT
(-PPN)]],0)</f>
        <v>7.4100000000000152E-2</v>
      </c>
      <c r="AY126" s="51">
        <v>45960</v>
      </c>
      <c r="AZ126" s="7"/>
      <c r="BA126" s="7" t="str">
        <f ca="1">IF(TODAY()-Table43[[#This Row],[Efektif
Pembuatan]]&gt;60,"Lama","Baru")</f>
        <v>Lama</v>
      </c>
      <c r="BB126" s="7" t="str">
        <f ca="1">IF(TODAY()-Table43[[#This Row],[Efektif Naik Harga]]&lt;30,"Naik","Sama")</f>
        <v>Sama</v>
      </c>
      <c r="BC126" s="7"/>
      <c r="BD126" s="7" t="str">
        <f>IF(Table43[[#This Row],[Kode BARANG Win2]]&lt;&gt;"","IDR","")</f>
        <v>IDR</v>
      </c>
      <c r="BE126" s="7" t="str">
        <f>CONCATENATE(Table43[[#This Row],[kode  1 Digit
(Nomor)]],Table43[[#This Row],[kode  4 Digit                (Nomor)]])</f>
        <v>10060</v>
      </c>
      <c r="BF126" s="7" t="str">
        <f>Table43[[#This Row],[Nama            Gramasi atau Jumlah Pack per CTN]]</f>
        <v>60G</v>
      </c>
      <c r="BG126" s="7" t="s">
        <v>1060</v>
      </c>
      <c r="BH126" s="7" t="s">
        <v>377</v>
      </c>
      <c r="BI126" s="4" t="str">
        <f>IF(Table43[[#This Row],[SATUAN Fix Win]]&lt;&gt;"","KRT")</f>
        <v>KRT</v>
      </c>
      <c r="BJ126" s="4" t="str">
        <f>IF(Table43[[#This Row],[SATUAN Fix Win]]&lt;&gt;"","GD01")</f>
        <v>GD01</v>
      </c>
      <c r="BK126" s="4">
        <f>IF(Table43[[#This Row],[SATUAN Fix Win]]&lt;&gt;"",11611)</f>
        <v>11611</v>
      </c>
      <c r="BL126" s="4">
        <f>IF(Table43[[#This Row],[SATUAN Fix Win]]&lt;&gt;"",11612)</f>
        <v>11612</v>
      </c>
      <c r="BM126" s="52" t="s">
        <v>378</v>
      </c>
      <c r="BN126" s="4">
        <f>IF(Table43[[#This Row],[SATUAN Fix Win]]&lt;&gt;"",1)</f>
        <v>1</v>
      </c>
      <c r="BO126" s="4" t="s">
        <v>637</v>
      </c>
    </row>
    <row r="127" spans="1:70" s="69" customFormat="1">
      <c r="A127" s="55" t="str">
        <f>CONCATENATE(Table43[[#This Row],[Kode BARANG Win2]],Table43[[#This Row],[No. Urut
Item Sama]])</f>
        <v>F40660030060131</v>
      </c>
      <c r="B127" s="56">
        <v>1</v>
      </c>
      <c r="C127" s="55"/>
      <c r="D127" s="108" t="s">
        <v>1276</v>
      </c>
      <c r="E127" s="57" t="s">
        <v>631</v>
      </c>
      <c r="F127" s="57" t="s">
        <v>1277</v>
      </c>
      <c r="G127" s="57">
        <v>72</v>
      </c>
      <c r="H127" s="58"/>
      <c r="I127" s="57" t="str">
        <f>Table43[[#This Row],[Nama Jenis Kemasan]]</f>
        <v>PCS</v>
      </c>
      <c r="J127" s="55" t="str">
        <f>TRIM(CONCATENATE(Table43[[#This Row],[Nama            KLP]]," ",Table43[[#This Row],[Nama            Sub KLP]]))</f>
        <v>SHINZUI SABUN</v>
      </c>
      <c r="K127" s="55" t="str">
        <f>CONCATENATE(Table43[[#This Row],[kode  2 Digit                (hrf+No)]],Table43[[#This Row],[kode  2 Digit                (Nomor)]],Table43[[#This Row],[kode  1 Digit                (Nomor)]])</f>
        <v>F4066</v>
      </c>
      <c r="L127" s="55" t="str">
        <f>IF(AG127="",CONCATENATE(Q127,S127,U127,W127,Y127,AA127,AC127,AE127,Table43[[#This Row],[Tanda Kode Revisi]]),CONCATENATE(Q127,S127,U127,W127,Y127,AA127,AC127,AG127))</f>
        <v>F4066003006013</v>
      </c>
      <c r="M127" s="59">
        <f t="shared" si="14"/>
        <v>14</v>
      </c>
      <c r="N127" s="60" t="str">
        <f>IF(AF127&lt;&gt;"",TRIM(UPPER(CONCATENATE(P127," ",R127," ",T127," ",V127," ",X127," ",Z127," ","X"," ",Table43[[#This Row],[ISI/CTN]]," ",AF127," ",AB127," ",AD127," ",AH127))),TRIM(UPPER(CONCATENATE(P127," ",R127," ",T127," ",V127," ",X127," ",Z127," ","X"," ",Table43[[#This Row],[ISI/CTN]]," ",AB127," ",AD127," ",AH127))))</f>
        <v>SHINZUI SABUN KIREI 60G X 72 PCS PROMO</v>
      </c>
      <c r="O127" s="59">
        <f t="shared" si="15"/>
        <v>38</v>
      </c>
      <c r="P127" s="55"/>
      <c r="Q127" s="56" t="s">
        <v>662</v>
      </c>
      <c r="R127" s="55" t="s">
        <v>680</v>
      </c>
      <c r="S127" s="61" t="s">
        <v>755</v>
      </c>
      <c r="T127" s="62" t="s">
        <v>665</v>
      </c>
      <c r="U127" s="56">
        <v>6</v>
      </c>
      <c r="V127" s="62"/>
      <c r="W127" s="61" t="s">
        <v>370</v>
      </c>
      <c r="X127" s="55" t="s">
        <v>683</v>
      </c>
      <c r="Y127" s="63" t="s">
        <v>752</v>
      </c>
      <c r="Z127" s="55" t="s">
        <v>772</v>
      </c>
      <c r="AA127" s="63" t="s">
        <v>762</v>
      </c>
      <c r="AB127" s="55" t="s">
        <v>187</v>
      </c>
      <c r="AC127" s="56">
        <v>1</v>
      </c>
      <c r="AD127" s="55" t="s">
        <v>1278</v>
      </c>
      <c r="AE127" s="56">
        <v>3</v>
      </c>
      <c r="AF127" s="56"/>
      <c r="AG127" s="56"/>
      <c r="AH127" s="56"/>
      <c r="AI127" s="56" t="s">
        <v>179</v>
      </c>
      <c r="AJ127" s="56">
        <v>1</v>
      </c>
      <c r="AK127" s="56"/>
      <c r="AL127" s="64"/>
      <c r="AM127" s="65">
        <f>Table43[[#This Row],[Harga Beli Pcs
(-PPN)]]*Table43[[#This Row],[ISI/CTN]]</f>
        <v>0</v>
      </c>
      <c r="AN127" s="65">
        <f>Table43[[#This Row],[Harga Beli Pcs
(-PPN)]]*1.11</f>
        <v>0</v>
      </c>
      <c r="AO127" s="65">
        <f>Table43[[#This Row],[Harga Beli Krt
(- PPN)]]*1.11</f>
        <v>0</v>
      </c>
      <c r="AP127" s="65"/>
      <c r="AQ127" s="65">
        <f>Table43[[#This Row],[Harga Jual Pcs GT
(-PPN)]]*Table43[[#This Row],[ISI/CTN]]</f>
        <v>0</v>
      </c>
      <c r="AR127" s="65">
        <f>Table43[[#This Row],[Harga Jual Pcs GT
(-PPN)]]*1.11</f>
        <v>0</v>
      </c>
      <c r="AS127" s="65">
        <f>Table43[[#This Row],[Harga Jual Krt GT
(- PPN)]]*1.11</f>
        <v>0</v>
      </c>
      <c r="AT127" s="65"/>
      <c r="AU127" s="65">
        <f>Table43[[#This Row],[Harga Jual Pcs MT
(-PPN)]]*Table43[[#This Row],[ISI/CTN]]</f>
        <v>0</v>
      </c>
      <c r="AV127" s="65">
        <f>Table43[[#This Row],[Harga Jual Pcs MT
(-PPN)]]*1.11</f>
        <v>0</v>
      </c>
      <c r="AW127" s="65">
        <f>Table43[[#This Row],[Harga Jual Pcs MT
(+PPN)]]*Table43[[#This Row],[ISI/CTN]]</f>
        <v>0</v>
      </c>
      <c r="AX127" s="66">
        <f>IFERROR((Table43[[#This Row],[Harga Jual Pcs GT
(-PPN)]]-Table43[[#This Row],[Harga Beli Pcs
(-PPN)]])/Table43[[#This Row],[Harga Jual Pcs GT
(-PPN)]],0)</f>
        <v>0</v>
      </c>
      <c r="AY127" s="67"/>
      <c r="AZ127" s="56"/>
      <c r="BA127" s="56" t="str">
        <f ca="1">IF(TODAY()-Table43[[#This Row],[Efektif
Pembuatan]]&gt;60,"Lama","Baru")</f>
        <v>Lama</v>
      </c>
      <c r="BB127" s="56" t="str">
        <f ca="1">IF(TODAY()-Table43[[#This Row],[Efektif Naik Harga]]&lt;30,"Naik","Sama")</f>
        <v>Sama</v>
      </c>
      <c r="BC127" s="56"/>
      <c r="BD127" s="56" t="str">
        <f>IF(Table43[[#This Row],[Kode BARANG Win2]]&lt;&gt;"","IDR","")</f>
        <v>IDR</v>
      </c>
      <c r="BE127" s="56" t="str">
        <f>CONCATENATE(Table43[[#This Row],[kode  1 Digit
(Nomor)]],Table43[[#This Row],[kode  4 Digit                (Nomor)]])</f>
        <v>10060</v>
      </c>
      <c r="BF127" s="56" t="str">
        <f>Table43[[#This Row],[Nama            Gramasi atau Jumlah Pack per CTN]]</f>
        <v>60G</v>
      </c>
      <c r="BG127" s="56"/>
      <c r="BH127" s="56"/>
      <c r="BI127" s="55" t="str">
        <f>IF(Table43[[#This Row],[SATUAN Fix Win]]&lt;&gt;"","KRT")</f>
        <v>KRT</v>
      </c>
      <c r="BJ127" s="55" t="str">
        <f>IF(Table43[[#This Row],[SATUAN Fix Win]]&lt;&gt;"","GD01")</f>
        <v>GD01</v>
      </c>
      <c r="BK127" s="55">
        <f>IF(Table43[[#This Row],[SATUAN Fix Win]]&lt;&gt;"",11611)</f>
        <v>11611</v>
      </c>
      <c r="BL127" s="55">
        <f>IF(Table43[[#This Row],[SATUAN Fix Win]]&lt;&gt;"",11612)</f>
        <v>11612</v>
      </c>
      <c r="BM127" s="68"/>
      <c r="BN127" s="55">
        <f>IF(Table43[[#This Row],[SATUAN Fix Win]]&lt;&gt;"",1)</f>
        <v>1</v>
      </c>
      <c r="BO127" s="55"/>
      <c r="BP127" s="55"/>
      <c r="BQ127" s="55"/>
      <c r="BR127" s="55"/>
    </row>
    <row r="128" spans="1:70" s="105" customFormat="1">
      <c r="A128" s="91" t="str">
        <f>CONCATENATE(Table43[[#This Row],[Kode BARANG Win2]],Table43[[#This Row],[No. Urut
Item Sama]])</f>
        <v>F40660060060201</v>
      </c>
      <c r="B128" s="92">
        <v>1</v>
      </c>
      <c r="C128" s="91">
        <v>165</v>
      </c>
      <c r="D128" s="106" t="s">
        <v>1258</v>
      </c>
      <c r="E128" s="93" t="s">
        <v>628</v>
      </c>
      <c r="F128" s="93" t="s">
        <v>1257</v>
      </c>
      <c r="G128" s="93">
        <v>24</v>
      </c>
      <c r="H128" s="107">
        <v>8992946535946</v>
      </c>
      <c r="I128" s="93" t="str">
        <f>Table43[[#This Row],[Nama Jenis Kemasan]]</f>
        <v>PACK</v>
      </c>
      <c r="J128" s="91" t="str">
        <f>TRIM(CONCATENATE(Table43[[#This Row],[Nama            KLP]]," ",Table43[[#This Row],[Nama            Sub KLP]]))</f>
        <v>SHINZUI SABUN</v>
      </c>
      <c r="K128" s="91" t="str">
        <f>CONCATENATE(Table43[[#This Row],[kode  2 Digit                (hrf+No)]],Table43[[#This Row],[kode  2 Digit                (Nomor)]],Table43[[#This Row],[kode  1 Digit                (Nomor)]])</f>
        <v>F4066</v>
      </c>
      <c r="L128" s="91" t="str">
        <f>IF(AG128="",CONCATENATE(Q128,S128,U128,W128,Y128,AA128,AC128,AE128,Table43[[#This Row],[Tanda Kode Revisi]]),CONCATENATE(Q128,S128,U128,W128,Y128,AA128,AC128,AG128))</f>
        <v>F4066006006020</v>
      </c>
      <c r="M128" s="95">
        <f t="shared" si="14"/>
        <v>14</v>
      </c>
      <c r="N128" s="96" t="str">
        <f>IF(AF128&lt;&gt;"",TRIM(UPPER(CONCATENATE(P128," ",R128," ",T128," ",V128," ",X128," ",Z128," ","X"," ",Table43[[#This Row],[ISI/CTN]]," ",AF128," ",AB128," ",AD128," ",AH128))),TRIM(UPPER(CONCATENATE(P128," ",R128," ",T128," ",V128," ",X128," ",Z128," ","X"," ",Table43[[#This Row],[ISI/CTN]]," ",AB128," ",AD128," ",AH128))))</f>
        <v>SHINZUI SABUN SAKURA 60G X 24 PACK</v>
      </c>
      <c r="O128" s="95">
        <f t="shared" si="15"/>
        <v>34</v>
      </c>
      <c r="P128" s="91"/>
      <c r="Q128" s="92" t="s">
        <v>662</v>
      </c>
      <c r="R128" s="91" t="s">
        <v>680</v>
      </c>
      <c r="S128" s="97" t="s">
        <v>755</v>
      </c>
      <c r="T128" s="98" t="s">
        <v>665</v>
      </c>
      <c r="U128" s="92">
        <v>6</v>
      </c>
      <c r="V128" s="98"/>
      <c r="W128" s="97" t="s">
        <v>370</v>
      </c>
      <c r="X128" s="91" t="s">
        <v>693</v>
      </c>
      <c r="Y128" s="99" t="s">
        <v>755</v>
      </c>
      <c r="Z128" s="91" t="s">
        <v>772</v>
      </c>
      <c r="AA128" s="99" t="s">
        <v>762</v>
      </c>
      <c r="AB128" s="91" t="s">
        <v>736</v>
      </c>
      <c r="AC128" s="92">
        <v>2</v>
      </c>
      <c r="AD128" s="91"/>
      <c r="AE128" s="92">
        <v>0</v>
      </c>
      <c r="AF128" s="92"/>
      <c r="AG128" s="92"/>
      <c r="AH128" s="92"/>
      <c r="AI128" s="92" t="s">
        <v>179</v>
      </c>
      <c r="AJ128" s="92">
        <v>1</v>
      </c>
      <c r="AK128" s="92"/>
      <c r="AL128" s="100">
        <v>2627.5540540540537</v>
      </c>
      <c r="AM128" s="101">
        <f>Table43[[#This Row],[Harga Beli Pcs
(-PPN)]]*Table43[[#This Row],[ISI/CTN]]</f>
        <v>63061.297297297293</v>
      </c>
      <c r="AN128" s="101">
        <f>Table43[[#This Row],[Harga Beli Pcs
(-PPN)]]*1.11</f>
        <v>2916.585</v>
      </c>
      <c r="AO128" s="101">
        <f>Table43[[#This Row],[Harga Beli Krt
(- PPN)]]*1.11</f>
        <v>69998.040000000008</v>
      </c>
      <c r="AP128" s="101">
        <v>2837.8378378378379</v>
      </c>
      <c r="AQ128" s="101">
        <f>Table43[[#This Row],[Harga Jual Pcs GT
(-PPN)]]*Table43[[#This Row],[ISI/CTN]]</f>
        <v>68108.108108108107</v>
      </c>
      <c r="AR128" s="101">
        <f>Table43[[#This Row],[Harga Jual Pcs GT
(-PPN)]]*1.11</f>
        <v>3150.0000000000005</v>
      </c>
      <c r="AS128" s="101">
        <f>Table43[[#This Row],[Harga Jual Krt GT
(- PPN)]]*1.11</f>
        <v>75600</v>
      </c>
      <c r="AT128" s="101"/>
      <c r="AU128" s="101">
        <f>Table43[[#This Row],[Harga Jual Pcs MT
(-PPN)]]*Table43[[#This Row],[ISI/CTN]]</f>
        <v>0</v>
      </c>
      <c r="AV128" s="101">
        <f>Table43[[#This Row],[Harga Jual Pcs MT
(-PPN)]]*1.11</f>
        <v>0</v>
      </c>
      <c r="AW128" s="101">
        <f>Table43[[#This Row],[Harga Jual Pcs MT
(+PPN)]]*Table43[[#This Row],[ISI/CTN]]</f>
        <v>0</v>
      </c>
      <c r="AX128" s="102">
        <f>IFERROR((Table43[[#This Row],[Harga Jual Pcs GT
(-PPN)]]-Table43[[#This Row],[Harga Beli Pcs
(-PPN)]])/Table43[[#This Row],[Harga Jual Pcs GT
(-PPN)]],0)</f>
        <v>7.4100000000000152E-2</v>
      </c>
      <c r="AY128" s="103">
        <v>46044</v>
      </c>
      <c r="AZ128" s="92"/>
      <c r="BA128" s="92" t="str">
        <f ca="1">IF(TODAY()-Table43[[#This Row],[Efektif
Pembuatan]]&gt;60,"Lama","Baru")</f>
        <v>Lama</v>
      </c>
      <c r="BB128" s="92" t="str">
        <f ca="1">IF(TODAY()-Table43[[#This Row],[Efektif Naik Harga]]&lt;30,"Naik","Sama")</f>
        <v>Sama</v>
      </c>
      <c r="BC128" s="92"/>
      <c r="BD128" s="92" t="str">
        <f>IF(Table43[[#This Row],[Kode BARANG Win2]]&lt;&gt;"","IDR","")</f>
        <v>IDR</v>
      </c>
      <c r="BE128" s="92" t="str">
        <f>CONCATENATE(Table43[[#This Row],[kode  1 Digit
(Nomor)]],Table43[[#This Row],[kode  4 Digit                (Nomor)]])</f>
        <v>10060</v>
      </c>
      <c r="BF128" s="92" t="str">
        <f>Table43[[#This Row],[Nama            Gramasi atau Jumlah Pack per CTN]]</f>
        <v>60G</v>
      </c>
      <c r="BG128" s="92"/>
      <c r="BH128" s="92"/>
      <c r="BI128" s="91" t="str">
        <f>IF(Table43[[#This Row],[SATUAN Fix Win]]&lt;&gt;"","KRT")</f>
        <v>KRT</v>
      </c>
      <c r="BJ128" s="91" t="str">
        <f>IF(Table43[[#This Row],[SATUAN Fix Win]]&lt;&gt;"","GD01")</f>
        <v>GD01</v>
      </c>
      <c r="BK128" s="91">
        <f>IF(Table43[[#This Row],[SATUAN Fix Win]]&lt;&gt;"",11611)</f>
        <v>11611</v>
      </c>
      <c r="BL128" s="91">
        <f>IF(Table43[[#This Row],[SATUAN Fix Win]]&lt;&gt;"",11612)</f>
        <v>11612</v>
      </c>
      <c r="BM128" s="104"/>
      <c r="BN128" s="91">
        <f>IF(Table43[[#This Row],[SATUAN Fix Win]]&lt;&gt;"",1)</f>
        <v>1</v>
      </c>
      <c r="BO128" s="91"/>
      <c r="BP128" s="91"/>
      <c r="BQ128" s="91"/>
      <c r="BR128" s="91"/>
    </row>
    <row r="129" spans="1:67">
      <c r="A129" s="4" t="str">
        <f>CONCATENATE(Table43[[#This Row],[Kode BARANG Win2]],Table43[[#This Row],[No. Urut
Item Sama]])</f>
        <v>F40660040060101</v>
      </c>
      <c r="B129" s="7">
        <v>1</v>
      </c>
      <c r="D129" s="73"/>
      <c r="E129" s="27"/>
      <c r="F129" s="27"/>
      <c r="G129" s="27">
        <v>72</v>
      </c>
      <c r="H129" s="54"/>
      <c r="I129" s="27" t="str">
        <f>Table43[[#This Row],[Nama Jenis Kemasan]]</f>
        <v>PCS</v>
      </c>
      <c r="J129" s="4" t="str">
        <f>TRIM(CONCATENATE(Table43[[#This Row],[Nama            KLP]]," ",Table43[[#This Row],[Nama            Sub KLP]]))</f>
        <v>SHINZUI SABUN</v>
      </c>
      <c r="K129" s="4" t="str">
        <f>CONCATENATE(Table43[[#This Row],[kode  2 Digit                (hrf+No)]],Table43[[#This Row],[kode  2 Digit                (Nomor)]],Table43[[#This Row],[kode  1 Digit                (Nomor)]])</f>
        <v>F4066</v>
      </c>
      <c r="L129" s="4" t="str">
        <f>IF(AG129="",CONCATENATE(Q129,S129,U129,W129,Y129,AA129,AC129,AE129,Table43[[#This Row],[Tanda Kode Revisi]]),CONCATENATE(Q129,S129,U129,W129,Y129,AA129,AC129,AG129))</f>
        <v>F4066004006010</v>
      </c>
      <c r="M129" s="11">
        <f t="shared" si="14"/>
        <v>14</v>
      </c>
      <c r="N129" s="14" t="str">
        <f>IF(AF129&lt;&gt;"",TRIM(UPPER(CONCATENATE(P129," ",R129," ",T129," ",V129," ",X129," ",Z129," ","X"," ",Table43[[#This Row],[ISI/CTN]]," ",AF129," ",AB129," ",AD129," ",AH129))),TRIM(UPPER(CONCATENATE(P129," ",R129," ",T129," ",V129," ",X129," ",Z129," ","X"," ",Table43[[#This Row],[ISI/CTN]]," ",AB129," ",AD129," ",AH129))))</f>
        <v>SHINZUI SABUN MATSU 60G X 72 PCS</v>
      </c>
      <c r="O129" s="11">
        <f t="shared" si="15"/>
        <v>32</v>
      </c>
      <c r="Q129" s="7" t="s">
        <v>662</v>
      </c>
      <c r="R129" s="4" t="s">
        <v>680</v>
      </c>
      <c r="S129" s="48" t="s">
        <v>755</v>
      </c>
      <c r="T129" s="49" t="s">
        <v>665</v>
      </c>
      <c r="U129" s="7">
        <v>6</v>
      </c>
      <c r="V129" s="49"/>
      <c r="W129" s="48" t="s">
        <v>370</v>
      </c>
      <c r="X129" s="4" t="s">
        <v>681</v>
      </c>
      <c r="Y129" s="50" t="s">
        <v>753</v>
      </c>
      <c r="Z129" s="4" t="s">
        <v>772</v>
      </c>
      <c r="AA129" s="50" t="s">
        <v>762</v>
      </c>
      <c r="AB129" s="4" t="s">
        <v>187</v>
      </c>
      <c r="AC129" s="7">
        <v>1</v>
      </c>
      <c r="AE129" s="7">
        <v>0</v>
      </c>
      <c r="AI129" s="92" t="s">
        <v>179</v>
      </c>
      <c r="AJ129" s="92">
        <v>1</v>
      </c>
      <c r="AL129" s="38"/>
      <c r="AM129" s="39">
        <f>Table43[[#This Row],[Harga Beli Pcs
(-PPN)]]*Table43[[#This Row],[ISI/CTN]]</f>
        <v>0</v>
      </c>
      <c r="AN129" s="39">
        <f>Table43[[#This Row],[Harga Beli Pcs
(-PPN)]]*1.11</f>
        <v>0</v>
      </c>
      <c r="AO129" s="39">
        <f>Table43[[#This Row],[Harga Beli Krt
(- PPN)]]*1.11</f>
        <v>0</v>
      </c>
      <c r="AP129" s="39"/>
      <c r="AQ129" s="39">
        <f>Table43[[#This Row],[Harga Jual Pcs GT
(-PPN)]]*Table43[[#This Row],[ISI/CTN]]</f>
        <v>0</v>
      </c>
      <c r="AR129" s="39">
        <f>Table43[[#This Row],[Harga Jual Pcs GT
(-PPN)]]*1.11</f>
        <v>0</v>
      </c>
      <c r="AS129" s="39">
        <f>Table43[[#This Row],[Harga Jual Krt GT
(- PPN)]]*1.11</f>
        <v>0</v>
      </c>
      <c r="AT129" s="39"/>
      <c r="AU129" s="39">
        <f>Table43[[#This Row],[Harga Jual Pcs MT
(-PPN)]]*Table43[[#This Row],[ISI/CTN]]</f>
        <v>0</v>
      </c>
      <c r="AV129" s="39">
        <f>Table43[[#This Row],[Harga Jual Pcs MT
(-PPN)]]*1.11</f>
        <v>0</v>
      </c>
      <c r="AW129" s="39">
        <f>Table43[[#This Row],[Harga Jual Pcs MT
(+PPN)]]*Table43[[#This Row],[ISI/CTN]]</f>
        <v>0</v>
      </c>
      <c r="AX129" s="47">
        <f>IFERROR((Table43[[#This Row],[Harga Jual Pcs GT
(-PPN)]]-Table43[[#This Row],[Harga Beli Pcs
(-PPN)]])/Table43[[#This Row],[Harga Jual Pcs GT
(-PPN)]],0)</f>
        <v>0</v>
      </c>
      <c r="AY129" s="51"/>
      <c r="AZ129" s="7"/>
      <c r="BA129" s="7" t="str">
        <f ca="1">IF(TODAY()-Table43[[#This Row],[Efektif
Pembuatan]]&gt;60,"Lama","Baru")</f>
        <v>Lama</v>
      </c>
      <c r="BB129" s="7" t="str">
        <f ca="1">IF(TODAY()-Table43[[#This Row],[Efektif Naik Harga]]&lt;30,"Naik","Sama")</f>
        <v>Sama</v>
      </c>
      <c r="BC129" s="7"/>
      <c r="BD129" s="7" t="str">
        <f>IF(Table43[[#This Row],[Kode BARANG Win2]]&lt;&gt;"","IDR","")</f>
        <v>IDR</v>
      </c>
      <c r="BE129" s="7" t="str">
        <f>CONCATENATE(Table43[[#This Row],[kode  1 Digit
(Nomor)]],Table43[[#This Row],[kode  4 Digit                (Nomor)]])</f>
        <v>10060</v>
      </c>
      <c r="BF129" s="7" t="str">
        <f>Table43[[#This Row],[Nama            Gramasi atau Jumlah Pack per CTN]]</f>
        <v>60G</v>
      </c>
      <c r="BG129" s="7"/>
      <c r="BH129" s="7"/>
      <c r="BI129" s="4" t="str">
        <f>IF(Table43[[#This Row],[SATUAN Fix Win]]&lt;&gt;"","KRT")</f>
        <v>KRT</v>
      </c>
      <c r="BJ129" s="4" t="str">
        <f>IF(Table43[[#This Row],[SATUAN Fix Win]]&lt;&gt;"","GD01")</f>
        <v>GD01</v>
      </c>
      <c r="BK129" s="4">
        <f>IF(Table43[[#This Row],[SATUAN Fix Win]]&lt;&gt;"",11611)</f>
        <v>11611</v>
      </c>
      <c r="BL129" s="4">
        <f>IF(Table43[[#This Row],[SATUAN Fix Win]]&lt;&gt;"",11612)</f>
        <v>11612</v>
      </c>
      <c r="BM129" s="52"/>
      <c r="BN129" s="4">
        <f>IF(Table43[[#This Row],[SATUAN Fix Win]]&lt;&gt;"",1)</f>
        <v>1</v>
      </c>
    </row>
    <row r="130" spans="1:67">
      <c r="A130" s="4" t="str">
        <f>CONCATENATE(Table43[[#This Row],[Kode BARANG Win2]],Table43[[#This Row],[No. Urut
Item Sama]])</f>
        <v>F40660030060101</v>
      </c>
      <c r="B130" s="7">
        <v>1</v>
      </c>
      <c r="D130" s="73"/>
      <c r="E130" s="27"/>
      <c r="F130" s="27"/>
      <c r="G130" s="27">
        <v>72</v>
      </c>
      <c r="H130" s="54"/>
      <c r="I130" s="27" t="str">
        <f>Table43[[#This Row],[Nama Jenis Kemasan]]</f>
        <v>PCS</v>
      </c>
      <c r="J130" s="4" t="str">
        <f>TRIM(CONCATENATE(Table43[[#This Row],[Nama            KLP]]," ",Table43[[#This Row],[Nama            Sub KLP]]))</f>
        <v>SHINZUI SABUN</v>
      </c>
      <c r="K130" s="4" t="str">
        <f>CONCATENATE(Table43[[#This Row],[kode  2 Digit                (hrf+No)]],Table43[[#This Row],[kode  2 Digit                (Nomor)]],Table43[[#This Row],[kode  1 Digit                (Nomor)]])</f>
        <v>F4066</v>
      </c>
      <c r="L130" s="4" t="str">
        <f>IF(AG130="",CONCATENATE(Q130,S130,U130,W130,Y130,AA130,AC130,AE130,Table43[[#This Row],[Tanda Kode Revisi]]),CONCATENATE(Q130,S130,U130,W130,Y130,AA130,AC130,AG130))</f>
        <v>F4066003006010</v>
      </c>
      <c r="M130" s="11">
        <f t="shared" si="14"/>
        <v>14</v>
      </c>
      <c r="N130" s="14" t="str">
        <f>IF(AF130&lt;&gt;"",TRIM(UPPER(CONCATENATE(P130," ",R130," ",T130," ",V130," ",X130," ",Z130," ","X"," ",Table43[[#This Row],[ISI/CTN]]," ",AF130," ",AB130," ",AD130," ",AH130))),TRIM(UPPER(CONCATENATE(P130," ",R130," ",T130," ",V130," ",X130," ",Z130," ","X"," ",Table43[[#This Row],[ISI/CTN]]," ",AB130," ",AD130," ",AH130))))</f>
        <v>SHINZUI SABUN KIREI 60G X 72 PCS</v>
      </c>
      <c r="O130" s="11">
        <f t="shared" si="15"/>
        <v>32</v>
      </c>
      <c r="Q130" s="7" t="s">
        <v>662</v>
      </c>
      <c r="R130" s="4" t="s">
        <v>680</v>
      </c>
      <c r="S130" s="48" t="s">
        <v>755</v>
      </c>
      <c r="T130" s="49" t="s">
        <v>665</v>
      </c>
      <c r="U130" s="7">
        <v>6</v>
      </c>
      <c r="V130" s="49"/>
      <c r="W130" s="48" t="s">
        <v>370</v>
      </c>
      <c r="X130" s="4" t="s">
        <v>683</v>
      </c>
      <c r="Y130" s="50" t="s">
        <v>752</v>
      </c>
      <c r="Z130" s="4" t="s">
        <v>772</v>
      </c>
      <c r="AA130" s="50" t="s">
        <v>762</v>
      </c>
      <c r="AB130" s="4" t="s">
        <v>187</v>
      </c>
      <c r="AC130" s="7">
        <v>1</v>
      </c>
      <c r="AE130" s="7">
        <v>0</v>
      </c>
      <c r="AL130" s="38"/>
      <c r="AM130" s="39">
        <f>Table43[[#This Row],[Harga Beli Pcs
(-PPN)]]*Table43[[#This Row],[ISI/CTN]]</f>
        <v>0</v>
      </c>
      <c r="AN130" s="39">
        <f>Table43[[#This Row],[Harga Beli Pcs
(-PPN)]]*1.11</f>
        <v>0</v>
      </c>
      <c r="AO130" s="39">
        <f>Table43[[#This Row],[Harga Beli Krt
(- PPN)]]*1.11</f>
        <v>0</v>
      </c>
      <c r="AP130" s="39"/>
      <c r="AQ130" s="39">
        <f>Table43[[#This Row],[Harga Jual Pcs GT
(-PPN)]]*Table43[[#This Row],[ISI/CTN]]</f>
        <v>0</v>
      </c>
      <c r="AR130" s="39">
        <f>Table43[[#This Row],[Harga Jual Pcs GT
(-PPN)]]*1.11</f>
        <v>0</v>
      </c>
      <c r="AS130" s="39">
        <f>Table43[[#This Row],[Harga Jual Krt GT
(- PPN)]]*1.11</f>
        <v>0</v>
      </c>
      <c r="AT130" s="39"/>
      <c r="AU130" s="39">
        <f>Table43[[#This Row],[Harga Jual Pcs MT
(-PPN)]]*Table43[[#This Row],[ISI/CTN]]</f>
        <v>0</v>
      </c>
      <c r="AV130" s="39">
        <f>Table43[[#This Row],[Harga Jual Pcs MT
(-PPN)]]*1.11</f>
        <v>0</v>
      </c>
      <c r="AW130" s="39">
        <f>Table43[[#This Row],[Harga Jual Pcs MT
(+PPN)]]*Table43[[#This Row],[ISI/CTN]]</f>
        <v>0</v>
      </c>
      <c r="AX130" s="47">
        <f>IFERROR((Table43[[#This Row],[Harga Jual Pcs GT
(-PPN)]]-Table43[[#This Row],[Harga Beli Pcs
(-PPN)]])/Table43[[#This Row],[Harga Jual Pcs GT
(-PPN)]],0)</f>
        <v>0</v>
      </c>
      <c r="AY130" s="51"/>
      <c r="AZ130" s="7"/>
      <c r="BA130" s="7" t="str">
        <f ca="1">IF(TODAY()-Table43[[#This Row],[Efektif
Pembuatan]]&gt;60,"Lama","Baru")</f>
        <v>Lama</v>
      </c>
      <c r="BB130" s="7" t="str">
        <f ca="1">IF(TODAY()-Table43[[#This Row],[Efektif Naik Harga]]&lt;30,"Naik","Sama")</f>
        <v>Sama</v>
      </c>
      <c r="BC130" s="7"/>
      <c r="BD130" s="7" t="str">
        <f>IF(Table43[[#This Row],[Kode BARANG Win2]]&lt;&gt;"","IDR","")</f>
        <v>IDR</v>
      </c>
      <c r="BE130" s="7" t="str">
        <f>CONCATENATE(Table43[[#This Row],[kode  1 Digit
(Nomor)]],Table43[[#This Row],[kode  4 Digit                (Nomor)]])</f>
        <v>0060</v>
      </c>
      <c r="BF130" s="7" t="str">
        <f>Table43[[#This Row],[Nama            Gramasi atau Jumlah Pack per CTN]]</f>
        <v>60G</v>
      </c>
      <c r="BG130" s="7"/>
      <c r="BH130" s="7"/>
      <c r="BI130" s="4" t="str">
        <f>IF(Table43[[#This Row],[SATUAN Fix Win]]&lt;&gt;"","KRT")</f>
        <v>KRT</v>
      </c>
      <c r="BJ130" s="4" t="str">
        <f>IF(Table43[[#This Row],[SATUAN Fix Win]]&lt;&gt;"","GD01")</f>
        <v>GD01</v>
      </c>
      <c r="BK130" s="4">
        <f>IF(Table43[[#This Row],[SATUAN Fix Win]]&lt;&gt;"",11611)</f>
        <v>11611</v>
      </c>
      <c r="BL130" s="4">
        <f>IF(Table43[[#This Row],[SATUAN Fix Win]]&lt;&gt;"",11612)</f>
        <v>11612</v>
      </c>
      <c r="BM130" s="52"/>
      <c r="BN130" s="4">
        <f>IF(Table43[[#This Row],[SATUAN Fix Win]]&lt;&gt;"",1)</f>
        <v>1</v>
      </c>
    </row>
    <row r="131" spans="1:67">
      <c r="A131" s="4" t="str">
        <f>CONCATENATE(Table43[[#This Row],[Kode BARANG Win2]],Table43[[#This Row],[No. Urut
Item Sama]])</f>
        <v>F40671010180101</v>
      </c>
      <c r="B131" s="7">
        <v>1</v>
      </c>
      <c r="C131" s="4">
        <v>101</v>
      </c>
      <c r="D131" s="27" t="s">
        <v>451</v>
      </c>
      <c r="E131" s="27" t="s">
        <v>628</v>
      </c>
      <c r="F131" s="27" t="s">
        <v>572</v>
      </c>
      <c r="G131" s="27">
        <v>48</v>
      </c>
      <c r="H131" s="54">
        <v>8992946522277</v>
      </c>
      <c r="I131" s="27" t="str">
        <f>Table43[[#This Row],[Nama Jenis Kemasan]]</f>
        <v>PCH</v>
      </c>
      <c r="J131" s="4" t="str">
        <f>TRIM(CONCATENATE(Table43[[#This Row],[Nama            KLP]]," ",Table43[[#This Row],[Nama            Sub KLP]]))</f>
        <v>SHINZUI SABUN CAIR</v>
      </c>
      <c r="K131" s="4" t="str">
        <f>CONCATENATE(Table43[[#This Row],[kode  2 Digit                (hrf+No)]],Table43[[#This Row],[kode  2 Digit                (Nomor)]],Table43[[#This Row],[kode  1 Digit                (Nomor)]])</f>
        <v>F4067</v>
      </c>
      <c r="L131" s="4" t="str">
        <f>IF(AG131="",CONCATENATE(Q131,S131,U131,W131,Y131,AA131,AC131,AE131,Table43[[#This Row],[Tanda Kode Revisi]]),CONCATENATE(Q131,S131,U131,W131,Y131,AA131,AC131,AG131))</f>
        <v>F4067101018010</v>
      </c>
      <c r="M131" s="11">
        <f t="shared" si="8"/>
        <v>14</v>
      </c>
      <c r="N131" s="14" t="str">
        <f>IF(AF131&lt;&gt;"",TRIM(UPPER(CONCATENATE(P131," ",R131," ",T131," ",V131," ",X131," ",Z131," ","X"," ",Table43[[#This Row],[ISI/CTN]]," ",AF131," ",AB131," ",AD131," ",AH131))),TRIM(UPPER(CONCATENATE(P131," ",R131," ",T131," ",V131," ",X131," ",Z131," ","X"," ",Table43[[#This Row],[ISI/CTN]]," ",AB131," ",AD131," ",AH131))))</f>
        <v>SHINZUI SABUN CAIR REFILL KENSHO 180ML X 48 PCH</v>
      </c>
      <c r="O131" s="11">
        <f t="shared" si="9"/>
        <v>47</v>
      </c>
      <c r="Q131" s="7" t="s">
        <v>662</v>
      </c>
      <c r="R131" s="4" t="s">
        <v>680</v>
      </c>
      <c r="S131" s="48" t="s">
        <v>755</v>
      </c>
      <c r="T131" s="49" t="s">
        <v>690</v>
      </c>
      <c r="U131" s="7">
        <v>7</v>
      </c>
      <c r="V131" s="49" t="s">
        <v>668</v>
      </c>
      <c r="W131" s="48" t="s">
        <v>750</v>
      </c>
      <c r="X131" s="4" t="s">
        <v>694</v>
      </c>
      <c r="Y131" s="50" t="s">
        <v>749</v>
      </c>
      <c r="Z131" s="4" t="s">
        <v>688</v>
      </c>
      <c r="AA131" s="50" t="s">
        <v>744</v>
      </c>
      <c r="AB131" s="4" t="s">
        <v>671</v>
      </c>
      <c r="AC131" s="7">
        <v>1</v>
      </c>
      <c r="AE131" s="7">
        <v>0</v>
      </c>
      <c r="AI131" s="7" t="s">
        <v>178</v>
      </c>
      <c r="AJ131" s="7">
        <v>2</v>
      </c>
      <c r="AL131" s="38">
        <v>10927.28828828829</v>
      </c>
      <c r="AM131" s="39">
        <f>Table43[[#This Row],[Harga Beli Pcs
(-PPN)]]*Table43[[#This Row],[ISI/CTN]]</f>
        <v>524509.83783783787</v>
      </c>
      <c r="AN131" s="39">
        <f>Table43[[#This Row],[Harga Beli Pcs
(-PPN)]]*1.11</f>
        <v>12129.290000000003</v>
      </c>
      <c r="AO131" s="39">
        <f>Table43[[#This Row],[Harga Beli Krt
(- PPN)]]*1.11</f>
        <v>582205.92000000004</v>
      </c>
      <c r="AP131" s="39">
        <v>11801.801801801799</v>
      </c>
      <c r="AQ131" s="39">
        <f>Table43[[#This Row],[Harga Jual Pcs GT
(-PPN)]]*Table43[[#This Row],[ISI/CTN]]</f>
        <v>566486.48648648639</v>
      </c>
      <c r="AR131" s="39">
        <f>Table43[[#This Row],[Harga Jual Pcs GT
(-PPN)]]*1.11</f>
        <v>13099.999999999998</v>
      </c>
      <c r="AS131" s="39">
        <f>Table43[[#This Row],[Harga Jual Krt GT
(- PPN)]]*1.11</f>
        <v>628800</v>
      </c>
      <c r="AT131" s="39"/>
      <c r="AU131" s="39">
        <f>Table43[[#This Row],[Harga Jual Pcs MT
(-PPN)]]*Table43[[#This Row],[ISI/CTN]]</f>
        <v>0</v>
      </c>
      <c r="AV131" s="39">
        <f>Table43[[#This Row],[Harga Jual Pcs MT
(-PPN)]]*1.11</f>
        <v>0</v>
      </c>
      <c r="AW131" s="39">
        <f>Table43[[#This Row],[Harga Jual Pcs MT
(+PPN)]]*Table43[[#This Row],[ISI/CTN]]</f>
        <v>0</v>
      </c>
      <c r="AX131" s="47">
        <f>IFERROR((Table43[[#This Row],[Harga Jual Pcs GT
(-PPN)]]-Table43[[#This Row],[Harga Beli Pcs
(-PPN)]])/Table43[[#This Row],[Harga Jual Pcs GT
(-PPN)]],0)</f>
        <v>7.4099999999999694E-2</v>
      </c>
      <c r="AY131" s="51">
        <v>45848</v>
      </c>
      <c r="AZ131" s="7"/>
      <c r="BA131" s="7" t="str">
        <f ca="1">IF(TODAY()-Table43[[#This Row],[Efektif
Pembuatan]]&gt;60,"Lama","Baru")</f>
        <v>Lama</v>
      </c>
      <c r="BB131" s="7" t="str">
        <f ca="1">IF(TODAY()-Table43[[#This Row],[Efektif Naik Harga]]&lt;30,"Naik","Sama")</f>
        <v>Sama</v>
      </c>
      <c r="BC131" s="7" t="s">
        <v>185</v>
      </c>
      <c r="BD131" s="7" t="str">
        <f>IF(Table43[[#This Row],[Kode BARANG Win2]]&lt;&gt;"","IDR","")</f>
        <v>IDR</v>
      </c>
      <c r="BE131" s="7" t="str">
        <f>CONCATENATE(Table43[[#This Row],[kode  1 Digit
(Nomor)]],Table43[[#This Row],[kode  4 Digit                (Nomor)]])</f>
        <v>20180</v>
      </c>
      <c r="BF131" s="7" t="str">
        <f>Table43[[#This Row],[Nama            Gramasi atau Jumlah Pack per CTN]]</f>
        <v>180ML</v>
      </c>
      <c r="BG131" s="7" t="s">
        <v>1060</v>
      </c>
      <c r="BH131" s="7" t="s">
        <v>377</v>
      </c>
      <c r="BI131" s="4" t="str">
        <f>IF(Table43[[#This Row],[SATUAN Fix Win]]&lt;&gt;"","KRT")</f>
        <v>KRT</v>
      </c>
      <c r="BJ131" s="4" t="str">
        <f>IF(Table43[[#This Row],[SATUAN Fix Win]]&lt;&gt;"","GD01")</f>
        <v>GD01</v>
      </c>
      <c r="BK131" s="4">
        <f>IF(Table43[[#This Row],[SATUAN Fix Win]]&lt;&gt;"",11611)</f>
        <v>11611</v>
      </c>
      <c r="BL131" s="4">
        <f>IF(Table43[[#This Row],[SATUAN Fix Win]]&lt;&gt;"",11612)</f>
        <v>11612</v>
      </c>
      <c r="BM131" s="52" t="s">
        <v>378</v>
      </c>
      <c r="BN131" s="4">
        <f>IF(Table43[[#This Row],[SATUAN Fix Win]]&lt;&gt;"",1)</f>
        <v>1</v>
      </c>
      <c r="BO131" s="4" t="s">
        <v>637</v>
      </c>
    </row>
    <row r="132" spans="1:67">
      <c r="A132" s="4" t="str">
        <f>CONCATENATE(Table43[[#This Row],[Kode BARANG Win2]],Table43[[#This Row],[No. Urut
Item Sama]])</f>
        <v>F40671020180101</v>
      </c>
      <c r="B132" s="7">
        <v>1</v>
      </c>
      <c r="C132" s="4">
        <v>102</v>
      </c>
      <c r="D132" s="27" t="s">
        <v>438</v>
      </c>
      <c r="E132" s="27" t="s">
        <v>628</v>
      </c>
      <c r="F132" s="27" t="s">
        <v>559</v>
      </c>
      <c r="G132" s="27">
        <v>48</v>
      </c>
      <c r="H132" s="54">
        <v>8992946519400</v>
      </c>
      <c r="I132" s="27" t="str">
        <f>Table43[[#This Row],[Nama Jenis Kemasan]]</f>
        <v>PCH</v>
      </c>
      <c r="J132" s="4" t="str">
        <f>TRIM(CONCATENATE(Table43[[#This Row],[Nama            KLP]]," ",Table43[[#This Row],[Nama            Sub KLP]]))</f>
        <v>SHINZUI SABUN CAIR</v>
      </c>
      <c r="K132" s="4" t="str">
        <f>CONCATENATE(Table43[[#This Row],[kode  2 Digit                (hrf+No)]],Table43[[#This Row],[kode  2 Digit                (Nomor)]],Table43[[#This Row],[kode  1 Digit                (Nomor)]])</f>
        <v>F4067</v>
      </c>
      <c r="L132" s="4" t="str">
        <f>IF(AG132="",CONCATENATE(Q132,S132,U132,W132,Y132,AA132,AC132,AE132,Table43[[#This Row],[Tanda Kode Revisi]]),CONCATENATE(Q132,S132,U132,W132,Y132,AA132,AC132,AG132))</f>
        <v>F4067102018010</v>
      </c>
      <c r="M132" s="11">
        <f t="shared" si="8"/>
        <v>14</v>
      </c>
      <c r="N132" s="14" t="str">
        <f>IF(AF132&lt;&gt;"",TRIM(UPPER(CONCATENATE(P132," ",R132," ",T132," ",V132," ",X132," ",Z132," ","X"," ",Table43[[#This Row],[ISI/CTN]]," ",AF132," ",AB132," ",AD132," ",AH132))),TRIM(UPPER(CONCATENATE(P132," ",R132," ",T132," ",V132," ",X132," ",Z132," ","X"," ",Table43[[#This Row],[ISI/CTN]]," ",AB132," ",AD132," ",AH132))))</f>
        <v>SHINZUI SABUN CAIR REFILL KIREI 180ML X 48 PCH</v>
      </c>
      <c r="O132" s="11">
        <f t="shared" si="9"/>
        <v>46</v>
      </c>
      <c r="Q132" s="7" t="s">
        <v>662</v>
      </c>
      <c r="R132" s="4" t="s">
        <v>680</v>
      </c>
      <c r="S132" s="48" t="s">
        <v>755</v>
      </c>
      <c r="T132" s="49" t="s">
        <v>690</v>
      </c>
      <c r="U132" s="7">
        <v>7</v>
      </c>
      <c r="V132" s="49" t="s">
        <v>668</v>
      </c>
      <c r="W132" s="48" t="s">
        <v>750</v>
      </c>
      <c r="X132" s="4" t="s">
        <v>683</v>
      </c>
      <c r="Y132" s="50" t="s">
        <v>751</v>
      </c>
      <c r="Z132" s="4" t="s">
        <v>688</v>
      </c>
      <c r="AA132" s="50" t="s">
        <v>744</v>
      </c>
      <c r="AB132" s="4" t="s">
        <v>671</v>
      </c>
      <c r="AC132" s="7">
        <v>1</v>
      </c>
      <c r="AE132" s="7">
        <v>0</v>
      </c>
      <c r="AI132" s="7" t="s">
        <v>178</v>
      </c>
      <c r="AJ132" s="7">
        <v>2</v>
      </c>
      <c r="AL132" s="38">
        <v>10927.28828828829</v>
      </c>
      <c r="AM132" s="39">
        <f>Table43[[#This Row],[Harga Beli Pcs
(-PPN)]]*Table43[[#This Row],[ISI/CTN]]</f>
        <v>524509.83783783787</v>
      </c>
      <c r="AN132" s="39">
        <f>Table43[[#This Row],[Harga Beli Pcs
(-PPN)]]*1.11</f>
        <v>12129.290000000003</v>
      </c>
      <c r="AO132" s="39">
        <f>Table43[[#This Row],[Harga Beli Krt
(- PPN)]]*1.11</f>
        <v>582205.92000000004</v>
      </c>
      <c r="AP132" s="39">
        <v>11801.801801801799</v>
      </c>
      <c r="AQ132" s="39">
        <f>Table43[[#This Row],[Harga Jual Pcs GT
(-PPN)]]*Table43[[#This Row],[ISI/CTN]]</f>
        <v>566486.48648648639</v>
      </c>
      <c r="AR132" s="39">
        <f>Table43[[#This Row],[Harga Jual Pcs GT
(-PPN)]]*1.11</f>
        <v>13099.999999999998</v>
      </c>
      <c r="AS132" s="39">
        <f>Table43[[#This Row],[Harga Jual Krt GT
(- PPN)]]*1.11</f>
        <v>628800</v>
      </c>
      <c r="AT132" s="39"/>
      <c r="AU132" s="39">
        <f>Table43[[#This Row],[Harga Jual Pcs MT
(-PPN)]]*Table43[[#This Row],[ISI/CTN]]</f>
        <v>0</v>
      </c>
      <c r="AV132" s="39">
        <f>Table43[[#This Row],[Harga Jual Pcs MT
(-PPN)]]*1.11</f>
        <v>0</v>
      </c>
      <c r="AW132" s="39">
        <f>Table43[[#This Row],[Harga Jual Pcs MT
(+PPN)]]*Table43[[#This Row],[ISI/CTN]]</f>
        <v>0</v>
      </c>
      <c r="AX132" s="47">
        <f>IFERROR((Table43[[#This Row],[Harga Jual Pcs GT
(-PPN)]]-Table43[[#This Row],[Harga Beli Pcs
(-PPN)]])/Table43[[#This Row],[Harga Jual Pcs GT
(-PPN)]],0)</f>
        <v>7.4099999999999694E-2</v>
      </c>
      <c r="AY132" s="51">
        <v>45848</v>
      </c>
      <c r="AZ132" s="7"/>
      <c r="BA132" s="7" t="str">
        <f ca="1">IF(TODAY()-Table43[[#This Row],[Efektif
Pembuatan]]&gt;60,"Lama","Baru")</f>
        <v>Lama</v>
      </c>
      <c r="BB132" s="7" t="str">
        <f ca="1">IF(TODAY()-Table43[[#This Row],[Efektif Naik Harga]]&lt;30,"Naik","Sama")</f>
        <v>Sama</v>
      </c>
      <c r="BC132" s="7" t="s">
        <v>185</v>
      </c>
      <c r="BD132" s="7" t="str">
        <f>IF(Table43[[#This Row],[Kode BARANG Win2]]&lt;&gt;"","IDR","")</f>
        <v>IDR</v>
      </c>
      <c r="BE132" s="7" t="str">
        <f>CONCATENATE(Table43[[#This Row],[kode  1 Digit
(Nomor)]],Table43[[#This Row],[kode  4 Digit                (Nomor)]])</f>
        <v>20180</v>
      </c>
      <c r="BF132" s="7" t="str">
        <f>Table43[[#This Row],[Nama            Gramasi atau Jumlah Pack per CTN]]</f>
        <v>180ML</v>
      </c>
      <c r="BG132" s="7" t="s">
        <v>1060</v>
      </c>
      <c r="BH132" s="7" t="s">
        <v>377</v>
      </c>
      <c r="BI132" s="4" t="str">
        <f>IF(Table43[[#This Row],[SATUAN Fix Win]]&lt;&gt;"","KRT")</f>
        <v>KRT</v>
      </c>
      <c r="BJ132" s="4" t="str">
        <f>IF(Table43[[#This Row],[SATUAN Fix Win]]&lt;&gt;"","GD01")</f>
        <v>GD01</v>
      </c>
      <c r="BK132" s="4">
        <f>IF(Table43[[#This Row],[SATUAN Fix Win]]&lt;&gt;"",11611)</f>
        <v>11611</v>
      </c>
      <c r="BL132" s="4">
        <f>IF(Table43[[#This Row],[SATUAN Fix Win]]&lt;&gt;"",11612)</f>
        <v>11612</v>
      </c>
      <c r="BM132" s="52" t="s">
        <v>378</v>
      </c>
      <c r="BN132" s="4">
        <f>IF(Table43[[#This Row],[SATUAN Fix Win]]&lt;&gt;"",1)</f>
        <v>1</v>
      </c>
      <c r="BO132" s="4" t="s">
        <v>637</v>
      </c>
    </row>
    <row r="133" spans="1:67">
      <c r="A133" s="4" t="str">
        <f>CONCATENATE(Table43[[#This Row],[Kode BARANG Win2]],Table43[[#This Row],[No. Urut
Item Sama]])</f>
        <v>F40671030180101</v>
      </c>
      <c r="B133" s="7">
        <v>1</v>
      </c>
      <c r="C133" s="4">
        <v>103</v>
      </c>
      <c r="D133" s="27" t="s">
        <v>442</v>
      </c>
      <c r="E133" s="27" t="s">
        <v>628</v>
      </c>
      <c r="F133" s="27" t="s">
        <v>563</v>
      </c>
      <c r="G133" s="27">
        <v>48</v>
      </c>
      <c r="H133" s="54">
        <v>8992946522253</v>
      </c>
      <c r="I133" s="27" t="str">
        <f>Table43[[#This Row],[Nama Jenis Kemasan]]</f>
        <v>PCH</v>
      </c>
      <c r="J133" s="4" t="str">
        <f>TRIM(CONCATENATE(Table43[[#This Row],[Nama            KLP]]," ",Table43[[#This Row],[Nama            Sub KLP]]))</f>
        <v>SHINZUI SABUN CAIR</v>
      </c>
      <c r="K133" s="4" t="str">
        <f>CONCATENATE(Table43[[#This Row],[kode  2 Digit                (hrf+No)]],Table43[[#This Row],[kode  2 Digit                (Nomor)]],Table43[[#This Row],[kode  1 Digit                (Nomor)]])</f>
        <v>F4067</v>
      </c>
      <c r="L133" s="4" t="str">
        <f>IF(AG133="",CONCATENATE(Q133,S133,U133,W133,Y133,AA133,AC133,AE133,Table43[[#This Row],[Tanda Kode Revisi]]),CONCATENATE(Q133,S133,U133,W133,Y133,AA133,AC133,AG133))</f>
        <v>F4067103018010</v>
      </c>
      <c r="M133" s="11">
        <f t="shared" si="8"/>
        <v>14</v>
      </c>
      <c r="N133" s="14" t="str">
        <f>IF(AF133&lt;&gt;"",TRIM(UPPER(CONCATENATE(P133," ",R133," ",T133," ",V133," ",X133," ",Z133," ","X"," ",Table43[[#This Row],[ISI/CTN]]," ",AF133," ",AB133," ",AD133," ",AH133))),TRIM(UPPER(CONCATENATE(P133," ",R133," ",T133," ",V133," ",X133," ",Z133," ","X"," ",Table43[[#This Row],[ISI/CTN]]," ",AB133," ",AD133," ",AH133))))</f>
        <v>SHINZUI SABUN CAIR REFILL MYORI 180ML X 48 PCH</v>
      </c>
      <c r="O133" s="11">
        <f t="shared" si="9"/>
        <v>46</v>
      </c>
      <c r="Q133" s="7" t="s">
        <v>662</v>
      </c>
      <c r="R133" s="4" t="s">
        <v>680</v>
      </c>
      <c r="S133" s="48" t="s">
        <v>755</v>
      </c>
      <c r="T133" s="49" t="s">
        <v>690</v>
      </c>
      <c r="U133" s="7">
        <v>7</v>
      </c>
      <c r="V133" s="49" t="s">
        <v>668</v>
      </c>
      <c r="W133" s="48" t="s">
        <v>750</v>
      </c>
      <c r="X133" s="4" t="s">
        <v>692</v>
      </c>
      <c r="Y133" s="50" t="s">
        <v>752</v>
      </c>
      <c r="Z133" s="4" t="s">
        <v>688</v>
      </c>
      <c r="AA133" s="50" t="s">
        <v>744</v>
      </c>
      <c r="AB133" s="4" t="s">
        <v>671</v>
      </c>
      <c r="AC133" s="7">
        <v>1</v>
      </c>
      <c r="AE133" s="7">
        <v>0</v>
      </c>
      <c r="AI133" s="7" t="s">
        <v>178</v>
      </c>
      <c r="AJ133" s="7">
        <v>2</v>
      </c>
      <c r="AL133" s="38">
        <v>10927.28828828829</v>
      </c>
      <c r="AM133" s="39">
        <f>Table43[[#This Row],[Harga Beli Pcs
(-PPN)]]*Table43[[#This Row],[ISI/CTN]]</f>
        <v>524509.83783783787</v>
      </c>
      <c r="AN133" s="39">
        <f>Table43[[#This Row],[Harga Beli Pcs
(-PPN)]]*1.11</f>
        <v>12129.290000000003</v>
      </c>
      <c r="AO133" s="39">
        <f>Table43[[#This Row],[Harga Beli Krt
(- PPN)]]*1.11</f>
        <v>582205.92000000004</v>
      </c>
      <c r="AP133" s="39">
        <v>11801.801801801799</v>
      </c>
      <c r="AQ133" s="39">
        <f>Table43[[#This Row],[Harga Jual Pcs GT
(-PPN)]]*Table43[[#This Row],[ISI/CTN]]</f>
        <v>566486.48648648639</v>
      </c>
      <c r="AR133" s="39">
        <f>Table43[[#This Row],[Harga Jual Pcs GT
(-PPN)]]*1.11</f>
        <v>13099.999999999998</v>
      </c>
      <c r="AS133" s="39">
        <f>Table43[[#This Row],[Harga Jual Krt GT
(- PPN)]]*1.11</f>
        <v>628800</v>
      </c>
      <c r="AT133" s="39"/>
      <c r="AU133" s="39">
        <f>Table43[[#This Row],[Harga Jual Pcs MT
(-PPN)]]*Table43[[#This Row],[ISI/CTN]]</f>
        <v>0</v>
      </c>
      <c r="AV133" s="39">
        <f>Table43[[#This Row],[Harga Jual Pcs MT
(-PPN)]]*1.11</f>
        <v>0</v>
      </c>
      <c r="AW133" s="39">
        <f>Table43[[#This Row],[Harga Jual Pcs MT
(+PPN)]]*Table43[[#This Row],[ISI/CTN]]</f>
        <v>0</v>
      </c>
      <c r="AX133" s="47">
        <f>IFERROR((Table43[[#This Row],[Harga Jual Pcs GT
(-PPN)]]-Table43[[#This Row],[Harga Beli Pcs
(-PPN)]])/Table43[[#This Row],[Harga Jual Pcs GT
(-PPN)]],0)</f>
        <v>7.4099999999999694E-2</v>
      </c>
      <c r="AY133" s="51">
        <v>45848</v>
      </c>
      <c r="AZ133" s="7"/>
      <c r="BA133" s="7" t="str">
        <f ca="1">IF(TODAY()-Table43[[#This Row],[Efektif
Pembuatan]]&gt;60,"Lama","Baru")</f>
        <v>Lama</v>
      </c>
      <c r="BB133" s="7" t="str">
        <f ca="1">IF(TODAY()-Table43[[#This Row],[Efektif Naik Harga]]&lt;30,"Naik","Sama")</f>
        <v>Sama</v>
      </c>
      <c r="BC133" s="7" t="s">
        <v>185</v>
      </c>
      <c r="BD133" s="7" t="str">
        <f>IF(Table43[[#This Row],[Kode BARANG Win2]]&lt;&gt;"","IDR","")</f>
        <v>IDR</v>
      </c>
      <c r="BE133" s="7" t="str">
        <f>CONCATENATE(Table43[[#This Row],[kode  1 Digit
(Nomor)]],Table43[[#This Row],[kode  4 Digit                (Nomor)]])</f>
        <v>20180</v>
      </c>
      <c r="BF133" s="7" t="str">
        <f>Table43[[#This Row],[Nama            Gramasi atau Jumlah Pack per CTN]]</f>
        <v>180ML</v>
      </c>
      <c r="BG133" s="7" t="s">
        <v>1060</v>
      </c>
      <c r="BH133" s="7" t="s">
        <v>377</v>
      </c>
      <c r="BI133" s="4" t="str">
        <f>IF(Table43[[#This Row],[SATUAN Fix Win]]&lt;&gt;"","KRT")</f>
        <v>KRT</v>
      </c>
      <c r="BJ133" s="4" t="str">
        <f>IF(Table43[[#This Row],[SATUAN Fix Win]]&lt;&gt;"","GD01")</f>
        <v>GD01</v>
      </c>
      <c r="BK133" s="4">
        <f>IF(Table43[[#This Row],[SATUAN Fix Win]]&lt;&gt;"",11611)</f>
        <v>11611</v>
      </c>
      <c r="BL133" s="4">
        <f>IF(Table43[[#This Row],[SATUAN Fix Win]]&lt;&gt;"",11612)</f>
        <v>11612</v>
      </c>
      <c r="BM133" s="52" t="s">
        <v>378</v>
      </c>
      <c r="BN133" s="4">
        <f>IF(Table43[[#This Row],[SATUAN Fix Win]]&lt;&gt;"",1)</f>
        <v>1</v>
      </c>
      <c r="BO133" s="4" t="s">
        <v>637</v>
      </c>
    </row>
    <row r="134" spans="1:67">
      <c r="A134" s="4" t="str">
        <f>CONCATENATE(Table43[[#This Row],[Kode BARANG Win2]],Table43[[#This Row],[No. Urut
Item Sama]])</f>
        <v>F40671040180101</v>
      </c>
      <c r="B134" s="7">
        <v>1</v>
      </c>
      <c r="C134" s="4">
        <v>104</v>
      </c>
      <c r="D134" s="27" t="s">
        <v>447</v>
      </c>
      <c r="E134" s="27" t="s">
        <v>628</v>
      </c>
      <c r="F134" s="27" t="s">
        <v>568</v>
      </c>
      <c r="G134" s="27">
        <v>48</v>
      </c>
      <c r="H134" s="54">
        <v>8992946522270</v>
      </c>
      <c r="I134" s="27" t="str">
        <f>Table43[[#This Row],[Nama Jenis Kemasan]]</f>
        <v>PCH</v>
      </c>
      <c r="J134" s="4" t="str">
        <f>TRIM(CONCATENATE(Table43[[#This Row],[Nama            KLP]]," ",Table43[[#This Row],[Nama            Sub KLP]]))</f>
        <v>SHINZUI SABUN CAIR</v>
      </c>
      <c r="K134" s="4" t="str">
        <f>CONCATENATE(Table43[[#This Row],[kode  2 Digit                (hrf+No)]],Table43[[#This Row],[kode  2 Digit                (Nomor)]],Table43[[#This Row],[kode  1 Digit                (Nomor)]])</f>
        <v>F4067</v>
      </c>
      <c r="L134" s="4" t="str">
        <f>IF(AG134="",CONCATENATE(Q134,S134,U134,W134,Y134,AA134,AC134,AE134,Table43[[#This Row],[Tanda Kode Revisi]]),CONCATENATE(Q134,S134,U134,W134,Y134,AA134,AC134,AG134))</f>
        <v>F4067104018010</v>
      </c>
      <c r="M134" s="11">
        <f t="shared" si="8"/>
        <v>14</v>
      </c>
      <c r="N134" s="14" t="str">
        <f>IF(AF134&lt;&gt;"",TRIM(UPPER(CONCATENATE(P134," ",R134," ",T134," ",V134," ",X134," ",Z134," ","X"," ",Table43[[#This Row],[ISI/CTN]]," ",AF134," ",AB134," ",AD134," ",AH134))),TRIM(UPPER(CONCATENATE(P134," ",R134," ",T134," ",V134," ",X134," ",Z134," ","X"," ",Table43[[#This Row],[ISI/CTN]]," ",AB134," ",AD134," ",AH134))))</f>
        <v>SHINZUI SABUN CAIR REFILL SAKURA 180ML X 48 PCH</v>
      </c>
      <c r="O134" s="11">
        <f t="shared" si="9"/>
        <v>47</v>
      </c>
      <c r="Q134" s="7" t="s">
        <v>662</v>
      </c>
      <c r="R134" s="4" t="s">
        <v>680</v>
      </c>
      <c r="S134" s="48" t="s">
        <v>755</v>
      </c>
      <c r="T134" s="49" t="s">
        <v>690</v>
      </c>
      <c r="U134" s="7">
        <v>7</v>
      </c>
      <c r="V134" s="49" t="s">
        <v>668</v>
      </c>
      <c r="W134" s="48" t="s">
        <v>750</v>
      </c>
      <c r="X134" s="4" t="s">
        <v>693</v>
      </c>
      <c r="Y134" s="50" t="s">
        <v>753</v>
      </c>
      <c r="Z134" s="4" t="s">
        <v>688</v>
      </c>
      <c r="AA134" s="50" t="s">
        <v>744</v>
      </c>
      <c r="AB134" s="4" t="s">
        <v>671</v>
      </c>
      <c r="AC134" s="7">
        <v>1</v>
      </c>
      <c r="AE134" s="7">
        <v>0</v>
      </c>
      <c r="AI134" s="7" t="s">
        <v>178</v>
      </c>
      <c r="AJ134" s="7">
        <v>2</v>
      </c>
      <c r="AL134" s="38">
        <v>10927.28828828829</v>
      </c>
      <c r="AM134" s="39">
        <f>Table43[[#This Row],[Harga Beli Pcs
(-PPN)]]*Table43[[#This Row],[ISI/CTN]]</f>
        <v>524509.83783783787</v>
      </c>
      <c r="AN134" s="39">
        <f>Table43[[#This Row],[Harga Beli Pcs
(-PPN)]]*1.11</f>
        <v>12129.290000000003</v>
      </c>
      <c r="AO134" s="39">
        <f>Table43[[#This Row],[Harga Beli Krt
(- PPN)]]*1.11</f>
        <v>582205.92000000004</v>
      </c>
      <c r="AP134" s="39">
        <v>11801.801801801799</v>
      </c>
      <c r="AQ134" s="39">
        <f>Table43[[#This Row],[Harga Jual Pcs GT
(-PPN)]]*Table43[[#This Row],[ISI/CTN]]</f>
        <v>566486.48648648639</v>
      </c>
      <c r="AR134" s="39">
        <f>Table43[[#This Row],[Harga Jual Pcs GT
(-PPN)]]*1.11</f>
        <v>13099.999999999998</v>
      </c>
      <c r="AS134" s="39">
        <f>Table43[[#This Row],[Harga Jual Krt GT
(- PPN)]]*1.11</f>
        <v>628800</v>
      </c>
      <c r="AT134" s="39"/>
      <c r="AU134" s="39">
        <f>Table43[[#This Row],[Harga Jual Pcs MT
(-PPN)]]*Table43[[#This Row],[ISI/CTN]]</f>
        <v>0</v>
      </c>
      <c r="AV134" s="39">
        <f>Table43[[#This Row],[Harga Jual Pcs MT
(-PPN)]]*1.11</f>
        <v>0</v>
      </c>
      <c r="AW134" s="39">
        <f>Table43[[#This Row],[Harga Jual Pcs MT
(+PPN)]]*Table43[[#This Row],[ISI/CTN]]</f>
        <v>0</v>
      </c>
      <c r="AX134" s="47">
        <f>IFERROR((Table43[[#This Row],[Harga Jual Pcs GT
(-PPN)]]-Table43[[#This Row],[Harga Beli Pcs
(-PPN)]])/Table43[[#This Row],[Harga Jual Pcs GT
(-PPN)]],0)</f>
        <v>7.4099999999999694E-2</v>
      </c>
      <c r="AY134" s="51">
        <v>45848</v>
      </c>
      <c r="AZ134" s="7"/>
      <c r="BA134" s="7" t="str">
        <f ca="1">IF(TODAY()-Table43[[#This Row],[Efektif
Pembuatan]]&gt;60,"Lama","Baru")</f>
        <v>Lama</v>
      </c>
      <c r="BB134" s="7" t="str">
        <f ca="1">IF(TODAY()-Table43[[#This Row],[Efektif Naik Harga]]&lt;30,"Naik","Sama")</f>
        <v>Sama</v>
      </c>
      <c r="BC134" s="7" t="s">
        <v>185</v>
      </c>
      <c r="BD134" s="7" t="str">
        <f>IF(Table43[[#This Row],[Kode BARANG Win2]]&lt;&gt;"","IDR","")</f>
        <v>IDR</v>
      </c>
      <c r="BE134" s="7" t="str">
        <f>CONCATENATE(Table43[[#This Row],[kode  1 Digit
(Nomor)]],Table43[[#This Row],[kode  4 Digit                (Nomor)]])</f>
        <v>20180</v>
      </c>
      <c r="BF134" s="7" t="str">
        <f>Table43[[#This Row],[Nama            Gramasi atau Jumlah Pack per CTN]]</f>
        <v>180ML</v>
      </c>
      <c r="BG134" s="7" t="s">
        <v>1060</v>
      </c>
      <c r="BH134" s="7" t="s">
        <v>377</v>
      </c>
      <c r="BI134" s="4" t="str">
        <f>IF(Table43[[#This Row],[SATUAN Fix Win]]&lt;&gt;"","KRT")</f>
        <v>KRT</v>
      </c>
      <c r="BJ134" s="4" t="str">
        <f>IF(Table43[[#This Row],[SATUAN Fix Win]]&lt;&gt;"","GD01")</f>
        <v>GD01</v>
      </c>
      <c r="BK134" s="4">
        <f>IF(Table43[[#This Row],[SATUAN Fix Win]]&lt;&gt;"",11611)</f>
        <v>11611</v>
      </c>
      <c r="BL134" s="4">
        <f>IF(Table43[[#This Row],[SATUAN Fix Win]]&lt;&gt;"",11612)</f>
        <v>11612</v>
      </c>
      <c r="BM134" s="52" t="s">
        <v>378</v>
      </c>
      <c r="BN134" s="4">
        <f>IF(Table43[[#This Row],[SATUAN Fix Win]]&lt;&gt;"",1)</f>
        <v>1</v>
      </c>
      <c r="BO134" s="4" t="s">
        <v>637</v>
      </c>
    </row>
    <row r="135" spans="1:67">
      <c r="A135" s="4" t="str">
        <f>CONCATENATE(Table43[[#This Row],[Kode BARANG Win2]],Table43[[#This Row],[No. Urut
Item Sama]])</f>
        <v>F40670050180101</v>
      </c>
      <c r="B135" s="7">
        <v>1</v>
      </c>
      <c r="C135" s="4">
        <v>105</v>
      </c>
      <c r="D135" s="27" t="s">
        <v>432</v>
      </c>
      <c r="E135" s="27" t="s">
        <v>628</v>
      </c>
      <c r="F135" s="27" t="s">
        <v>553</v>
      </c>
      <c r="G135" s="27">
        <v>48</v>
      </c>
      <c r="H135" s="54">
        <v>8992946519383</v>
      </c>
      <c r="I135" s="27" t="str">
        <f>Table43[[#This Row],[Nama Jenis Kemasan]]</f>
        <v>PCH</v>
      </c>
      <c r="J135" s="4" t="str">
        <f>TRIM(CONCATENATE(Table43[[#This Row],[Nama            KLP]]," ",Table43[[#This Row],[Nama            Sub KLP]]))</f>
        <v>SHINZUI SABUN CAIR</v>
      </c>
      <c r="K135" s="4" t="str">
        <f>CONCATENATE(Table43[[#This Row],[kode  2 Digit                (hrf+No)]],Table43[[#This Row],[kode  2 Digit                (Nomor)]],Table43[[#This Row],[kode  1 Digit                (Nomor)]])</f>
        <v>F4067</v>
      </c>
      <c r="L135" s="4" t="str">
        <f>IF(AG135="",CONCATENATE(Q135,S135,U135,W135,Y135,AA135,AC135,AE135,Table43[[#This Row],[Tanda Kode Revisi]]),CONCATENATE(Q135,S135,U135,W135,Y135,AA135,AC135,AG135))</f>
        <v>F4067005018010</v>
      </c>
      <c r="M135" s="11">
        <f t="shared" si="8"/>
        <v>14</v>
      </c>
      <c r="N135" s="14" t="str">
        <f>IF(AF135&lt;&gt;"",TRIM(UPPER(CONCATENATE(P135," ",R135," ",T135," ",V135," ",X135," ",Z135," ","X"," ",Table43[[#This Row],[ISI/CTN]]," ",AF135," ",AB135," ",AD135," ",AH135))),TRIM(UPPER(CONCATENATE(P135," ",R135," ",T135," ",V135," ",X135," ",Z135," ","X"," ",Table43[[#This Row],[ISI/CTN]]," ",AB135," ",AD135," ",AH135))))</f>
        <v>SHINZUI SABUN CAIR HANA 180ML X 48 PCH</v>
      </c>
      <c r="O135" s="11">
        <f t="shared" si="9"/>
        <v>38</v>
      </c>
      <c r="Q135" s="7" t="s">
        <v>662</v>
      </c>
      <c r="R135" s="4" t="s">
        <v>680</v>
      </c>
      <c r="S135" s="48" t="s">
        <v>755</v>
      </c>
      <c r="T135" s="49" t="s">
        <v>690</v>
      </c>
      <c r="U135" s="7">
        <v>7</v>
      </c>
      <c r="V135" s="49"/>
      <c r="W135" s="48" t="s">
        <v>370</v>
      </c>
      <c r="X135" s="4" t="s">
        <v>682</v>
      </c>
      <c r="Y135" s="50" t="s">
        <v>754</v>
      </c>
      <c r="Z135" s="4" t="s">
        <v>688</v>
      </c>
      <c r="AA135" s="50" t="s">
        <v>744</v>
      </c>
      <c r="AB135" s="4" t="s">
        <v>671</v>
      </c>
      <c r="AC135" s="7">
        <v>1</v>
      </c>
      <c r="AE135" s="7">
        <v>0</v>
      </c>
      <c r="AI135" s="7" t="s">
        <v>178</v>
      </c>
      <c r="AJ135" s="7">
        <v>2</v>
      </c>
      <c r="AL135" s="38">
        <v>10927.28828828829</v>
      </c>
      <c r="AM135" s="39">
        <f>Table43[[#This Row],[Harga Beli Pcs
(-PPN)]]*Table43[[#This Row],[ISI/CTN]]</f>
        <v>524509.83783783787</v>
      </c>
      <c r="AN135" s="39">
        <f>Table43[[#This Row],[Harga Beli Pcs
(-PPN)]]*1.11</f>
        <v>12129.290000000003</v>
      </c>
      <c r="AO135" s="39">
        <f>Table43[[#This Row],[Harga Beli Krt
(- PPN)]]*1.11</f>
        <v>582205.92000000004</v>
      </c>
      <c r="AP135" s="39">
        <v>11801.801801801799</v>
      </c>
      <c r="AQ135" s="39">
        <f>Table43[[#This Row],[Harga Jual Pcs GT
(-PPN)]]*Table43[[#This Row],[ISI/CTN]]</f>
        <v>566486.48648648639</v>
      </c>
      <c r="AR135" s="39">
        <f>Table43[[#This Row],[Harga Jual Pcs GT
(-PPN)]]*1.11</f>
        <v>13099.999999999998</v>
      </c>
      <c r="AS135" s="39">
        <f>Table43[[#This Row],[Harga Jual Krt GT
(- PPN)]]*1.11</f>
        <v>628800</v>
      </c>
      <c r="AT135" s="39"/>
      <c r="AU135" s="39">
        <f>Table43[[#This Row],[Harga Jual Pcs MT
(-PPN)]]*Table43[[#This Row],[ISI/CTN]]</f>
        <v>0</v>
      </c>
      <c r="AV135" s="39">
        <f>Table43[[#This Row],[Harga Jual Pcs MT
(-PPN)]]*1.11</f>
        <v>0</v>
      </c>
      <c r="AW135" s="39">
        <f>Table43[[#This Row],[Harga Jual Pcs MT
(+PPN)]]*Table43[[#This Row],[ISI/CTN]]</f>
        <v>0</v>
      </c>
      <c r="AX135" s="47">
        <f>IFERROR((Table43[[#This Row],[Harga Jual Pcs GT
(-PPN)]]-Table43[[#This Row],[Harga Beli Pcs
(-PPN)]])/Table43[[#This Row],[Harga Jual Pcs GT
(-PPN)]],0)</f>
        <v>7.4099999999999694E-2</v>
      </c>
      <c r="AY135" s="51">
        <v>45848</v>
      </c>
      <c r="AZ135" s="7"/>
      <c r="BA135" s="7" t="str">
        <f ca="1">IF(TODAY()-Table43[[#This Row],[Efektif
Pembuatan]]&gt;60,"Lama","Baru")</f>
        <v>Lama</v>
      </c>
      <c r="BB135" s="7" t="str">
        <f ca="1">IF(TODAY()-Table43[[#This Row],[Efektif Naik Harga]]&lt;30,"Naik","Sama")</f>
        <v>Sama</v>
      </c>
      <c r="BC135" s="7" t="s">
        <v>185</v>
      </c>
      <c r="BD135" s="7" t="str">
        <f>IF(Table43[[#This Row],[Kode BARANG Win2]]&lt;&gt;"","IDR","")</f>
        <v>IDR</v>
      </c>
      <c r="BE135" s="7" t="str">
        <f>CONCATENATE(Table43[[#This Row],[kode  1 Digit
(Nomor)]],Table43[[#This Row],[kode  4 Digit                (Nomor)]])</f>
        <v>20180</v>
      </c>
      <c r="BF135" s="7" t="str">
        <f>Table43[[#This Row],[Nama            Gramasi atau Jumlah Pack per CTN]]</f>
        <v>180ML</v>
      </c>
      <c r="BG135" s="7" t="s">
        <v>1060</v>
      </c>
      <c r="BH135" s="7" t="s">
        <v>377</v>
      </c>
      <c r="BI135" s="4" t="str">
        <f>IF(Table43[[#This Row],[SATUAN Fix Win]]&lt;&gt;"","KRT")</f>
        <v>KRT</v>
      </c>
      <c r="BJ135" s="4" t="str">
        <f>IF(Table43[[#This Row],[SATUAN Fix Win]]&lt;&gt;"","GD01")</f>
        <v>GD01</v>
      </c>
      <c r="BK135" s="4">
        <f>IF(Table43[[#This Row],[SATUAN Fix Win]]&lt;&gt;"",11611)</f>
        <v>11611</v>
      </c>
      <c r="BL135" s="4">
        <f>IF(Table43[[#This Row],[SATUAN Fix Win]]&lt;&gt;"",11612)</f>
        <v>11612</v>
      </c>
      <c r="BM135" s="52" t="s">
        <v>378</v>
      </c>
      <c r="BN135" s="4">
        <f>IF(Table43[[#This Row],[SATUAN Fix Win]]&lt;&gt;"",1)</f>
        <v>1</v>
      </c>
      <c r="BO135" s="4" t="s">
        <v>637</v>
      </c>
    </row>
    <row r="136" spans="1:67">
      <c r="A136" s="4" t="str">
        <f>CONCATENATE(Table43[[#This Row],[Kode BARANG Win2]],Table43[[#This Row],[No. Urut
Item Sama]])</f>
        <v>F40670050225301</v>
      </c>
      <c r="B136" s="7">
        <v>1</v>
      </c>
      <c r="C136" s="4">
        <v>106</v>
      </c>
      <c r="D136" s="27" t="s">
        <v>433</v>
      </c>
      <c r="E136" s="27" t="s">
        <v>628</v>
      </c>
      <c r="F136" s="27" t="s">
        <v>554</v>
      </c>
      <c r="G136" s="27">
        <v>48</v>
      </c>
      <c r="H136" s="54">
        <v>8992946519369</v>
      </c>
      <c r="I136" s="27" t="str">
        <f>Table43[[#This Row],[Nama Jenis Kemasan]]</f>
        <v>BTL</v>
      </c>
      <c r="J136" s="4" t="str">
        <f>TRIM(CONCATENATE(Table43[[#This Row],[Nama            KLP]]," ",Table43[[#This Row],[Nama            Sub KLP]]))</f>
        <v>SHINZUI SABUN CAIR</v>
      </c>
      <c r="K136" s="4" t="str">
        <f>CONCATENATE(Table43[[#This Row],[kode  2 Digit                (hrf+No)]],Table43[[#This Row],[kode  2 Digit                (Nomor)]],Table43[[#This Row],[kode  1 Digit                (Nomor)]])</f>
        <v>F4067</v>
      </c>
      <c r="L136" s="4" t="str">
        <f>IF(AG136="",CONCATENATE(Q136,S136,U136,W136,Y136,AA136,AC136,AE136,Table43[[#This Row],[Tanda Kode Revisi]]),CONCATENATE(Q136,S136,U136,W136,Y136,AA136,AC136,AG136))</f>
        <v>F4067005022530</v>
      </c>
      <c r="M136" s="11">
        <f t="shared" si="8"/>
        <v>14</v>
      </c>
      <c r="N136" s="14" t="str">
        <f>IF(AF136&lt;&gt;"",TRIM(UPPER(CONCATENATE(P136," ",R136," ",T136," ",V136," ",X136," ",Z136," ","X"," ",Table43[[#This Row],[ISI/CTN]]," ",AF136," ",AB136," ",AD136," ",AH136))),TRIM(UPPER(CONCATENATE(P136," ",R136," ",T136," ",V136," ",X136," ",Z136," ","X"," ",Table43[[#This Row],[ISI/CTN]]," ",AB136," ",AD136," ",AH136))))</f>
        <v>SHINZUI SABUN CAIR HANA 225ML X 48 BTL</v>
      </c>
      <c r="O136" s="11">
        <f t="shared" si="9"/>
        <v>38</v>
      </c>
      <c r="Q136" s="7" t="s">
        <v>662</v>
      </c>
      <c r="R136" s="4" t="s">
        <v>680</v>
      </c>
      <c r="S136" s="48" t="s">
        <v>755</v>
      </c>
      <c r="T136" s="49" t="s">
        <v>690</v>
      </c>
      <c r="U136" s="7">
        <v>7</v>
      </c>
      <c r="V136" s="49"/>
      <c r="W136" s="48" t="s">
        <v>370</v>
      </c>
      <c r="X136" s="4" t="s">
        <v>682</v>
      </c>
      <c r="Y136" s="50" t="s">
        <v>754</v>
      </c>
      <c r="Z136" s="4" t="s">
        <v>697</v>
      </c>
      <c r="AA136" s="50" t="s">
        <v>748</v>
      </c>
      <c r="AB136" s="4" t="s">
        <v>705</v>
      </c>
      <c r="AC136" s="7">
        <v>3</v>
      </c>
      <c r="AE136" s="7">
        <v>0</v>
      </c>
      <c r="AI136" s="7" t="s">
        <v>178</v>
      </c>
      <c r="AJ136" s="7">
        <v>2</v>
      </c>
      <c r="AL136" s="38">
        <v>16682.882882882881</v>
      </c>
      <c r="AM136" s="39">
        <f>Table43[[#This Row],[Harga Beli Pcs
(-PPN)]]*Table43[[#This Row],[ISI/CTN]]</f>
        <v>800778.37837837823</v>
      </c>
      <c r="AN136" s="39">
        <f>Table43[[#This Row],[Harga Beli Pcs
(-PPN)]]*1.11</f>
        <v>18518</v>
      </c>
      <c r="AO136" s="39">
        <f>Table43[[#This Row],[Harga Beli Krt
(- PPN)]]*1.11</f>
        <v>888863.99999999988</v>
      </c>
      <c r="AP136" s="39">
        <v>18018.018018018014</v>
      </c>
      <c r="AQ136" s="39">
        <f>Table43[[#This Row],[Harga Jual Pcs GT
(-PPN)]]*Table43[[#This Row],[ISI/CTN]]</f>
        <v>864864.86486486462</v>
      </c>
      <c r="AR136" s="39">
        <f>Table43[[#This Row],[Harga Jual Pcs GT
(-PPN)]]*1.11</f>
        <v>19999.999999999996</v>
      </c>
      <c r="AS136" s="39">
        <f>Table43[[#This Row],[Harga Jual Krt GT
(- PPN)]]*1.11</f>
        <v>959999.99999999977</v>
      </c>
      <c r="AT136" s="39"/>
      <c r="AU136" s="39">
        <f>Table43[[#This Row],[Harga Jual Pcs MT
(-PPN)]]*Table43[[#This Row],[ISI/CTN]]</f>
        <v>0</v>
      </c>
      <c r="AV136" s="39">
        <f>Table43[[#This Row],[Harga Jual Pcs MT
(-PPN)]]*1.11</f>
        <v>0</v>
      </c>
      <c r="AW136" s="39">
        <f>Table43[[#This Row],[Harga Jual Pcs MT
(+PPN)]]*Table43[[#This Row],[ISI/CTN]]</f>
        <v>0</v>
      </c>
      <c r="AX136" s="47">
        <f>IFERROR((Table43[[#This Row],[Harga Jual Pcs GT
(-PPN)]]-Table43[[#This Row],[Harga Beli Pcs
(-PPN)]])/Table43[[#This Row],[Harga Jual Pcs GT
(-PPN)]],0)</f>
        <v>7.4099999999999902E-2</v>
      </c>
      <c r="AY136" s="51">
        <v>45848</v>
      </c>
      <c r="AZ136" s="7"/>
      <c r="BA136" s="7" t="str">
        <f ca="1">IF(TODAY()-Table43[[#This Row],[Efektif
Pembuatan]]&gt;60,"Lama","Baru")</f>
        <v>Lama</v>
      </c>
      <c r="BB136" s="7" t="str">
        <f ca="1">IF(TODAY()-Table43[[#This Row],[Efektif Naik Harga]]&lt;30,"Naik","Sama")</f>
        <v>Sama</v>
      </c>
      <c r="BC136" s="7" t="s">
        <v>185</v>
      </c>
      <c r="BD136" s="7" t="str">
        <f>IF(Table43[[#This Row],[Kode BARANG Win2]]&lt;&gt;"","IDR","")</f>
        <v>IDR</v>
      </c>
      <c r="BE136" s="7" t="str">
        <f>CONCATENATE(Table43[[#This Row],[kode  1 Digit
(Nomor)]],Table43[[#This Row],[kode  4 Digit                (Nomor)]])</f>
        <v>20225</v>
      </c>
      <c r="BF136" s="7" t="str">
        <f>Table43[[#This Row],[Nama            Gramasi atau Jumlah Pack per CTN]]</f>
        <v>225ML</v>
      </c>
      <c r="BG136" s="7" t="s">
        <v>1060</v>
      </c>
      <c r="BH136" s="7" t="s">
        <v>377</v>
      </c>
      <c r="BI136" s="4" t="str">
        <f>IF(Table43[[#This Row],[SATUAN Fix Win]]&lt;&gt;"","KRT")</f>
        <v>KRT</v>
      </c>
      <c r="BJ136" s="4" t="str">
        <f>IF(Table43[[#This Row],[SATUAN Fix Win]]&lt;&gt;"","GD01")</f>
        <v>GD01</v>
      </c>
      <c r="BK136" s="4">
        <f>IF(Table43[[#This Row],[SATUAN Fix Win]]&lt;&gt;"",11611)</f>
        <v>11611</v>
      </c>
      <c r="BL136" s="4">
        <f>IF(Table43[[#This Row],[SATUAN Fix Win]]&lt;&gt;"",11612)</f>
        <v>11612</v>
      </c>
      <c r="BM136" s="52" t="s">
        <v>378</v>
      </c>
      <c r="BN136" s="4">
        <f>IF(Table43[[#This Row],[SATUAN Fix Win]]&lt;&gt;"",1)</f>
        <v>1</v>
      </c>
      <c r="BO136" s="4" t="s">
        <v>637</v>
      </c>
    </row>
    <row r="137" spans="1:67">
      <c r="A137" s="4" t="str">
        <f>CONCATENATE(Table43[[#This Row],[Kode BARANG Win2]],Table43[[#This Row],[No. Urut
Item Sama]])</f>
        <v>F40670050480201</v>
      </c>
      <c r="B137" s="7">
        <v>1</v>
      </c>
      <c r="C137" s="4">
        <v>107</v>
      </c>
      <c r="D137" s="27" t="s">
        <v>434</v>
      </c>
      <c r="E137" s="27" t="s">
        <v>628</v>
      </c>
      <c r="F137" s="27" t="s">
        <v>555</v>
      </c>
      <c r="G137" s="27">
        <v>24</v>
      </c>
      <c r="H137" s="54">
        <v>8992946525568</v>
      </c>
      <c r="I137" s="27" t="str">
        <f>Table43[[#This Row],[Nama Jenis Kemasan]]</f>
        <v>PUMP</v>
      </c>
      <c r="J137" s="4" t="str">
        <f>TRIM(CONCATENATE(Table43[[#This Row],[Nama            KLP]]," ",Table43[[#This Row],[Nama            Sub KLP]]))</f>
        <v>SHINZUI SABUN CAIR</v>
      </c>
      <c r="K137" s="4" t="str">
        <f>CONCATENATE(Table43[[#This Row],[kode  2 Digit                (hrf+No)]],Table43[[#This Row],[kode  2 Digit                (Nomor)]],Table43[[#This Row],[kode  1 Digit                (Nomor)]])</f>
        <v>F4067</v>
      </c>
      <c r="L137" s="4" t="str">
        <f>IF(AG137="",CONCATENATE(Q137,S137,U137,W137,Y137,AA137,AC137,AE137,Table43[[#This Row],[Tanda Kode Revisi]]),CONCATENATE(Q137,S137,U137,W137,Y137,AA137,AC137,AG137))</f>
        <v>F4067005048020</v>
      </c>
      <c r="M137" s="11">
        <f t="shared" si="8"/>
        <v>14</v>
      </c>
      <c r="N137" s="14" t="str">
        <f>IF(AF137&lt;&gt;"",TRIM(UPPER(CONCATENATE(P137," ",R137," ",T137," ",V137," ",X137," ",Z137," ","X"," ",Table43[[#This Row],[ISI/CTN]]," ",AF137," ",AB137," ",AD137," ",AH137))),TRIM(UPPER(CONCATENATE(P137," ",R137," ",T137," ",V137," ",X137," ",Z137," ","X"," ",Table43[[#This Row],[ISI/CTN]]," ",AB137," ",AD137," ",AH137))))</f>
        <v>SHINZUI SABUN CAIR HANA 480ML X 24 PUMP</v>
      </c>
      <c r="O137" s="11">
        <f t="shared" si="9"/>
        <v>39</v>
      </c>
      <c r="Q137" s="7" t="s">
        <v>662</v>
      </c>
      <c r="R137" s="4" t="s">
        <v>680</v>
      </c>
      <c r="S137" s="48" t="s">
        <v>755</v>
      </c>
      <c r="T137" s="49" t="s">
        <v>690</v>
      </c>
      <c r="U137" s="7">
        <v>7</v>
      </c>
      <c r="V137" s="49"/>
      <c r="W137" s="48" t="s">
        <v>370</v>
      </c>
      <c r="X137" s="4" t="s">
        <v>682</v>
      </c>
      <c r="Y137" s="50" t="s">
        <v>754</v>
      </c>
      <c r="Z137" s="4" t="s">
        <v>673</v>
      </c>
      <c r="AA137" s="50" t="s">
        <v>740</v>
      </c>
      <c r="AB137" s="4" t="s">
        <v>730</v>
      </c>
      <c r="AC137" s="7">
        <v>2</v>
      </c>
      <c r="AE137" s="7">
        <v>0</v>
      </c>
      <c r="AI137" s="7" t="s">
        <v>178</v>
      </c>
      <c r="AJ137" s="7">
        <v>2</v>
      </c>
      <c r="AL137" s="38">
        <v>31697.477477477474</v>
      </c>
      <c r="AM137" s="39">
        <f>Table43[[#This Row],[Harga Beli Pcs
(-PPN)]]*Table43[[#This Row],[ISI/CTN]]</f>
        <v>760739.45945945941</v>
      </c>
      <c r="AN137" s="39">
        <f>Table43[[#This Row],[Harga Beli Pcs
(-PPN)]]*1.11</f>
        <v>35184.199999999997</v>
      </c>
      <c r="AO137" s="39">
        <f>Table43[[#This Row],[Harga Beli Krt
(- PPN)]]*1.11</f>
        <v>844420.8</v>
      </c>
      <c r="AP137" s="39">
        <v>34234.234234234231</v>
      </c>
      <c r="AQ137" s="39">
        <f>Table43[[#This Row],[Harga Jual Pcs GT
(-PPN)]]*Table43[[#This Row],[ISI/CTN]]</f>
        <v>821621.62162162154</v>
      </c>
      <c r="AR137" s="39">
        <f>Table43[[#This Row],[Harga Jual Pcs GT
(-PPN)]]*1.11</f>
        <v>38000</v>
      </c>
      <c r="AS137" s="39">
        <f>Table43[[#This Row],[Harga Jual Krt GT
(- PPN)]]*1.11</f>
        <v>912000</v>
      </c>
      <c r="AT137" s="39"/>
      <c r="AU137" s="39">
        <f>Table43[[#This Row],[Harga Jual Pcs MT
(-PPN)]]*Table43[[#This Row],[ISI/CTN]]</f>
        <v>0</v>
      </c>
      <c r="AV137" s="39">
        <f>Table43[[#This Row],[Harga Jual Pcs MT
(-PPN)]]*1.11</f>
        <v>0</v>
      </c>
      <c r="AW137" s="39">
        <f>Table43[[#This Row],[Harga Jual Pcs MT
(+PPN)]]*Table43[[#This Row],[ISI/CTN]]</f>
        <v>0</v>
      </c>
      <c r="AX137" s="47">
        <f>IFERROR((Table43[[#This Row],[Harga Jual Pcs GT
(-PPN)]]-Table43[[#This Row],[Harga Beli Pcs
(-PPN)]])/Table43[[#This Row],[Harga Jual Pcs GT
(-PPN)]],0)</f>
        <v>7.4099999999999999E-2</v>
      </c>
      <c r="AY137" s="51">
        <v>45848</v>
      </c>
      <c r="AZ137" s="7"/>
      <c r="BA137" s="7" t="str">
        <f ca="1">IF(TODAY()-Table43[[#This Row],[Efektif
Pembuatan]]&gt;60,"Lama","Baru")</f>
        <v>Lama</v>
      </c>
      <c r="BB137" s="7" t="str">
        <f ca="1">IF(TODAY()-Table43[[#This Row],[Efektif Naik Harga]]&lt;30,"Naik","Sama")</f>
        <v>Sama</v>
      </c>
      <c r="BC137" s="7" t="s">
        <v>185</v>
      </c>
      <c r="BD137" s="7" t="str">
        <f>IF(Table43[[#This Row],[Kode BARANG Win2]]&lt;&gt;"","IDR","")</f>
        <v>IDR</v>
      </c>
      <c r="BE137" s="7" t="str">
        <f>CONCATENATE(Table43[[#This Row],[kode  1 Digit
(Nomor)]],Table43[[#This Row],[kode  4 Digit                (Nomor)]])</f>
        <v>20480</v>
      </c>
      <c r="BF137" s="7" t="str">
        <f>Table43[[#This Row],[Nama            Gramasi atau Jumlah Pack per CTN]]</f>
        <v>480ML</v>
      </c>
      <c r="BG137" s="7" t="s">
        <v>1060</v>
      </c>
      <c r="BH137" s="7" t="s">
        <v>377</v>
      </c>
      <c r="BI137" s="4" t="str">
        <f>IF(Table43[[#This Row],[SATUAN Fix Win]]&lt;&gt;"","KRT")</f>
        <v>KRT</v>
      </c>
      <c r="BJ137" s="4" t="str">
        <f>IF(Table43[[#This Row],[SATUAN Fix Win]]&lt;&gt;"","GD01")</f>
        <v>GD01</v>
      </c>
      <c r="BK137" s="4">
        <f>IF(Table43[[#This Row],[SATUAN Fix Win]]&lt;&gt;"",11611)</f>
        <v>11611</v>
      </c>
      <c r="BL137" s="4">
        <f>IF(Table43[[#This Row],[SATUAN Fix Win]]&lt;&gt;"",11612)</f>
        <v>11612</v>
      </c>
      <c r="BM137" s="52" t="s">
        <v>378</v>
      </c>
      <c r="BN137" s="4">
        <f>IF(Table43[[#This Row],[SATUAN Fix Win]]&lt;&gt;"",1)</f>
        <v>1</v>
      </c>
      <c r="BO137" s="4" t="s">
        <v>637</v>
      </c>
    </row>
    <row r="138" spans="1:67">
      <c r="A138" s="4" t="str">
        <f>CONCATENATE(Table43[[#This Row],[Kode BARANG Win2]],Table43[[#This Row],[No. Urut
Item Sama]])</f>
        <v>F40670060225301</v>
      </c>
      <c r="B138" s="7">
        <v>1</v>
      </c>
      <c r="C138" s="4">
        <v>108</v>
      </c>
      <c r="D138" s="27" t="s">
        <v>452</v>
      </c>
      <c r="E138" s="27" t="s">
        <v>628</v>
      </c>
      <c r="F138" s="27" t="s">
        <v>573</v>
      </c>
      <c r="G138" s="27">
        <v>48</v>
      </c>
      <c r="H138" s="54">
        <v>8992946522246</v>
      </c>
      <c r="I138" s="27" t="str">
        <f>Table43[[#This Row],[Nama Jenis Kemasan]]</f>
        <v>BTL</v>
      </c>
      <c r="J138" s="4" t="str">
        <f>TRIM(CONCATENATE(Table43[[#This Row],[Nama            KLP]]," ",Table43[[#This Row],[Nama            Sub KLP]]))</f>
        <v>SHINZUI SABUN CAIR</v>
      </c>
      <c r="K138" s="4" t="str">
        <f>CONCATENATE(Table43[[#This Row],[kode  2 Digit                (hrf+No)]],Table43[[#This Row],[kode  2 Digit                (Nomor)]],Table43[[#This Row],[kode  1 Digit                (Nomor)]])</f>
        <v>F4067</v>
      </c>
      <c r="L138" s="4" t="str">
        <f>IF(AG138="",CONCATENATE(Q138,S138,U138,W138,Y138,AA138,AC138,AE138,Table43[[#This Row],[Tanda Kode Revisi]]),CONCATENATE(Q138,S138,U138,W138,Y138,AA138,AC138,AG138))</f>
        <v>F4067006022530</v>
      </c>
      <c r="M138" s="11">
        <f t="shared" si="8"/>
        <v>14</v>
      </c>
      <c r="N138" s="14" t="str">
        <f>IF(AF138&lt;&gt;"",TRIM(UPPER(CONCATENATE(P138," ",R138," ",T138," ",V138," ",X138," ",Z138," ","X"," ",Table43[[#This Row],[ISI/CTN]]," ",AF138," ",AB138," ",AD138," ",AH138))),TRIM(UPPER(CONCATENATE(P138," ",R138," ",T138," ",V138," ",X138," ",Z138," ","X"," ",Table43[[#This Row],[ISI/CTN]]," ",AB138," ",AD138," ",AH138))))</f>
        <v>SHINZUI SABUN CAIR KENSHO 225ML X 48 BTL</v>
      </c>
      <c r="O138" s="11">
        <f t="shared" si="9"/>
        <v>40</v>
      </c>
      <c r="Q138" s="7" t="s">
        <v>662</v>
      </c>
      <c r="R138" s="4" t="s">
        <v>680</v>
      </c>
      <c r="S138" s="48" t="s">
        <v>755</v>
      </c>
      <c r="T138" s="49" t="s">
        <v>690</v>
      </c>
      <c r="U138" s="7">
        <v>7</v>
      </c>
      <c r="V138" s="49"/>
      <c r="W138" s="48" t="s">
        <v>370</v>
      </c>
      <c r="X138" s="4" t="s">
        <v>694</v>
      </c>
      <c r="Y138" s="50" t="s">
        <v>755</v>
      </c>
      <c r="Z138" s="4" t="s">
        <v>697</v>
      </c>
      <c r="AA138" s="50" t="s">
        <v>748</v>
      </c>
      <c r="AB138" s="4" t="s">
        <v>705</v>
      </c>
      <c r="AC138" s="7">
        <v>3</v>
      </c>
      <c r="AE138" s="7">
        <v>0</v>
      </c>
      <c r="AI138" s="7" t="s">
        <v>178</v>
      </c>
      <c r="AJ138" s="7">
        <v>2</v>
      </c>
      <c r="AL138" s="38">
        <v>16682.882882882881</v>
      </c>
      <c r="AM138" s="39">
        <f>Table43[[#This Row],[Harga Beli Pcs
(-PPN)]]*Table43[[#This Row],[ISI/CTN]]</f>
        <v>800778.37837837823</v>
      </c>
      <c r="AN138" s="39">
        <f>Table43[[#This Row],[Harga Beli Pcs
(-PPN)]]*1.11</f>
        <v>18518</v>
      </c>
      <c r="AO138" s="39">
        <f>Table43[[#This Row],[Harga Beli Krt
(- PPN)]]*1.11</f>
        <v>888863.99999999988</v>
      </c>
      <c r="AP138" s="39">
        <v>18018.018018018014</v>
      </c>
      <c r="AQ138" s="39">
        <f>Table43[[#This Row],[Harga Jual Pcs GT
(-PPN)]]*Table43[[#This Row],[ISI/CTN]]</f>
        <v>864864.86486486462</v>
      </c>
      <c r="AR138" s="39">
        <f>Table43[[#This Row],[Harga Jual Pcs GT
(-PPN)]]*1.11</f>
        <v>19999.999999999996</v>
      </c>
      <c r="AS138" s="39">
        <f>Table43[[#This Row],[Harga Jual Krt GT
(- PPN)]]*1.11</f>
        <v>959999.99999999977</v>
      </c>
      <c r="AT138" s="39"/>
      <c r="AU138" s="39">
        <f>Table43[[#This Row],[Harga Jual Pcs MT
(-PPN)]]*Table43[[#This Row],[ISI/CTN]]</f>
        <v>0</v>
      </c>
      <c r="AV138" s="39">
        <f>Table43[[#This Row],[Harga Jual Pcs MT
(-PPN)]]*1.11</f>
        <v>0</v>
      </c>
      <c r="AW138" s="39">
        <f>Table43[[#This Row],[Harga Jual Pcs MT
(+PPN)]]*Table43[[#This Row],[ISI/CTN]]</f>
        <v>0</v>
      </c>
      <c r="AX138" s="47">
        <f>IFERROR((Table43[[#This Row],[Harga Jual Pcs GT
(-PPN)]]-Table43[[#This Row],[Harga Beli Pcs
(-PPN)]])/Table43[[#This Row],[Harga Jual Pcs GT
(-PPN)]],0)</f>
        <v>7.4099999999999902E-2</v>
      </c>
      <c r="AY138" s="51">
        <v>45848</v>
      </c>
      <c r="AZ138" s="7"/>
      <c r="BA138" s="7" t="str">
        <f ca="1">IF(TODAY()-Table43[[#This Row],[Efektif
Pembuatan]]&gt;60,"Lama","Baru")</f>
        <v>Lama</v>
      </c>
      <c r="BB138" s="7" t="str">
        <f ca="1">IF(TODAY()-Table43[[#This Row],[Efektif Naik Harga]]&lt;30,"Naik","Sama")</f>
        <v>Sama</v>
      </c>
      <c r="BC138" s="7" t="s">
        <v>185</v>
      </c>
      <c r="BD138" s="7" t="str">
        <f>IF(Table43[[#This Row],[Kode BARANG Win2]]&lt;&gt;"","IDR","")</f>
        <v>IDR</v>
      </c>
      <c r="BE138" s="7" t="str">
        <f>CONCATENATE(Table43[[#This Row],[kode  1 Digit
(Nomor)]],Table43[[#This Row],[kode  4 Digit                (Nomor)]])</f>
        <v>20225</v>
      </c>
      <c r="BF138" s="7" t="str">
        <f>Table43[[#This Row],[Nama            Gramasi atau Jumlah Pack per CTN]]</f>
        <v>225ML</v>
      </c>
      <c r="BG138" s="7" t="s">
        <v>1060</v>
      </c>
      <c r="BH138" s="7" t="s">
        <v>377</v>
      </c>
      <c r="BI138" s="4" t="str">
        <f>IF(Table43[[#This Row],[SATUAN Fix Win]]&lt;&gt;"","KRT")</f>
        <v>KRT</v>
      </c>
      <c r="BJ138" s="4" t="str">
        <f>IF(Table43[[#This Row],[SATUAN Fix Win]]&lt;&gt;"","GD01")</f>
        <v>GD01</v>
      </c>
      <c r="BK138" s="4">
        <f>IF(Table43[[#This Row],[SATUAN Fix Win]]&lt;&gt;"",11611)</f>
        <v>11611</v>
      </c>
      <c r="BL138" s="4">
        <f>IF(Table43[[#This Row],[SATUAN Fix Win]]&lt;&gt;"",11612)</f>
        <v>11612</v>
      </c>
      <c r="BM138" s="52" t="s">
        <v>378</v>
      </c>
      <c r="BN138" s="4">
        <f>IF(Table43[[#This Row],[SATUAN Fix Win]]&lt;&gt;"",1)</f>
        <v>1</v>
      </c>
      <c r="BO138" s="4" t="s">
        <v>637</v>
      </c>
    </row>
    <row r="139" spans="1:67">
      <c r="A139" s="4" t="str">
        <f>CONCATENATE(Table43[[#This Row],[Kode BARANG Win2]],Table43[[#This Row],[No. Urut
Item Sama]])</f>
        <v>F40670060480201</v>
      </c>
      <c r="B139" s="7">
        <v>1</v>
      </c>
      <c r="C139" s="4">
        <v>109</v>
      </c>
      <c r="D139" s="27" t="s">
        <v>453</v>
      </c>
      <c r="E139" s="27" t="s">
        <v>628</v>
      </c>
      <c r="F139" s="27" t="s">
        <v>574</v>
      </c>
      <c r="G139" s="27">
        <v>24</v>
      </c>
      <c r="H139" s="54">
        <v>8992946525605</v>
      </c>
      <c r="I139" s="27" t="str">
        <f>Table43[[#This Row],[Nama Jenis Kemasan]]</f>
        <v>PUMP</v>
      </c>
      <c r="J139" s="4" t="str">
        <f>TRIM(CONCATENATE(Table43[[#This Row],[Nama            KLP]]," ",Table43[[#This Row],[Nama            Sub KLP]]))</f>
        <v>SHINZUI SABUN CAIR</v>
      </c>
      <c r="K139" s="4" t="str">
        <f>CONCATENATE(Table43[[#This Row],[kode  2 Digit                (hrf+No)]],Table43[[#This Row],[kode  2 Digit                (Nomor)]],Table43[[#This Row],[kode  1 Digit                (Nomor)]])</f>
        <v>F4067</v>
      </c>
      <c r="L139" s="4" t="str">
        <f>IF(AG139="",CONCATENATE(Q139,S139,U139,W139,Y139,AA139,AC139,AE139,Table43[[#This Row],[Tanda Kode Revisi]]),CONCATENATE(Q139,S139,U139,W139,Y139,AA139,AC139,AG139))</f>
        <v>F4067006048020</v>
      </c>
      <c r="M139" s="11">
        <f t="shared" si="8"/>
        <v>14</v>
      </c>
      <c r="N139" s="14" t="str">
        <f>IF(AF139&lt;&gt;"",TRIM(UPPER(CONCATENATE(P139," ",R139," ",T139," ",V139," ",X139," ",Z139," ","X"," ",Table43[[#This Row],[ISI/CTN]]," ",AF139," ",AB139," ",AD139," ",AH139))),TRIM(UPPER(CONCATENATE(P139," ",R139," ",T139," ",V139," ",X139," ",Z139," ","X"," ",Table43[[#This Row],[ISI/CTN]]," ",AB139," ",AD139," ",AH139))))</f>
        <v>SHINZUI SABUN CAIR KENSHO 480ML X 24 PUMP</v>
      </c>
      <c r="O139" s="11">
        <f t="shared" si="9"/>
        <v>41</v>
      </c>
      <c r="Q139" s="7" t="s">
        <v>662</v>
      </c>
      <c r="R139" s="4" t="s">
        <v>680</v>
      </c>
      <c r="S139" s="48" t="s">
        <v>755</v>
      </c>
      <c r="T139" s="49" t="s">
        <v>690</v>
      </c>
      <c r="U139" s="7">
        <v>7</v>
      </c>
      <c r="V139" s="49"/>
      <c r="W139" s="48" t="s">
        <v>370</v>
      </c>
      <c r="X139" s="4" t="s">
        <v>694</v>
      </c>
      <c r="Y139" s="50" t="s">
        <v>755</v>
      </c>
      <c r="Z139" s="4" t="s">
        <v>673</v>
      </c>
      <c r="AA139" s="50" t="s">
        <v>740</v>
      </c>
      <c r="AB139" s="4" t="s">
        <v>730</v>
      </c>
      <c r="AC139" s="7">
        <v>2</v>
      </c>
      <c r="AE139" s="7">
        <v>0</v>
      </c>
      <c r="AI139" s="7" t="s">
        <v>178</v>
      </c>
      <c r="AJ139" s="7">
        <v>2</v>
      </c>
      <c r="AL139" s="38">
        <v>31697.477477477474</v>
      </c>
      <c r="AM139" s="39">
        <f>Table43[[#This Row],[Harga Beli Pcs
(-PPN)]]*Table43[[#This Row],[ISI/CTN]]</f>
        <v>760739.45945945941</v>
      </c>
      <c r="AN139" s="39">
        <f>Table43[[#This Row],[Harga Beli Pcs
(-PPN)]]*1.11</f>
        <v>35184.199999999997</v>
      </c>
      <c r="AO139" s="39">
        <f>Table43[[#This Row],[Harga Beli Krt
(- PPN)]]*1.11</f>
        <v>844420.8</v>
      </c>
      <c r="AP139" s="39">
        <v>34234.234234234231</v>
      </c>
      <c r="AQ139" s="39">
        <f>Table43[[#This Row],[Harga Jual Pcs GT
(-PPN)]]*Table43[[#This Row],[ISI/CTN]]</f>
        <v>821621.62162162154</v>
      </c>
      <c r="AR139" s="39">
        <f>Table43[[#This Row],[Harga Jual Pcs GT
(-PPN)]]*1.11</f>
        <v>38000</v>
      </c>
      <c r="AS139" s="39">
        <f>Table43[[#This Row],[Harga Jual Krt GT
(- PPN)]]*1.11</f>
        <v>912000</v>
      </c>
      <c r="AT139" s="39"/>
      <c r="AU139" s="39">
        <f>Table43[[#This Row],[Harga Jual Pcs MT
(-PPN)]]*Table43[[#This Row],[ISI/CTN]]</f>
        <v>0</v>
      </c>
      <c r="AV139" s="39">
        <f>Table43[[#This Row],[Harga Jual Pcs MT
(-PPN)]]*1.11</f>
        <v>0</v>
      </c>
      <c r="AW139" s="39">
        <f>Table43[[#This Row],[Harga Jual Pcs MT
(+PPN)]]*Table43[[#This Row],[ISI/CTN]]</f>
        <v>0</v>
      </c>
      <c r="AX139" s="47">
        <f>IFERROR((Table43[[#This Row],[Harga Jual Pcs GT
(-PPN)]]-Table43[[#This Row],[Harga Beli Pcs
(-PPN)]])/Table43[[#This Row],[Harga Jual Pcs GT
(-PPN)]],0)</f>
        <v>7.4099999999999999E-2</v>
      </c>
      <c r="AY139" s="51">
        <v>45848</v>
      </c>
      <c r="AZ139" s="7"/>
      <c r="BA139" s="7" t="str">
        <f ca="1">IF(TODAY()-Table43[[#This Row],[Efektif
Pembuatan]]&gt;60,"Lama","Baru")</f>
        <v>Lama</v>
      </c>
      <c r="BB139" s="7" t="str">
        <f ca="1">IF(TODAY()-Table43[[#This Row],[Efektif Naik Harga]]&lt;30,"Naik","Sama")</f>
        <v>Sama</v>
      </c>
      <c r="BC139" s="7" t="s">
        <v>185</v>
      </c>
      <c r="BD139" s="7" t="str">
        <f>IF(Table43[[#This Row],[Kode BARANG Win2]]&lt;&gt;"","IDR","")</f>
        <v>IDR</v>
      </c>
      <c r="BE139" s="7" t="str">
        <f>CONCATENATE(Table43[[#This Row],[kode  1 Digit
(Nomor)]],Table43[[#This Row],[kode  4 Digit                (Nomor)]])</f>
        <v>20480</v>
      </c>
      <c r="BF139" s="7" t="str">
        <f>Table43[[#This Row],[Nama            Gramasi atau Jumlah Pack per CTN]]</f>
        <v>480ML</v>
      </c>
      <c r="BG139" s="7" t="s">
        <v>1060</v>
      </c>
      <c r="BH139" s="7" t="s">
        <v>377</v>
      </c>
      <c r="BI139" s="4" t="str">
        <f>IF(Table43[[#This Row],[SATUAN Fix Win]]&lt;&gt;"","KRT")</f>
        <v>KRT</v>
      </c>
      <c r="BJ139" s="4" t="str">
        <f>IF(Table43[[#This Row],[SATUAN Fix Win]]&lt;&gt;"","GD01")</f>
        <v>GD01</v>
      </c>
      <c r="BK139" s="4">
        <f>IF(Table43[[#This Row],[SATUAN Fix Win]]&lt;&gt;"",11611)</f>
        <v>11611</v>
      </c>
      <c r="BL139" s="4">
        <f>IF(Table43[[#This Row],[SATUAN Fix Win]]&lt;&gt;"",11612)</f>
        <v>11612</v>
      </c>
      <c r="BM139" s="52" t="s">
        <v>378</v>
      </c>
      <c r="BN139" s="4">
        <f>IF(Table43[[#This Row],[SATUAN Fix Win]]&lt;&gt;"",1)</f>
        <v>1</v>
      </c>
      <c r="BO139" s="4" t="s">
        <v>637</v>
      </c>
    </row>
    <row r="140" spans="1:67">
      <c r="A140" s="4" t="str">
        <f>CONCATENATE(Table43[[#This Row],[Kode BARANG Win2]],Table43[[#This Row],[No. Urut
Item Sama]])</f>
        <v>F40670070225301</v>
      </c>
      <c r="B140" s="7">
        <v>1</v>
      </c>
      <c r="C140" s="4">
        <v>110</v>
      </c>
      <c r="D140" s="27" t="s">
        <v>439</v>
      </c>
      <c r="E140" s="27" t="s">
        <v>628</v>
      </c>
      <c r="F140" s="27" t="s">
        <v>560</v>
      </c>
      <c r="G140" s="27">
        <v>48</v>
      </c>
      <c r="H140" s="54">
        <v>8992946519376</v>
      </c>
      <c r="I140" s="27" t="str">
        <f>Table43[[#This Row],[Nama Jenis Kemasan]]</f>
        <v>BTL</v>
      </c>
      <c r="J140" s="4" t="str">
        <f>TRIM(CONCATENATE(Table43[[#This Row],[Nama            KLP]]," ",Table43[[#This Row],[Nama            Sub KLP]]))</f>
        <v>SHINZUI SABUN CAIR</v>
      </c>
      <c r="K140" s="4" t="str">
        <f>CONCATENATE(Table43[[#This Row],[kode  2 Digit                (hrf+No)]],Table43[[#This Row],[kode  2 Digit                (Nomor)]],Table43[[#This Row],[kode  1 Digit                (Nomor)]])</f>
        <v>F4067</v>
      </c>
      <c r="L140" s="4" t="str">
        <f>IF(AG140="",CONCATENATE(Q140,S140,U140,W140,Y140,AA140,AC140,AE140,Table43[[#This Row],[Tanda Kode Revisi]]),CONCATENATE(Q140,S140,U140,W140,Y140,AA140,AC140,AG140))</f>
        <v>F4067007022530</v>
      </c>
      <c r="M140" s="11">
        <f t="shared" si="8"/>
        <v>14</v>
      </c>
      <c r="N140" s="14" t="str">
        <f>IF(AF140&lt;&gt;"",TRIM(UPPER(CONCATENATE(P140," ",R140," ",T140," ",V140," ",X140," ",Z140," ","X"," ",Table43[[#This Row],[ISI/CTN]]," ",AF140," ",AB140," ",AD140," ",AH140))),TRIM(UPPER(CONCATENATE(P140," ",R140," ",T140," ",V140," ",X140," ",Z140," ","X"," ",Table43[[#This Row],[ISI/CTN]]," ",AB140," ",AD140," ",AH140))))</f>
        <v>SHINZUI SABUN CAIR KIREI 225ML X 48 BTL</v>
      </c>
      <c r="O140" s="11">
        <f t="shared" si="9"/>
        <v>39</v>
      </c>
      <c r="Q140" s="7" t="s">
        <v>662</v>
      </c>
      <c r="R140" s="4" t="s">
        <v>680</v>
      </c>
      <c r="S140" s="48" t="s">
        <v>755</v>
      </c>
      <c r="T140" s="49" t="s">
        <v>690</v>
      </c>
      <c r="U140" s="7">
        <v>7</v>
      </c>
      <c r="V140" s="49"/>
      <c r="W140" s="48" t="s">
        <v>370</v>
      </c>
      <c r="X140" s="4" t="s">
        <v>683</v>
      </c>
      <c r="Y140" s="50" t="s">
        <v>756</v>
      </c>
      <c r="Z140" s="4" t="s">
        <v>697</v>
      </c>
      <c r="AA140" s="50" t="s">
        <v>748</v>
      </c>
      <c r="AB140" s="4" t="s">
        <v>705</v>
      </c>
      <c r="AC140" s="7">
        <v>3</v>
      </c>
      <c r="AE140" s="7">
        <v>0</v>
      </c>
      <c r="AI140" s="7" t="s">
        <v>178</v>
      </c>
      <c r="AJ140" s="7">
        <v>2</v>
      </c>
      <c r="AL140" s="38">
        <v>16682.882882882881</v>
      </c>
      <c r="AM140" s="39">
        <f>Table43[[#This Row],[Harga Beli Pcs
(-PPN)]]*Table43[[#This Row],[ISI/CTN]]</f>
        <v>800778.37837837823</v>
      </c>
      <c r="AN140" s="39">
        <f>Table43[[#This Row],[Harga Beli Pcs
(-PPN)]]*1.11</f>
        <v>18518</v>
      </c>
      <c r="AO140" s="39">
        <f>Table43[[#This Row],[Harga Beli Krt
(- PPN)]]*1.11</f>
        <v>888863.99999999988</v>
      </c>
      <c r="AP140" s="39">
        <v>18018.018018018014</v>
      </c>
      <c r="AQ140" s="39">
        <f>Table43[[#This Row],[Harga Jual Pcs GT
(-PPN)]]*Table43[[#This Row],[ISI/CTN]]</f>
        <v>864864.86486486462</v>
      </c>
      <c r="AR140" s="39">
        <f>Table43[[#This Row],[Harga Jual Pcs GT
(-PPN)]]*1.11</f>
        <v>19999.999999999996</v>
      </c>
      <c r="AS140" s="39">
        <f>Table43[[#This Row],[Harga Jual Krt GT
(- PPN)]]*1.11</f>
        <v>959999.99999999977</v>
      </c>
      <c r="AT140" s="39"/>
      <c r="AU140" s="39">
        <f>Table43[[#This Row],[Harga Jual Pcs MT
(-PPN)]]*Table43[[#This Row],[ISI/CTN]]</f>
        <v>0</v>
      </c>
      <c r="AV140" s="39">
        <f>Table43[[#This Row],[Harga Jual Pcs MT
(-PPN)]]*1.11</f>
        <v>0</v>
      </c>
      <c r="AW140" s="39">
        <f>Table43[[#This Row],[Harga Jual Pcs MT
(+PPN)]]*Table43[[#This Row],[ISI/CTN]]</f>
        <v>0</v>
      </c>
      <c r="AX140" s="47">
        <f>IFERROR((Table43[[#This Row],[Harga Jual Pcs GT
(-PPN)]]-Table43[[#This Row],[Harga Beli Pcs
(-PPN)]])/Table43[[#This Row],[Harga Jual Pcs GT
(-PPN)]],0)</f>
        <v>7.4099999999999902E-2</v>
      </c>
      <c r="AY140" s="51">
        <v>45848</v>
      </c>
      <c r="AZ140" s="7"/>
      <c r="BA140" s="7" t="str">
        <f ca="1">IF(TODAY()-Table43[[#This Row],[Efektif
Pembuatan]]&gt;60,"Lama","Baru")</f>
        <v>Lama</v>
      </c>
      <c r="BB140" s="7" t="str">
        <f ca="1">IF(TODAY()-Table43[[#This Row],[Efektif Naik Harga]]&lt;30,"Naik","Sama")</f>
        <v>Sama</v>
      </c>
      <c r="BC140" s="7" t="s">
        <v>185</v>
      </c>
      <c r="BD140" s="7" t="str">
        <f>IF(Table43[[#This Row],[Kode BARANG Win2]]&lt;&gt;"","IDR","")</f>
        <v>IDR</v>
      </c>
      <c r="BE140" s="7" t="str">
        <f>CONCATENATE(Table43[[#This Row],[kode  1 Digit
(Nomor)]],Table43[[#This Row],[kode  4 Digit                (Nomor)]])</f>
        <v>20225</v>
      </c>
      <c r="BF140" s="7" t="str">
        <f>Table43[[#This Row],[Nama            Gramasi atau Jumlah Pack per CTN]]</f>
        <v>225ML</v>
      </c>
      <c r="BG140" s="7" t="s">
        <v>1060</v>
      </c>
      <c r="BH140" s="7" t="s">
        <v>377</v>
      </c>
      <c r="BI140" s="4" t="str">
        <f>IF(Table43[[#This Row],[SATUAN Fix Win]]&lt;&gt;"","KRT")</f>
        <v>KRT</v>
      </c>
      <c r="BJ140" s="4" t="str">
        <f>IF(Table43[[#This Row],[SATUAN Fix Win]]&lt;&gt;"","GD01")</f>
        <v>GD01</v>
      </c>
      <c r="BK140" s="4">
        <f>IF(Table43[[#This Row],[SATUAN Fix Win]]&lt;&gt;"",11611)</f>
        <v>11611</v>
      </c>
      <c r="BL140" s="4">
        <f>IF(Table43[[#This Row],[SATUAN Fix Win]]&lt;&gt;"",11612)</f>
        <v>11612</v>
      </c>
      <c r="BM140" s="52" t="s">
        <v>378</v>
      </c>
      <c r="BN140" s="4">
        <f>IF(Table43[[#This Row],[SATUAN Fix Win]]&lt;&gt;"",1)</f>
        <v>1</v>
      </c>
      <c r="BO140" s="4" t="s">
        <v>637</v>
      </c>
    </row>
    <row r="141" spans="1:67">
      <c r="A141" s="4" t="str">
        <f>CONCATENATE(Table43[[#This Row],[Kode BARANG Win2]],Table43[[#This Row],[No. Urut
Item Sama]])</f>
        <v>F40670070480301</v>
      </c>
      <c r="B141" s="7">
        <v>1</v>
      </c>
      <c r="C141" s="4">
        <v>111</v>
      </c>
      <c r="D141" s="27" t="s">
        <v>440</v>
      </c>
      <c r="E141" s="27" t="s">
        <v>628</v>
      </c>
      <c r="F141" s="27" t="s">
        <v>561</v>
      </c>
      <c r="G141" s="27">
        <v>24</v>
      </c>
      <c r="H141" s="54">
        <v>8992946525575</v>
      </c>
      <c r="I141" s="27" t="str">
        <f>Table43[[#This Row],[Nama Jenis Kemasan]]</f>
        <v>BTL</v>
      </c>
      <c r="J141" s="4" t="str">
        <f>TRIM(CONCATENATE(Table43[[#This Row],[Nama            KLP]]," ",Table43[[#This Row],[Nama            Sub KLP]]))</f>
        <v>SHINZUI SABUN CAIR</v>
      </c>
      <c r="K141" s="4" t="str">
        <f>CONCATENATE(Table43[[#This Row],[kode  2 Digit                (hrf+No)]],Table43[[#This Row],[kode  2 Digit                (Nomor)]],Table43[[#This Row],[kode  1 Digit                (Nomor)]])</f>
        <v>F4067</v>
      </c>
      <c r="L141" s="4" t="str">
        <f>IF(AG141="",CONCATENATE(Q141,S141,U141,W141,Y141,AA141,AC141,AE141,Table43[[#This Row],[Tanda Kode Revisi]]),CONCATENATE(Q141,S141,U141,W141,Y141,AA141,AC141,AG141))</f>
        <v>F4067007048030</v>
      </c>
      <c r="M141" s="11">
        <f t="shared" si="8"/>
        <v>14</v>
      </c>
      <c r="N141" s="14" t="str">
        <f>IF(AF141&lt;&gt;"",TRIM(UPPER(CONCATENATE(P141," ",R141," ",T141," ",V141," ",X141," ",Z141," ","X"," ",Table43[[#This Row],[ISI/CTN]]," ",AF141," ",AB141," ",AD141," ",AH141))),TRIM(UPPER(CONCATENATE(P141," ",R141," ",T141," ",V141," ",X141," ",Z141," ","X"," ",Table43[[#This Row],[ISI/CTN]]," ",AB141," ",AD141," ",AH141))))</f>
        <v>SHINZUI SABUN CAIR KIREI 480ML X 24 BTL</v>
      </c>
      <c r="O141" s="11">
        <f t="shared" si="9"/>
        <v>39</v>
      </c>
      <c r="Q141" s="7" t="s">
        <v>662</v>
      </c>
      <c r="R141" s="4" t="s">
        <v>680</v>
      </c>
      <c r="S141" s="48" t="s">
        <v>755</v>
      </c>
      <c r="T141" s="49" t="s">
        <v>690</v>
      </c>
      <c r="U141" s="7">
        <v>7</v>
      </c>
      <c r="V141" s="49"/>
      <c r="W141" s="48" t="s">
        <v>370</v>
      </c>
      <c r="X141" s="4" t="s">
        <v>683</v>
      </c>
      <c r="Y141" s="50" t="s">
        <v>756</v>
      </c>
      <c r="Z141" s="4" t="s">
        <v>673</v>
      </c>
      <c r="AA141" s="50" t="s">
        <v>740</v>
      </c>
      <c r="AB141" s="4" t="s">
        <v>705</v>
      </c>
      <c r="AC141" s="7">
        <v>3</v>
      </c>
      <c r="AE141" s="7">
        <v>0</v>
      </c>
      <c r="AI141" s="7" t="s">
        <v>178</v>
      </c>
      <c r="AJ141" s="7">
        <v>2</v>
      </c>
      <c r="AL141" s="38">
        <v>31697.477477477474</v>
      </c>
      <c r="AM141" s="39">
        <f>Table43[[#This Row],[Harga Beli Pcs
(-PPN)]]*Table43[[#This Row],[ISI/CTN]]</f>
        <v>760739.45945945941</v>
      </c>
      <c r="AN141" s="39">
        <f>Table43[[#This Row],[Harga Beli Pcs
(-PPN)]]*1.11</f>
        <v>35184.199999999997</v>
      </c>
      <c r="AO141" s="39">
        <f>Table43[[#This Row],[Harga Beli Krt
(- PPN)]]*1.11</f>
        <v>844420.8</v>
      </c>
      <c r="AP141" s="39">
        <v>34234.234234234231</v>
      </c>
      <c r="AQ141" s="39">
        <f>Table43[[#This Row],[Harga Jual Pcs GT
(-PPN)]]*Table43[[#This Row],[ISI/CTN]]</f>
        <v>821621.62162162154</v>
      </c>
      <c r="AR141" s="39">
        <f>Table43[[#This Row],[Harga Jual Pcs GT
(-PPN)]]*1.11</f>
        <v>38000</v>
      </c>
      <c r="AS141" s="39">
        <f>Table43[[#This Row],[Harga Jual Krt GT
(- PPN)]]*1.11</f>
        <v>912000</v>
      </c>
      <c r="AT141" s="39"/>
      <c r="AU141" s="39">
        <f>Table43[[#This Row],[Harga Jual Pcs MT
(-PPN)]]*Table43[[#This Row],[ISI/CTN]]</f>
        <v>0</v>
      </c>
      <c r="AV141" s="39">
        <f>Table43[[#This Row],[Harga Jual Pcs MT
(-PPN)]]*1.11</f>
        <v>0</v>
      </c>
      <c r="AW141" s="39">
        <f>Table43[[#This Row],[Harga Jual Pcs MT
(+PPN)]]*Table43[[#This Row],[ISI/CTN]]</f>
        <v>0</v>
      </c>
      <c r="AX141" s="47">
        <f>IFERROR((Table43[[#This Row],[Harga Jual Pcs GT
(-PPN)]]-Table43[[#This Row],[Harga Beli Pcs
(-PPN)]])/Table43[[#This Row],[Harga Jual Pcs GT
(-PPN)]],0)</f>
        <v>7.4099999999999999E-2</v>
      </c>
      <c r="AY141" s="51">
        <v>45848</v>
      </c>
      <c r="AZ141" s="7"/>
      <c r="BA141" s="7" t="str">
        <f ca="1">IF(TODAY()-Table43[[#This Row],[Efektif
Pembuatan]]&gt;60,"Lama","Baru")</f>
        <v>Lama</v>
      </c>
      <c r="BB141" s="7" t="str">
        <f ca="1">IF(TODAY()-Table43[[#This Row],[Efektif Naik Harga]]&lt;30,"Naik","Sama")</f>
        <v>Sama</v>
      </c>
      <c r="BC141" s="7" t="s">
        <v>185</v>
      </c>
      <c r="BD141" s="7" t="str">
        <f>IF(Table43[[#This Row],[Kode BARANG Win2]]&lt;&gt;"","IDR","")</f>
        <v>IDR</v>
      </c>
      <c r="BE141" s="7" t="str">
        <f>CONCATENATE(Table43[[#This Row],[kode  1 Digit
(Nomor)]],Table43[[#This Row],[kode  4 Digit                (Nomor)]])</f>
        <v>20480</v>
      </c>
      <c r="BF141" s="7" t="str">
        <f>Table43[[#This Row],[Nama            Gramasi atau Jumlah Pack per CTN]]</f>
        <v>480ML</v>
      </c>
      <c r="BG141" s="7" t="s">
        <v>1060</v>
      </c>
      <c r="BH141" s="7" t="s">
        <v>377</v>
      </c>
      <c r="BI141" s="4" t="str">
        <f>IF(Table43[[#This Row],[SATUAN Fix Win]]&lt;&gt;"","KRT")</f>
        <v>KRT</v>
      </c>
      <c r="BJ141" s="4" t="str">
        <f>IF(Table43[[#This Row],[SATUAN Fix Win]]&lt;&gt;"","GD01")</f>
        <v>GD01</v>
      </c>
      <c r="BK141" s="4">
        <f>IF(Table43[[#This Row],[SATUAN Fix Win]]&lt;&gt;"",11611)</f>
        <v>11611</v>
      </c>
      <c r="BL141" s="4">
        <f>IF(Table43[[#This Row],[SATUAN Fix Win]]&lt;&gt;"",11612)</f>
        <v>11612</v>
      </c>
      <c r="BM141" s="52" t="s">
        <v>378</v>
      </c>
      <c r="BN141" s="4">
        <f>IF(Table43[[#This Row],[SATUAN Fix Win]]&lt;&gt;"",1)</f>
        <v>1</v>
      </c>
      <c r="BO141" s="4" t="s">
        <v>637</v>
      </c>
    </row>
    <row r="142" spans="1:67">
      <c r="A142" s="4" t="str">
        <f>CONCATENATE(Table43[[#This Row],[Kode BARANG Win2]],Table43[[#This Row],[No. Urut
Item Sama]])</f>
        <v>F40670080225301</v>
      </c>
      <c r="B142" s="7">
        <v>1</v>
      </c>
      <c r="C142" s="4">
        <v>112</v>
      </c>
      <c r="D142" s="27" t="s">
        <v>429</v>
      </c>
      <c r="E142" s="27" t="s">
        <v>628</v>
      </c>
      <c r="F142" s="27" t="s">
        <v>550</v>
      </c>
      <c r="G142" s="27">
        <v>48</v>
      </c>
      <c r="H142" s="54">
        <v>8992946513360</v>
      </c>
      <c r="I142" s="27" t="str">
        <f>Table43[[#This Row],[Nama Jenis Kemasan]]</f>
        <v>BTL</v>
      </c>
      <c r="J142" s="4" t="str">
        <f>TRIM(CONCATENATE(Table43[[#This Row],[Nama            KLP]]," ",Table43[[#This Row],[Nama            Sub KLP]]))</f>
        <v>SHINZUI SABUN CAIR</v>
      </c>
      <c r="K142" s="4" t="str">
        <f>CONCATENATE(Table43[[#This Row],[kode  2 Digit                (hrf+No)]],Table43[[#This Row],[kode  2 Digit                (Nomor)]],Table43[[#This Row],[kode  1 Digit                (Nomor)]])</f>
        <v>F4067</v>
      </c>
      <c r="L142" s="4" t="str">
        <f>IF(AG142="",CONCATENATE(Q142,S142,U142,W142,Y142,AA142,AC142,AE142,Table43[[#This Row],[Tanda Kode Revisi]]),CONCATENATE(Q142,S142,U142,W142,Y142,AA142,AC142,AG142))</f>
        <v>F4067008022530</v>
      </c>
      <c r="M142" s="11">
        <f t="shared" si="8"/>
        <v>14</v>
      </c>
      <c r="N142" s="14" t="str">
        <f>IF(AF142&lt;&gt;"",TRIM(UPPER(CONCATENATE(P142," ",R142," ",T142," ",V142," ",X142," ",Z142," ","X"," ",Table43[[#This Row],[ISI/CTN]]," ",AF142," ",AB142," ",AD142," ",AH142))),TRIM(UPPER(CONCATENATE(P142," ",R142," ",T142," ",V142," ",X142," ",Z142," ","X"," ",Table43[[#This Row],[ISI/CTN]]," ",AB142," ",AD142," ",AH142))))</f>
        <v>SHINZUI SABUN CAIR MATSU 225ML X 48 BTL</v>
      </c>
      <c r="O142" s="11">
        <f t="shared" si="9"/>
        <v>39</v>
      </c>
      <c r="Q142" s="7" t="s">
        <v>662</v>
      </c>
      <c r="R142" s="4" t="s">
        <v>680</v>
      </c>
      <c r="S142" s="48" t="s">
        <v>755</v>
      </c>
      <c r="T142" s="49" t="s">
        <v>690</v>
      </c>
      <c r="U142" s="7">
        <v>7</v>
      </c>
      <c r="V142" s="49"/>
      <c r="W142" s="48" t="s">
        <v>370</v>
      </c>
      <c r="X142" s="4" t="s">
        <v>681</v>
      </c>
      <c r="Y142" s="50" t="s">
        <v>757</v>
      </c>
      <c r="Z142" s="4" t="s">
        <v>697</v>
      </c>
      <c r="AA142" s="50" t="s">
        <v>748</v>
      </c>
      <c r="AB142" s="4" t="s">
        <v>705</v>
      </c>
      <c r="AC142" s="7">
        <v>3</v>
      </c>
      <c r="AE142" s="7">
        <v>0</v>
      </c>
      <c r="AI142" s="7" t="s">
        <v>178</v>
      </c>
      <c r="AJ142" s="7">
        <v>2</v>
      </c>
      <c r="AL142" s="38">
        <v>16682.882882882881</v>
      </c>
      <c r="AM142" s="39">
        <f>Table43[[#This Row],[Harga Beli Pcs
(-PPN)]]*Table43[[#This Row],[ISI/CTN]]</f>
        <v>800778.37837837823</v>
      </c>
      <c r="AN142" s="39">
        <f>Table43[[#This Row],[Harga Beli Pcs
(-PPN)]]*1.11</f>
        <v>18518</v>
      </c>
      <c r="AO142" s="39">
        <f>Table43[[#This Row],[Harga Beli Krt
(- PPN)]]*1.11</f>
        <v>888863.99999999988</v>
      </c>
      <c r="AP142" s="39">
        <v>18018.018018018014</v>
      </c>
      <c r="AQ142" s="39">
        <f>Table43[[#This Row],[Harga Jual Pcs GT
(-PPN)]]*Table43[[#This Row],[ISI/CTN]]</f>
        <v>864864.86486486462</v>
      </c>
      <c r="AR142" s="39">
        <f>Table43[[#This Row],[Harga Jual Pcs GT
(-PPN)]]*1.11</f>
        <v>19999.999999999996</v>
      </c>
      <c r="AS142" s="39">
        <f>Table43[[#This Row],[Harga Jual Krt GT
(- PPN)]]*1.11</f>
        <v>959999.99999999977</v>
      </c>
      <c r="AT142" s="39"/>
      <c r="AU142" s="39">
        <f>Table43[[#This Row],[Harga Jual Pcs MT
(-PPN)]]*Table43[[#This Row],[ISI/CTN]]</f>
        <v>0</v>
      </c>
      <c r="AV142" s="39">
        <f>Table43[[#This Row],[Harga Jual Pcs MT
(-PPN)]]*1.11</f>
        <v>0</v>
      </c>
      <c r="AW142" s="39">
        <f>Table43[[#This Row],[Harga Jual Pcs MT
(+PPN)]]*Table43[[#This Row],[ISI/CTN]]</f>
        <v>0</v>
      </c>
      <c r="AX142" s="47">
        <f>IFERROR((Table43[[#This Row],[Harga Jual Pcs GT
(-PPN)]]-Table43[[#This Row],[Harga Beli Pcs
(-PPN)]])/Table43[[#This Row],[Harga Jual Pcs GT
(-PPN)]],0)</f>
        <v>7.4099999999999902E-2</v>
      </c>
      <c r="AY142" s="51">
        <v>45848</v>
      </c>
      <c r="AZ142" s="7"/>
      <c r="BA142" s="7" t="str">
        <f ca="1">IF(TODAY()-Table43[[#This Row],[Efektif
Pembuatan]]&gt;60,"Lama","Baru")</f>
        <v>Lama</v>
      </c>
      <c r="BB142" s="7" t="str">
        <f ca="1">IF(TODAY()-Table43[[#This Row],[Efektif Naik Harga]]&lt;30,"Naik","Sama")</f>
        <v>Sama</v>
      </c>
      <c r="BC142" s="7" t="s">
        <v>185</v>
      </c>
      <c r="BD142" s="7" t="str">
        <f>IF(Table43[[#This Row],[Kode BARANG Win2]]&lt;&gt;"","IDR","")</f>
        <v>IDR</v>
      </c>
      <c r="BE142" s="7" t="str">
        <f>CONCATENATE(Table43[[#This Row],[kode  1 Digit
(Nomor)]],Table43[[#This Row],[kode  4 Digit                (Nomor)]])</f>
        <v>20225</v>
      </c>
      <c r="BF142" s="7" t="str">
        <f>Table43[[#This Row],[Nama            Gramasi atau Jumlah Pack per CTN]]</f>
        <v>225ML</v>
      </c>
      <c r="BG142" s="7" t="s">
        <v>1060</v>
      </c>
      <c r="BH142" s="7" t="s">
        <v>377</v>
      </c>
      <c r="BI142" s="4" t="str">
        <f>IF(Table43[[#This Row],[SATUAN Fix Win]]&lt;&gt;"","KRT")</f>
        <v>KRT</v>
      </c>
      <c r="BJ142" s="4" t="str">
        <f>IF(Table43[[#This Row],[SATUAN Fix Win]]&lt;&gt;"","GD01")</f>
        <v>GD01</v>
      </c>
      <c r="BK142" s="4">
        <f>IF(Table43[[#This Row],[SATUAN Fix Win]]&lt;&gt;"",11611)</f>
        <v>11611</v>
      </c>
      <c r="BL142" s="4">
        <f>IF(Table43[[#This Row],[SATUAN Fix Win]]&lt;&gt;"",11612)</f>
        <v>11612</v>
      </c>
      <c r="BM142" s="52" t="s">
        <v>378</v>
      </c>
      <c r="BN142" s="4">
        <f>IF(Table43[[#This Row],[SATUAN Fix Win]]&lt;&gt;"",1)</f>
        <v>1</v>
      </c>
      <c r="BO142" s="4" t="s">
        <v>637</v>
      </c>
    </row>
    <row r="143" spans="1:67">
      <c r="A143" s="4" t="str">
        <f>CONCATENATE(Table43[[#This Row],[Kode BARANG Win2]],Table43[[#This Row],[No. Urut
Item Sama]])</f>
        <v>F40670080480301</v>
      </c>
      <c r="B143" s="7">
        <v>1</v>
      </c>
      <c r="C143" s="4">
        <v>113</v>
      </c>
      <c r="D143" s="27" t="s">
        <v>430</v>
      </c>
      <c r="E143" s="27" t="s">
        <v>628</v>
      </c>
      <c r="F143" s="27" t="s">
        <v>551</v>
      </c>
      <c r="G143" s="27">
        <v>24</v>
      </c>
      <c r="H143" s="54">
        <v>8992946525561</v>
      </c>
      <c r="I143" s="27" t="str">
        <f>Table43[[#This Row],[Nama Jenis Kemasan]]</f>
        <v xml:space="preserve">BTL </v>
      </c>
      <c r="J143" s="4" t="str">
        <f>TRIM(CONCATENATE(Table43[[#This Row],[Nama            KLP]]," ",Table43[[#This Row],[Nama            Sub KLP]]))</f>
        <v>SHINZUI SABUN CAIR</v>
      </c>
      <c r="K143" s="4" t="str">
        <f>CONCATENATE(Table43[[#This Row],[kode  2 Digit                (hrf+No)]],Table43[[#This Row],[kode  2 Digit                (Nomor)]],Table43[[#This Row],[kode  1 Digit                (Nomor)]])</f>
        <v>F4067</v>
      </c>
      <c r="L143" s="4" t="str">
        <f>IF(AG143="",CONCATENATE(Q143,S143,U143,W143,Y143,AA143,AC143,AE143,Table43[[#This Row],[Tanda Kode Revisi]]),CONCATENATE(Q143,S143,U143,W143,Y143,AA143,AC143,AG143))</f>
        <v>F4067008048030</v>
      </c>
      <c r="M143" s="11">
        <f t="shared" si="8"/>
        <v>14</v>
      </c>
      <c r="N143" s="14" t="str">
        <f>IF(AF143&lt;&gt;"",TRIM(UPPER(CONCATENATE(P143," ",R143," ",T143," ",V143," ",X143," ",Z143," ","X"," ",Table43[[#This Row],[ISI/CTN]]," ",AF143," ",AB143," ",AD143," ",AH143))),TRIM(UPPER(CONCATENATE(P143," ",R143," ",T143," ",V143," ",X143," ",Z143," ","X"," ",Table43[[#This Row],[ISI/CTN]]," ",AB143," ",AD143," ",AH143))))</f>
        <v>SHINZUI SABUN CAIR MATSU 480ML X 24 BTL</v>
      </c>
      <c r="O143" s="11">
        <f t="shared" si="9"/>
        <v>39</v>
      </c>
      <c r="Q143" s="7" t="s">
        <v>662</v>
      </c>
      <c r="R143" s="4" t="s">
        <v>680</v>
      </c>
      <c r="S143" s="48" t="s">
        <v>755</v>
      </c>
      <c r="T143" s="49" t="s">
        <v>690</v>
      </c>
      <c r="U143" s="7">
        <v>7</v>
      </c>
      <c r="V143" s="49"/>
      <c r="W143" s="48" t="s">
        <v>370</v>
      </c>
      <c r="X143" s="4" t="s">
        <v>681</v>
      </c>
      <c r="Y143" s="50" t="s">
        <v>757</v>
      </c>
      <c r="Z143" s="4" t="s">
        <v>673</v>
      </c>
      <c r="AA143" s="50" t="s">
        <v>740</v>
      </c>
      <c r="AB143" s="4" t="s">
        <v>731</v>
      </c>
      <c r="AC143" s="7">
        <v>3</v>
      </c>
      <c r="AE143" s="7">
        <v>0</v>
      </c>
      <c r="AI143" s="7" t="s">
        <v>178</v>
      </c>
      <c r="AJ143" s="7">
        <v>2</v>
      </c>
      <c r="AL143" s="38">
        <v>31697.477477477474</v>
      </c>
      <c r="AM143" s="39">
        <f>Table43[[#This Row],[Harga Beli Pcs
(-PPN)]]*Table43[[#This Row],[ISI/CTN]]</f>
        <v>760739.45945945941</v>
      </c>
      <c r="AN143" s="39">
        <f>Table43[[#This Row],[Harga Beli Pcs
(-PPN)]]*1.11</f>
        <v>35184.199999999997</v>
      </c>
      <c r="AO143" s="39">
        <f>Table43[[#This Row],[Harga Beli Krt
(- PPN)]]*1.11</f>
        <v>844420.8</v>
      </c>
      <c r="AP143" s="39">
        <v>34234.234234234231</v>
      </c>
      <c r="AQ143" s="39">
        <f>Table43[[#This Row],[Harga Jual Pcs GT
(-PPN)]]*Table43[[#This Row],[ISI/CTN]]</f>
        <v>821621.62162162154</v>
      </c>
      <c r="AR143" s="39">
        <f>Table43[[#This Row],[Harga Jual Pcs GT
(-PPN)]]*1.11</f>
        <v>38000</v>
      </c>
      <c r="AS143" s="39">
        <f>Table43[[#This Row],[Harga Jual Krt GT
(- PPN)]]*1.11</f>
        <v>912000</v>
      </c>
      <c r="AT143" s="39"/>
      <c r="AU143" s="39">
        <f>Table43[[#This Row],[Harga Jual Pcs MT
(-PPN)]]*Table43[[#This Row],[ISI/CTN]]</f>
        <v>0</v>
      </c>
      <c r="AV143" s="39">
        <f>Table43[[#This Row],[Harga Jual Pcs MT
(-PPN)]]*1.11</f>
        <v>0</v>
      </c>
      <c r="AW143" s="39">
        <f>Table43[[#This Row],[Harga Jual Pcs MT
(+PPN)]]*Table43[[#This Row],[ISI/CTN]]</f>
        <v>0</v>
      </c>
      <c r="AX143" s="47">
        <f>IFERROR((Table43[[#This Row],[Harga Jual Pcs GT
(-PPN)]]-Table43[[#This Row],[Harga Beli Pcs
(-PPN)]])/Table43[[#This Row],[Harga Jual Pcs GT
(-PPN)]],0)</f>
        <v>7.4099999999999999E-2</v>
      </c>
      <c r="AY143" s="51">
        <v>45848</v>
      </c>
      <c r="AZ143" s="7"/>
      <c r="BA143" s="7" t="str">
        <f ca="1">IF(TODAY()-Table43[[#This Row],[Efektif
Pembuatan]]&gt;60,"Lama","Baru")</f>
        <v>Lama</v>
      </c>
      <c r="BB143" s="7" t="str">
        <f ca="1">IF(TODAY()-Table43[[#This Row],[Efektif Naik Harga]]&lt;30,"Naik","Sama")</f>
        <v>Sama</v>
      </c>
      <c r="BC143" s="7" t="s">
        <v>185</v>
      </c>
      <c r="BD143" s="7" t="str">
        <f>IF(Table43[[#This Row],[Kode BARANG Win2]]&lt;&gt;"","IDR","")</f>
        <v>IDR</v>
      </c>
      <c r="BE143" s="7" t="str">
        <f>CONCATENATE(Table43[[#This Row],[kode  1 Digit
(Nomor)]],Table43[[#This Row],[kode  4 Digit                (Nomor)]])</f>
        <v>20480</v>
      </c>
      <c r="BF143" s="7" t="str">
        <f>Table43[[#This Row],[Nama            Gramasi atau Jumlah Pack per CTN]]</f>
        <v>480ML</v>
      </c>
      <c r="BG143" s="7" t="s">
        <v>1060</v>
      </c>
      <c r="BH143" s="7" t="s">
        <v>377</v>
      </c>
      <c r="BI143" s="4" t="str">
        <f>IF(Table43[[#This Row],[SATUAN Fix Win]]&lt;&gt;"","KRT")</f>
        <v>KRT</v>
      </c>
      <c r="BJ143" s="4" t="str">
        <f>IF(Table43[[#This Row],[SATUAN Fix Win]]&lt;&gt;"","GD01")</f>
        <v>GD01</v>
      </c>
      <c r="BK143" s="4">
        <f>IF(Table43[[#This Row],[SATUAN Fix Win]]&lt;&gt;"",11611)</f>
        <v>11611</v>
      </c>
      <c r="BL143" s="4">
        <f>IF(Table43[[#This Row],[SATUAN Fix Win]]&lt;&gt;"",11612)</f>
        <v>11612</v>
      </c>
      <c r="BM143" s="52" t="s">
        <v>378</v>
      </c>
      <c r="BN143" s="4">
        <f>IF(Table43[[#This Row],[SATUAN Fix Win]]&lt;&gt;"",1)</f>
        <v>1</v>
      </c>
      <c r="BO143" s="4" t="s">
        <v>637</v>
      </c>
    </row>
    <row r="144" spans="1:67">
      <c r="A144" s="4" t="str">
        <f>CONCATENATE(Table43[[#This Row],[Kode BARANG Win2]],Table43[[#This Row],[No. Urut
Item Sama]])</f>
        <v>F40670090225301</v>
      </c>
      <c r="B144" s="7">
        <v>1</v>
      </c>
      <c r="C144" s="4">
        <v>114</v>
      </c>
      <c r="D144" s="27" t="s">
        <v>443</v>
      </c>
      <c r="E144" s="27" t="s">
        <v>628</v>
      </c>
      <c r="F144" s="27" t="s">
        <v>564</v>
      </c>
      <c r="G144" s="27">
        <v>48</v>
      </c>
      <c r="H144" s="54">
        <v>8992946522232</v>
      </c>
      <c r="I144" s="27" t="str">
        <f>Table43[[#This Row],[Nama Jenis Kemasan]]</f>
        <v>BTL</v>
      </c>
      <c r="J144" s="4" t="str">
        <f>TRIM(CONCATENATE(Table43[[#This Row],[Nama            KLP]]," ",Table43[[#This Row],[Nama            Sub KLP]]))</f>
        <v>SHINZUI SABUN CAIR</v>
      </c>
      <c r="K144" s="4" t="str">
        <f>CONCATENATE(Table43[[#This Row],[kode  2 Digit                (hrf+No)]],Table43[[#This Row],[kode  2 Digit                (Nomor)]],Table43[[#This Row],[kode  1 Digit                (Nomor)]])</f>
        <v>F4067</v>
      </c>
      <c r="L144" s="4" t="str">
        <f>IF(AG144="",CONCATENATE(Q144,S144,U144,W144,Y144,AA144,AC144,AE144,Table43[[#This Row],[Tanda Kode Revisi]]),CONCATENATE(Q144,S144,U144,W144,Y144,AA144,AC144,AG144))</f>
        <v>F4067009022530</v>
      </c>
      <c r="M144" s="11">
        <f t="shared" si="8"/>
        <v>14</v>
      </c>
      <c r="N144" s="14" t="str">
        <f>IF(AF144&lt;&gt;"",TRIM(UPPER(CONCATENATE(P144," ",R144," ",T144," ",V144," ",X144," ",Z144," ","X"," ",Table43[[#This Row],[ISI/CTN]]," ",AF144," ",AB144," ",AD144," ",AH144))),TRIM(UPPER(CONCATENATE(P144," ",R144," ",T144," ",V144," ",X144," ",Z144," ","X"," ",Table43[[#This Row],[ISI/CTN]]," ",AB144," ",AD144," ",AH144))))</f>
        <v>SHINZUI SABUN CAIR MYORI 225ML X 48 BTL</v>
      </c>
      <c r="O144" s="11">
        <f t="shared" si="9"/>
        <v>39</v>
      </c>
      <c r="Q144" s="7" t="s">
        <v>662</v>
      </c>
      <c r="R144" s="4" t="s">
        <v>680</v>
      </c>
      <c r="S144" s="48" t="s">
        <v>755</v>
      </c>
      <c r="T144" s="49" t="s">
        <v>690</v>
      </c>
      <c r="U144" s="7">
        <v>7</v>
      </c>
      <c r="V144" s="49"/>
      <c r="W144" s="48" t="s">
        <v>370</v>
      </c>
      <c r="X144" s="4" t="s">
        <v>692</v>
      </c>
      <c r="Y144" s="50" t="s">
        <v>758</v>
      </c>
      <c r="Z144" s="4" t="s">
        <v>697</v>
      </c>
      <c r="AA144" s="50" t="s">
        <v>748</v>
      </c>
      <c r="AB144" s="4" t="s">
        <v>705</v>
      </c>
      <c r="AC144" s="7">
        <v>3</v>
      </c>
      <c r="AE144" s="7">
        <v>0</v>
      </c>
      <c r="AI144" s="7" t="s">
        <v>178</v>
      </c>
      <c r="AJ144" s="7">
        <v>2</v>
      </c>
      <c r="AL144" s="38">
        <v>16682.882882882881</v>
      </c>
      <c r="AM144" s="39">
        <f>Table43[[#This Row],[Harga Beli Pcs
(-PPN)]]*Table43[[#This Row],[ISI/CTN]]</f>
        <v>800778.37837837823</v>
      </c>
      <c r="AN144" s="39">
        <f>Table43[[#This Row],[Harga Beli Pcs
(-PPN)]]*1.11</f>
        <v>18518</v>
      </c>
      <c r="AO144" s="39">
        <f>Table43[[#This Row],[Harga Beli Krt
(- PPN)]]*1.11</f>
        <v>888863.99999999988</v>
      </c>
      <c r="AP144" s="39">
        <v>18018.018018018014</v>
      </c>
      <c r="AQ144" s="39">
        <f>Table43[[#This Row],[Harga Jual Pcs GT
(-PPN)]]*Table43[[#This Row],[ISI/CTN]]</f>
        <v>864864.86486486462</v>
      </c>
      <c r="AR144" s="39">
        <f>Table43[[#This Row],[Harga Jual Pcs GT
(-PPN)]]*1.11</f>
        <v>19999.999999999996</v>
      </c>
      <c r="AS144" s="39">
        <f>Table43[[#This Row],[Harga Jual Krt GT
(- PPN)]]*1.11</f>
        <v>959999.99999999977</v>
      </c>
      <c r="AT144" s="39"/>
      <c r="AU144" s="39">
        <f>Table43[[#This Row],[Harga Jual Pcs MT
(-PPN)]]*Table43[[#This Row],[ISI/CTN]]</f>
        <v>0</v>
      </c>
      <c r="AV144" s="39">
        <f>Table43[[#This Row],[Harga Jual Pcs MT
(-PPN)]]*1.11</f>
        <v>0</v>
      </c>
      <c r="AW144" s="39">
        <f>Table43[[#This Row],[Harga Jual Pcs MT
(+PPN)]]*Table43[[#This Row],[ISI/CTN]]</f>
        <v>0</v>
      </c>
      <c r="AX144" s="47">
        <f>IFERROR((Table43[[#This Row],[Harga Jual Pcs GT
(-PPN)]]-Table43[[#This Row],[Harga Beli Pcs
(-PPN)]])/Table43[[#This Row],[Harga Jual Pcs GT
(-PPN)]],0)</f>
        <v>7.4099999999999902E-2</v>
      </c>
      <c r="AY144" s="51">
        <v>45848</v>
      </c>
      <c r="AZ144" s="7"/>
      <c r="BA144" s="7" t="str">
        <f ca="1">IF(TODAY()-Table43[[#This Row],[Efektif
Pembuatan]]&gt;60,"Lama","Baru")</f>
        <v>Lama</v>
      </c>
      <c r="BB144" s="7" t="str">
        <f ca="1">IF(TODAY()-Table43[[#This Row],[Efektif Naik Harga]]&lt;30,"Naik","Sama")</f>
        <v>Sama</v>
      </c>
      <c r="BC144" s="7" t="s">
        <v>185</v>
      </c>
      <c r="BD144" s="7" t="str">
        <f>IF(Table43[[#This Row],[Kode BARANG Win2]]&lt;&gt;"","IDR","")</f>
        <v>IDR</v>
      </c>
      <c r="BE144" s="7" t="str">
        <f>CONCATENATE(Table43[[#This Row],[kode  1 Digit
(Nomor)]],Table43[[#This Row],[kode  4 Digit                (Nomor)]])</f>
        <v>20225</v>
      </c>
      <c r="BF144" s="7" t="str">
        <f>Table43[[#This Row],[Nama            Gramasi atau Jumlah Pack per CTN]]</f>
        <v>225ML</v>
      </c>
      <c r="BG144" s="7" t="s">
        <v>1060</v>
      </c>
      <c r="BH144" s="7" t="s">
        <v>377</v>
      </c>
      <c r="BI144" s="4" t="str">
        <f>IF(Table43[[#This Row],[SATUAN Fix Win]]&lt;&gt;"","KRT")</f>
        <v>KRT</v>
      </c>
      <c r="BJ144" s="4" t="str">
        <f>IF(Table43[[#This Row],[SATUAN Fix Win]]&lt;&gt;"","GD01")</f>
        <v>GD01</v>
      </c>
      <c r="BK144" s="4">
        <f>IF(Table43[[#This Row],[SATUAN Fix Win]]&lt;&gt;"",11611)</f>
        <v>11611</v>
      </c>
      <c r="BL144" s="4">
        <f>IF(Table43[[#This Row],[SATUAN Fix Win]]&lt;&gt;"",11612)</f>
        <v>11612</v>
      </c>
      <c r="BM144" s="52" t="s">
        <v>378</v>
      </c>
      <c r="BN144" s="4">
        <f>IF(Table43[[#This Row],[SATUAN Fix Win]]&lt;&gt;"",1)</f>
        <v>1</v>
      </c>
      <c r="BO144" s="4" t="s">
        <v>637</v>
      </c>
    </row>
    <row r="145" spans="1:70">
      <c r="A145" s="4" t="str">
        <f>CONCATENATE(Table43[[#This Row],[Kode BARANG Win2]],Table43[[#This Row],[No. Urut
Item Sama]])</f>
        <v>F40670090480201</v>
      </c>
      <c r="B145" s="7">
        <v>1</v>
      </c>
      <c r="C145" s="4">
        <v>115</v>
      </c>
      <c r="D145" s="27" t="s">
        <v>444</v>
      </c>
      <c r="E145" s="27" t="s">
        <v>628</v>
      </c>
      <c r="F145" s="27" t="s">
        <v>565</v>
      </c>
      <c r="G145" s="27">
        <v>24</v>
      </c>
      <c r="H145" s="54">
        <v>8992946525592</v>
      </c>
      <c r="I145" s="27" t="str">
        <f>Table43[[#This Row],[Nama Jenis Kemasan]]</f>
        <v>PUMP</v>
      </c>
      <c r="J145" s="4" t="str">
        <f>TRIM(CONCATENATE(Table43[[#This Row],[Nama            KLP]]," ",Table43[[#This Row],[Nama            Sub KLP]]))</f>
        <v>SHINZUI SABUN CAIR</v>
      </c>
      <c r="K145" s="4" t="str">
        <f>CONCATENATE(Table43[[#This Row],[kode  2 Digit                (hrf+No)]],Table43[[#This Row],[kode  2 Digit                (Nomor)]],Table43[[#This Row],[kode  1 Digit                (Nomor)]])</f>
        <v>F4067</v>
      </c>
      <c r="L145" s="4" t="str">
        <f>IF(AG145="",CONCATENATE(Q145,S145,U145,W145,Y145,AA145,AC145,AE145,Table43[[#This Row],[Tanda Kode Revisi]]),CONCATENATE(Q145,S145,U145,W145,Y145,AA145,AC145,AG145))</f>
        <v>F4067009048020</v>
      </c>
      <c r="M145" s="11">
        <f t="shared" si="8"/>
        <v>14</v>
      </c>
      <c r="N145" s="14" t="str">
        <f>IF(AF145&lt;&gt;"",TRIM(UPPER(CONCATENATE(P145," ",R145," ",T145," ",V145," ",X145," ",Z145," ","X"," ",Table43[[#This Row],[ISI/CTN]]," ",AF145," ",AB145," ",AD145," ",AH145))),TRIM(UPPER(CONCATENATE(P145," ",R145," ",T145," ",V145," ",X145," ",Z145," ","X"," ",Table43[[#This Row],[ISI/CTN]]," ",AB145," ",AD145," ",AH145))))</f>
        <v>SHINZUI SABUN CAIR MYORI 480ML X 24 PUMP</v>
      </c>
      <c r="O145" s="11">
        <f t="shared" si="9"/>
        <v>40</v>
      </c>
      <c r="Q145" s="7" t="s">
        <v>662</v>
      </c>
      <c r="R145" s="4" t="s">
        <v>680</v>
      </c>
      <c r="S145" s="48" t="s">
        <v>755</v>
      </c>
      <c r="T145" s="49" t="s">
        <v>690</v>
      </c>
      <c r="U145" s="7">
        <v>7</v>
      </c>
      <c r="V145" s="49"/>
      <c r="W145" s="48" t="s">
        <v>370</v>
      </c>
      <c r="X145" s="4" t="s">
        <v>692</v>
      </c>
      <c r="Y145" s="50" t="s">
        <v>758</v>
      </c>
      <c r="Z145" s="4" t="s">
        <v>673</v>
      </c>
      <c r="AA145" s="50" t="s">
        <v>740</v>
      </c>
      <c r="AB145" s="4" t="s">
        <v>730</v>
      </c>
      <c r="AC145" s="7">
        <v>2</v>
      </c>
      <c r="AE145" s="7">
        <v>0</v>
      </c>
      <c r="AI145" s="7" t="s">
        <v>178</v>
      </c>
      <c r="AJ145" s="7">
        <v>2</v>
      </c>
      <c r="AL145" s="38">
        <v>31697.477477477474</v>
      </c>
      <c r="AM145" s="39">
        <f>Table43[[#This Row],[Harga Beli Pcs
(-PPN)]]*Table43[[#This Row],[ISI/CTN]]</f>
        <v>760739.45945945941</v>
      </c>
      <c r="AN145" s="39">
        <f>Table43[[#This Row],[Harga Beli Pcs
(-PPN)]]*1.11</f>
        <v>35184.199999999997</v>
      </c>
      <c r="AO145" s="39">
        <f>Table43[[#This Row],[Harga Beli Krt
(- PPN)]]*1.11</f>
        <v>844420.8</v>
      </c>
      <c r="AP145" s="39">
        <v>34234.234234234231</v>
      </c>
      <c r="AQ145" s="39">
        <f>Table43[[#This Row],[Harga Jual Pcs GT
(-PPN)]]*Table43[[#This Row],[ISI/CTN]]</f>
        <v>821621.62162162154</v>
      </c>
      <c r="AR145" s="39">
        <f>Table43[[#This Row],[Harga Jual Pcs GT
(-PPN)]]*1.11</f>
        <v>38000</v>
      </c>
      <c r="AS145" s="39">
        <f>Table43[[#This Row],[Harga Jual Krt GT
(- PPN)]]*1.11</f>
        <v>912000</v>
      </c>
      <c r="AT145" s="39"/>
      <c r="AU145" s="39">
        <f>Table43[[#This Row],[Harga Jual Pcs MT
(-PPN)]]*Table43[[#This Row],[ISI/CTN]]</f>
        <v>0</v>
      </c>
      <c r="AV145" s="39">
        <f>Table43[[#This Row],[Harga Jual Pcs MT
(-PPN)]]*1.11</f>
        <v>0</v>
      </c>
      <c r="AW145" s="39">
        <f>Table43[[#This Row],[Harga Jual Pcs MT
(+PPN)]]*Table43[[#This Row],[ISI/CTN]]</f>
        <v>0</v>
      </c>
      <c r="AX145" s="47">
        <f>IFERROR((Table43[[#This Row],[Harga Jual Pcs GT
(-PPN)]]-Table43[[#This Row],[Harga Beli Pcs
(-PPN)]])/Table43[[#This Row],[Harga Jual Pcs GT
(-PPN)]],0)</f>
        <v>7.4099999999999999E-2</v>
      </c>
      <c r="AY145" s="51">
        <v>45848</v>
      </c>
      <c r="AZ145" s="7"/>
      <c r="BA145" s="7" t="str">
        <f ca="1">IF(TODAY()-Table43[[#This Row],[Efektif
Pembuatan]]&gt;60,"Lama","Baru")</f>
        <v>Lama</v>
      </c>
      <c r="BB145" s="7" t="str">
        <f ca="1">IF(TODAY()-Table43[[#This Row],[Efektif Naik Harga]]&lt;30,"Naik","Sama")</f>
        <v>Sama</v>
      </c>
      <c r="BC145" s="7" t="s">
        <v>185</v>
      </c>
      <c r="BD145" s="7" t="str">
        <f>IF(Table43[[#This Row],[Kode BARANG Win2]]&lt;&gt;"","IDR","")</f>
        <v>IDR</v>
      </c>
      <c r="BE145" s="7" t="str">
        <f>CONCATENATE(Table43[[#This Row],[kode  1 Digit
(Nomor)]],Table43[[#This Row],[kode  4 Digit                (Nomor)]])</f>
        <v>20480</v>
      </c>
      <c r="BF145" s="7" t="str">
        <f>Table43[[#This Row],[Nama            Gramasi atau Jumlah Pack per CTN]]</f>
        <v>480ML</v>
      </c>
      <c r="BG145" s="7" t="s">
        <v>1060</v>
      </c>
      <c r="BH145" s="7" t="s">
        <v>377</v>
      </c>
      <c r="BI145" s="4" t="str">
        <f>IF(Table43[[#This Row],[SATUAN Fix Win]]&lt;&gt;"","KRT")</f>
        <v>KRT</v>
      </c>
      <c r="BJ145" s="4" t="str">
        <f>IF(Table43[[#This Row],[SATUAN Fix Win]]&lt;&gt;"","GD01")</f>
        <v>GD01</v>
      </c>
      <c r="BK145" s="4">
        <f>IF(Table43[[#This Row],[SATUAN Fix Win]]&lt;&gt;"",11611)</f>
        <v>11611</v>
      </c>
      <c r="BL145" s="4">
        <f>IF(Table43[[#This Row],[SATUAN Fix Win]]&lt;&gt;"",11612)</f>
        <v>11612</v>
      </c>
      <c r="BM145" s="52" t="s">
        <v>378</v>
      </c>
      <c r="BN145" s="4">
        <f>IF(Table43[[#This Row],[SATUAN Fix Win]]&lt;&gt;"",1)</f>
        <v>1</v>
      </c>
      <c r="BO145" s="4" t="s">
        <v>637</v>
      </c>
    </row>
    <row r="146" spans="1:70">
      <c r="A146" s="4" t="str">
        <f>CONCATENATE(Table43[[#This Row],[Kode BARANG Win2]],Table43[[#This Row],[No. Urut
Item Sama]])</f>
        <v>F40670100180101</v>
      </c>
      <c r="B146" s="7">
        <v>1</v>
      </c>
      <c r="C146" s="4">
        <v>116</v>
      </c>
      <c r="D146" s="27" t="s">
        <v>428</v>
      </c>
      <c r="E146" s="27" t="s">
        <v>628</v>
      </c>
      <c r="F146" s="27" t="s">
        <v>549</v>
      </c>
      <c r="G146" s="27">
        <v>48</v>
      </c>
      <c r="H146" s="54">
        <v>8992946518799</v>
      </c>
      <c r="I146" s="27" t="str">
        <f>Table43[[#This Row],[Nama Jenis Kemasan]]</f>
        <v>PCH</v>
      </c>
      <c r="J146" s="4" t="str">
        <f>TRIM(CONCATENATE(Table43[[#This Row],[Nama            KLP]]," ",Table43[[#This Row],[Nama            Sub KLP]]))</f>
        <v>SHINZUI SABUN CAIR</v>
      </c>
      <c r="K146" s="4" t="str">
        <f>CONCATENATE(Table43[[#This Row],[kode  2 Digit                (hrf+No)]],Table43[[#This Row],[kode  2 Digit                (Nomor)]],Table43[[#This Row],[kode  1 Digit                (Nomor)]])</f>
        <v>F4067</v>
      </c>
      <c r="L146" s="4" t="str">
        <f>IF(AG146="",CONCATENATE(Q146,S146,U146,W146,Y146,AA146,AC146,AE146,Table43[[#This Row],[Tanda Kode Revisi]]),CONCATENATE(Q146,S146,U146,W146,Y146,AA146,AC146,AG146))</f>
        <v>F4067010018010</v>
      </c>
      <c r="M146" s="11">
        <f t="shared" si="8"/>
        <v>14</v>
      </c>
      <c r="N146" s="14" t="str">
        <f>IF(AF146&lt;&gt;"",TRIM(UPPER(CONCATENATE(P146," ",R146," ",T146," ",V146," ",X146," ",Z146," ","X"," ",Table43[[#This Row],[ISI/CTN]]," ",AF146," ",AB146," ",AD146," ",AH146))),TRIM(UPPER(CONCATENATE(P146," ",R146," ",T146," ",V146," ",X146," ",Z146," ","X"," ",Table43[[#This Row],[ISI/CTN]]," ",AB146," ",AD146," ",AH146))))</f>
        <v>SHINZUI SABUN CAIR REG/MATSU 180ML X 48 PCH</v>
      </c>
      <c r="O146" s="11">
        <f t="shared" si="9"/>
        <v>43</v>
      </c>
      <c r="Q146" s="7" t="s">
        <v>662</v>
      </c>
      <c r="R146" s="4" t="s">
        <v>680</v>
      </c>
      <c r="S146" s="48" t="s">
        <v>755</v>
      </c>
      <c r="T146" s="49" t="s">
        <v>690</v>
      </c>
      <c r="U146" s="7">
        <v>7</v>
      </c>
      <c r="V146" s="49"/>
      <c r="W146" s="48" t="s">
        <v>370</v>
      </c>
      <c r="X146" s="4" t="s">
        <v>1061</v>
      </c>
      <c r="Y146" s="50" t="s">
        <v>773</v>
      </c>
      <c r="Z146" s="4" t="s">
        <v>688</v>
      </c>
      <c r="AA146" s="50" t="s">
        <v>744</v>
      </c>
      <c r="AB146" s="4" t="s">
        <v>671</v>
      </c>
      <c r="AC146" s="7">
        <v>1</v>
      </c>
      <c r="AE146" s="7">
        <v>0</v>
      </c>
      <c r="AI146" s="7" t="s">
        <v>178</v>
      </c>
      <c r="AJ146" s="7">
        <v>2</v>
      </c>
      <c r="AL146" s="38">
        <v>10927.28828828829</v>
      </c>
      <c r="AM146" s="39">
        <f>Table43[[#This Row],[Harga Beli Pcs
(-PPN)]]*Table43[[#This Row],[ISI/CTN]]</f>
        <v>524509.83783783787</v>
      </c>
      <c r="AN146" s="39">
        <f>Table43[[#This Row],[Harga Beli Pcs
(-PPN)]]*1.11</f>
        <v>12129.290000000003</v>
      </c>
      <c r="AO146" s="39">
        <f>Table43[[#This Row],[Harga Beli Krt
(- PPN)]]*1.11</f>
        <v>582205.92000000004</v>
      </c>
      <c r="AP146" s="39">
        <v>11801.801801801799</v>
      </c>
      <c r="AQ146" s="39">
        <f>Table43[[#This Row],[Harga Jual Pcs GT
(-PPN)]]*Table43[[#This Row],[ISI/CTN]]</f>
        <v>566486.48648648639</v>
      </c>
      <c r="AR146" s="39">
        <f>Table43[[#This Row],[Harga Jual Pcs GT
(-PPN)]]*1.11</f>
        <v>13099.999999999998</v>
      </c>
      <c r="AS146" s="39">
        <f>Table43[[#This Row],[Harga Jual Krt GT
(- PPN)]]*1.11</f>
        <v>628800</v>
      </c>
      <c r="AT146" s="39"/>
      <c r="AU146" s="39">
        <f>Table43[[#This Row],[Harga Jual Pcs MT
(-PPN)]]*Table43[[#This Row],[ISI/CTN]]</f>
        <v>0</v>
      </c>
      <c r="AV146" s="39">
        <f>Table43[[#This Row],[Harga Jual Pcs MT
(-PPN)]]*1.11</f>
        <v>0</v>
      </c>
      <c r="AW146" s="39">
        <f>Table43[[#This Row],[Harga Jual Pcs MT
(+PPN)]]*Table43[[#This Row],[ISI/CTN]]</f>
        <v>0</v>
      </c>
      <c r="AX146" s="47">
        <f>IFERROR((Table43[[#This Row],[Harga Jual Pcs GT
(-PPN)]]-Table43[[#This Row],[Harga Beli Pcs
(-PPN)]])/Table43[[#This Row],[Harga Jual Pcs GT
(-PPN)]],0)</f>
        <v>7.4099999999999694E-2</v>
      </c>
      <c r="AY146" s="51">
        <v>45848</v>
      </c>
      <c r="AZ146" s="7"/>
      <c r="BA146" s="7" t="str">
        <f ca="1">IF(TODAY()-Table43[[#This Row],[Efektif
Pembuatan]]&gt;60,"Lama","Baru")</f>
        <v>Lama</v>
      </c>
      <c r="BB146" s="7" t="str">
        <f ca="1">IF(TODAY()-Table43[[#This Row],[Efektif Naik Harga]]&lt;30,"Naik","Sama")</f>
        <v>Sama</v>
      </c>
      <c r="BC146" s="7" t="s">
        <v>185</v>
      </c>
      <c r="BD146" s="7" t="str">
        <f>IF(Table43[[#This Row],[Kode BARANG Win2]]&lt;&gt;"","IDR","")</f>
        <v>IDR</v>
      </c>
      <c r="BE146" s="7" t="str">
        <f>CONCATENATE(Table43[[#This Row],[kode  1 Digit
(Nomor)]],Table43[[#This Row],[kode  4 Digit                (Nomor)]])</f>
        <v>20180</v>
      </c>
      <c r="BF146" s="7" t="str">
        <f>Table43[[#This Row],[Nama            Gramasi atau Jumlah Pack per CTN]]</f>
        <v>180ML</v>
      </c>
      <c r="BG146" s="7" t="s">
        <v>1060</v>
      </c>
      <c r="BH146" s="7" t="s">
        <v>377</v>
      </c>
      <c r="BI146" s="4" t="str">
        <f>IF(Table43[[#This Row],[SATUAN Fix Win]]&lt;&gt;"","KRT")</f>
        <v>KRT</v>
      </c>
      <c r="BJ146" s="4" t="str">
        <f>IF(Table43[[#This Row],[SATUAN Fix Win]]&lt;&gt;"","GD01")</f>
        <v>GD01</v>
      </c>
      <c r="BK146" s="4">
        <f>IF(Table43[[#This Row],[SATUAN Fix Win]]&lt;&gt;"",11611)</f>
        <v>11611</v>
      </c>
      <c r="BL146" s="4">
        <f>IF(Table43[[#This Row],[SATUAN Fix Win]]&lt;&gt;"",11612)</f>
        <v>11612</v>
      </c>
      <c r="BM146" s="52" t="s">
        <v>378</v>
      </c>
      <c r="BN146" s="4">
        <f>IF(Table43[[#This Row],[SATUAN Fix Win]]&lt;&gt;"",1)</f>
        <v>1</v>
      </c>
      <c r="BO146" s="4" t="s">
        <v>637</v>
      </c>
    </row>
    <row r="147" spans="1:70">
      <c r="A147" s="4" t="str">
        <f>CONCATENATE(Table43[[#This Row],[Kode BARANG Win2]],Table43[[#This Row],[No. Urut
Item Sama]])</f>
        <v>F40670110225301</v>
      </c>
      <c r="B147" s="7">
        <v>1</v>
      </c>
      <c r="C147" s="4">
        <v>117</v>
      </c>
      <c r="D147" s="27" t="s">
        <v>448</v>
      </c>
      <c r="E147" s="27" t="s">
        <v>628</v>
      </c>
      <c r="F147" s="27" t="s">
        <v>569</v>
      </c>
      <c r="G147" s="27">
        <v>48</v>
      </c>
      <c r="H147" s="54">
        <v>8992946522239</v>
      </c>
      <c r="I147" s="27" t="str">
        <f>Table43[[#This Row],[Nama Jenis Kemasan]]</f>
        <v>BTL</v>
      </c>
      <c r="J147" s="4" t="str">
        <f>TRIM(CONCATENATE(Table43[[#This Row],[Nama            KLP]]," ",Table43[[#This Row],[Nama            Sub KLP]]))</f>
        <v>SHINZUI SABUN CAIR</v>
      </c>
      <c r="K147" s="4" t="str">
        <f>CONCATENATE(Table43[[#This Row],[kode  2 Digit                (hrf+No)]],Table43[[#This Row],[kode  2 Digit                (Nomor)]],Table43[[#This Row],[kode  1 Digit                (Nomor)]])</f>
        <v>F4067</v>
      </c>
      <c r="L147" s="4" t="str">
        <f>IF(AG147="",CONCATENATE(Q147,S147,U147,W147,Y147,AA147,AC147,AE147,Table43[[#This Row],[Tanda Kode Revisi]]),CONCATENATE(Q147,S147,U147,W147,Y147,AA147,AC147,AG147))</f>
        <v>F4067011022530</v>
      </c>
      <c r="M147" s="11">
        <f t="shared" si="8"/>
        <v>14</v>
      </c>
      <c r="N147" s="14" t="str">
        <f>IF(AF147&lt;&gt;"",TRIM(UPPER(CONCATENATE(P147," ",R147," ",T147," ",V147," ",X147," ",Z147," ","X"," ",Table43[[#This Row],[ISI/CTN]]," ",AF147," ",AB147," ",AD147," ",AH147))),TRIM(UPPER(CONCATENATE(P147," ",R147," ",T147," ",V147," ",X147," ",Z147," ","X"," ",Table43[[#This Row],[ISI/CTN]]," ",AB147," ",AD147," ",AH147))))</f>
        <v>SHINZUI SABUN CAIR SAKURA 225ML X 48 BTL</v>
      </c>
      <c r="O147" s="11">
        <f t="shared" si="9"/>
        <v>40</v>
      </c>
      <c r="Q147" s="7" t="s">
        <v>662</v>
      </c>
      <c r="R147" s="4" t="s">
        <v>680</v>
      </c>
      <c r="S147" s="48" t="s">
        <v>755</v>
      </c>
      <c r="T147" s="49" t="s">
        <v>690</v>
      </c>
      <c r="U147" s="7">
        <v>7</v>
      </c>
      <c r="V147" s="49"/>
      <c r="W147" s="48" t="s">
        <v>370</v>
      </c>
      <c r="X147" s="4" t="s">
        <v>693</v>
      </c>
      <c r="Y147" s="50" t="s">
        <v>774</v>
      </c>
      <c r="Z147" s="4" t="s">
        <v>697</v>
      </c>
      <c r="AA147" s="50" t="s">
        <v>748</v>
      </c>
      <c r="AB147" s="4" t="s">
        <v>705</v>
      </c>
      <c r="AC147" s="7">
        <v>3</v>
      </c>
      <c r="AE147" s="7">
        <v>0</v>
      </c>
      <c r="AI147" s="7" t="s">
        <v>178</v>
      </c>
      <c r="AJ147" s="7">
        <v>2</v>
      </c>
      <c r="AL147" s="38">
        <v>16682.882882882881</v>
      </c>
      <c r="AM147" s="39">
        <f>Table43[[#This Row],[Harga Beli Pcs
(-PPN)]]*Table43[[#This Row],[ISI/CTN]]</f>
        <v>800778.37837837823</v>
      </c>
      <c r="AN147" s="39">
        <f>Table43[[#This Row],[Harga Beli Pcs
(-PPN)]]*1.11</f>
        <v>18518</v>
      </c>
      <c r="AO147" s="39">
        <f>Table43[[#This Row],[Harga Beli Krt
(- PPN)]]*1.11</f>
        <v>888863.99999999988</v>
      </c>
      <c r="AP147" s="39">
        <v>18018.018018018014</v>
      </c>
      <c r="AQ147" s="39">
        <f>Table43[[#This Row],[Harga Jual Pcs GT
(-PPN)]]*Table43[[#This Row],[ISI/CTN]]</f>
        <v>864864.86486486462</v>
      </c>
      <c r="AR147" s="39">
        <f>Table43[[#This Row],[Harga Jual Pcs GT
(-PPN)]]*1.11</f>
        <v>19999.999999999996</v>
      </c>
      <c r="AS147" s="39">
        <f>Table43[[#This Row],[Harga Jual Krt GT
(- PPN)]]*1.11</f>
        <v>959999.99999999977</v>
      </c>
      <c r="AT147" s="39"/>
      <c r="AU147" s="39">
        <f>Table43[[#This Row],[Harga Jual Pcs MT
(-PPN)]]*Table43[[#This Row],[ISI/CTN]]</f>
        <v>0</v>
      </c>
      <c r="AV147" s="39">
        <f>Table43[[#This Row],[Harga Jual Pcs MT
(-PPN)]]*1.11</f>
        <v>0</v>
      </c>
      <c r="AW147" s="39">
        <f>Table43[[#This Row],[Harga Jual Pcs MT
(+PPN)]]*Table43[[#This Row],[ISI/CTN]]</f>
        <v>0</v>
      </c>
      <c r="AX147" s="47">
        <f>IFERROR((Table43[[#This Row],[Harga Jual Pcs GT
(-PPN)]]-Table43[[#This Row],[Harga Beli Pcs
(-PPN)]])/Table43[[#This Row],[Harga Jual Pcs GT
(-PPN)]],0)</f>
        <v>7.4099999999999902E-2</v>
      </c>
      <c r="AY147" s="51">
        <v>45848</v>
      </c>
      <c r="AZ147" s="7"/>
      <c r="BA147" s="7" t="str">
        <f ca="1">IF(TODAY()-Table43[[#This Row],[Efektif
Pembuatan]]&gt;60,"Lama","Baru")</f>
        <v>Lama</v>
      </c>
      <c r="BB147" s="7" t="str">
        <f ca="1">IF(TODAY()-Table43[[#This Row],[Efektif Naik Harga]]&lt;30,"Naik","Sama")</f>
        <v>Sama</v>
      </c>
      <c r="BC147" s="7" t="s">
        <v>185</v>
      </c>
      <c r="BD147" s="7" t="str">
        <f>IF(Table43[[#This Row],[Kode BARANG Win2]]&lt;&gt;"","IDR","")</f>
        <v>IDR</v>
      </c>
      <c r="BE147" s="7" t="str">
        <f>CONCATENATE(Table43[[#This Row],[kode  1 Digit
(Nomor)]],Table43[[#This Row],[kode  4 Digit                (Nomor)]])</f>
        <v>20225</v>
      </c>
      <c r="BF147" s="7" t="str">
        <f>Table43[[#This Row],[Nama            Gramasi atau Jumlah Pack per CTN]]</f>
        <v>225ML</v>
      </c>
      <c r="BG147" s="7" t="s">
        <v>1060</v>
      </c>
      <c r="BH147" s="7" t="s">
        <v>377</v>
      </c>
      <c r="BI147" s="4" t="str">
        <f>IF(Table43[[#This Row],[SATUAN Fix Win]]&lt;&gt;"","KRT")</f>
        <v>KRT</v>
      </c>
      <c r="BJ147" s="4" t="str">
        <f>IF(Table43[[#This Row],[SATUAN Fix Win]]&lt;&gt;"","GD01")</f>
        <v>GD01</v>
      </c>
      <c r="BK147" s="4">
        <f>IF(Table43[[#This Row],[SATUAN Fix Win]]&lt;&gt;"",11611)</f>
        <v>11611</v>
      </c>
      <c r="BL147" s="4">
        <f>IF(Table43[[#This Row],[SATUAN Fix Win]]&lt;&gt;"",11612)</f>
        <v>11612</v>
      </c>
      <c r="BM147" s="52" t="s">
        <v>378</v>
      </c>
      <c r="BN147" s="4">
        <f>IF(Table43[[#This Row],[SATUAN Fix Win]]&lt;&gt;"",1)</f>
        <v>1</v>
      </c>
      <c r="BO147" s="4" t="s">
        <v>637</v>
      </c>
    </row>
    <row r="148" spans="1:70">
      <c r="A148" s="4" t="str">
        <f>CONCATENATE(Table43[[#This Row],[Kode BARANG Win2]],Table43[[#This Row],[No. Urut
Item Sama]])</f>
        <v>F40670110480201</v>
      </c>
      <c r="B148" s="7">
        <v>1</v>
      </c>
      <c r="C148" s="4">
        <v>118</v>
      </c>
      <c r="D148" s="27" t="s">
        <v>449</v>
      </c>
      <c r="E148" s="27" t="s">
        <v>628</v>
      </c>
      <c r="F148" s="27" t="s">
        <v>570</v>
      </c>
      <c r="G148" s="27">
        <v>24</v>
      </c>
      <c r="H148" s="54">
        <v>8992946525599</v>
      </c>
      <c r="I148" s="27" t="str">
        <f>Table43[[#This Row],[Nama Jenis Kemasan]]</f>
        <v>PUMP</v>
      </c>
      <c r="J148" s="4" t="str">
        <f>TRIM(CONCATENATE(Table43[[#This Row],[Nama            KLP]]," ",Table43[[#This Row],[Nama            Sub KLP]]))</f>
        <v>SHINZUI SABUN CAIR</v>
      </c>
      <c r="K148" s="4" t="str">
        <f>CONCATENATE(Table43[[#This Row],[kode  2 Digit                (hrf+No)]],Table43[[#This Row],[kode  2 Digit                (Nomor)]],Table43[[#This Row],[kode  1 Digit                (Nomor)]])</f>
        <v>F4067</v>
      </c>
      <c r="L148" s="4" t="str">
        <f>IF(AG148="",CONCATENATE(Q148,S148,U148,W148,Y148,AA148,AC148,AE148,Table43[[#This Row],[Tanda Kode Revisi]]),CONCATENATE(Q148,S148,U148,W148,Y148,AA148,AC148,AG148))</f>
        <v>F4067011048020</v>
      </c>
      <c r="M148" s="11">
        <f t="shared" si="8"/>
        <v>14</v>
      </c>
      <c r="N148" s="14" t="str">
        <f>IF(AF148&lt;&gt;"",TRIM(UPPER(CONCATENATE(P148," ",R148," ",T148," ",V148," ",X148," ",Z148," ","X"," ",Table43[[#This Row],[ISI/CTN]]," ",AF148," ",AB148," ",AD148," ",AH148))),TRIM(UPPER(CONCATENATE(P148," ",R148," ",T148," ",V148," ",X148," ",Z148," ","X"," ",Table43[[#This Row],[ISI/CTN]]," ",AB148," ",AD148," ",AH148))))</f>
        <v>SHINZUI SABUN CAIR SAKURA 480ML X 24 PUMP</v>
      </c>
      <c r="O148" s="11">
        <f t="shared" si="9"/>
        <v>41</v>
      </c>
      <c r="Q148" s="7" t="s">
        <v>662</v>
      </c>
      <c r="R148" s="4" t="s">
        <v>680</v>
      </c>
      <c r="S148" s="48" t="s">
        <v>755</v>
      </c>
      <c r="T148" s="49" t="s">
        <v>690</v>
      </c>
      <c r="U148" s="7">
        <v>7</v>
      </c>
      <c r="V148" s="49"/>
      <c r="W148" s="48" t="s">
        <v>370</v>
      </c>
      <c r="X148" s="4" t="s">
        <v>693</v>
      </c>
      <c r="Y148" s="50" t="s">
        <v>774</v>
      </c>
      <c r="Z148" s="4" t="s">
        <v>673</v>
      </c>
      <c r="AA148" s="50" t="s">
        <v>740</v>
      </c>
      <c r="AB148" s="4" t="s">
        <v>730</v>
      </c>
      <c r="AC148" s="7">
        <v>2</v>
      </c>
      <c r="AE148" s="7">
        <v>0</v>
      </c>
      <c r="AI148" s="7" t="s">
        <v>178</v>
      </c>
      <c r="AJ148" s="7">
        <v>2</v>
      </c>
      <c r="AL148" s="38">
        <v>31697.477477477474</v>
      </c>
      <c r="AM148" s="39">
        <f>Table43[[#This Row],[Harga Beli Pcs
(-PPN)]]*Table43[[#This Row],[ISI/CTN]]</f>
        <v>760739.45945945941</v>
      </c>
      <c r="AN148" s="39">
        <f>Table43[[#This Row],[Harga Beli Pcs
(-PPN)]]*1.11</f>
        <v>35184.199999999997</v>
      </c>
      <c r="AO148" s="39">
        <f>Table43[[#This Row],[Harga Beli Krt
(- PPN)]]*1.11</f>
        <v>844420.8</v>
      </c>
      <c r="AP148" s="39">
        <v>34234.234234234231</v>
      </c>
      <c r="AQ148" s="39">
        <f>Table43[[#This Row],[Harga Jual Pcs GT
(-PPN)]]*Table43[[#This Row],[ISI/CTN]]</f>
        <v>821621.62162162154</v>
      </c>
      <c r="AR148" s="39">
        <f>Table43[[#This Row],[Harga Jual Pcs GT
(-PPN)]]*1.11</f>
        <v>38000</v>
      </c>
      <c r="AS148" s="39">
        <f>Table43[[#This Row],[Harga Jual Krt GT
(- PPN)]]*1.11</f>
        <v>912000</v>
      </c>
      <c r="AT148" s="39"/>
      <c r="AU148" s="39">
        <f>Table43[[#This Row],[Harga Jual Pcs MT
(-PPN)]]*Table43[[#This Row],[ISI/CTN]]</f>
        <v>0</v>
      </c>
      <c r="AV148" s="39">
        <f>Table43[[#This Row],[Harga Jual Pcs MT
(-PPN)]]*1.11</f>
        <v>0</v>
      </c>
      <c r="AW148" s="39">
        <f>Table43[[#This Row],[Harga Jual Pcs MT
(+PPN)]]*Table43[[#This Row],[ISI/CTN]]</f>
        <v>0</v>
      </c>
      <c r="AX148" s="47">
        <f>IFERROR((Table43[[#This Row],[Harga Jual Pcs GT
(-PPN)]]-Table43[[#This Row],[Harga Beli Pcs
(-PPN)]])/Table43[[#This Row],[Harga Jual Pcs GT
(-PPN)]],0)</f>
        <v>7.4099999999999999E-2</v>
      </c>
      <c r="AY148" s="51">
        <v>45848</v>
      </c>
      <c r="AZ148" s="7"/>
      <c r="BA148" s="7" t="str">
        <f ca="1">IF(TODAY()-Table43[[#This Row],[Efektif
Pembuatan]]&gt;60,"Lama","Baru")</f>
        <v>Lama</v>
      </c>
      <c r="BB148" s="7" t="str">
        <f ca="1">IF(TODAY()-Table43[[#This Row],[Efektif Naik Harga]]&lt;30,"Naik","Sama")</f>
        <v>Sama</v>
      </c>
      <c r="BC148" s="7" t="s">
        <v>185</v>
      </c>
      <c r="BD148" s="7" t="str">
        <f>IF(Table43[[#This Row],[Kode BARANG Win2]]&lt;&gt;"","IDR","")</f>
        <v>IDR</v>
      </c>
      <c r="BE148" s="7" t="str">
        <f>CONCATENATE(Table43[[#This Row],[kode  1 Digit
(Nomor)]],Table43[[#This Row],[kode  4 Digit                (Nomor)]])</f>
        <v>20480</v>
      </c>
      <c r="BF148" s="7" t="str">
        <f>Table43[[#This Row],[Nama            Gramasi atau Jumlah Pack per CTN]]</f>
        <v>480ML</v>
      </c>
      <c r="BG148" s="7" t="s">
        <v>1060</v>
      </c>
      <c r="BH148" s="7" t="s">
        <v>377</v>
      </c>
      <c r="BI148" s="4" t="str">
        <f>IF(Table43[[#This Row],[SATUAN Fix Win]]&lt;&gt;"","KRT")</f>
        <v>KRT</v>
      </c>
      <c r="BJ148" s="4" t="str">
        <f>IF(Table43[[#This Row],[SATUAN Fix Win]]&lt;&gt;"","GD01")</f>
        <v>GD01</v>
      </c>
      <c r="BK148" s="4">
        <f>IF(Table43[[#This Row],[SATUAN Fix Win]]&lt;&gt;"",11611)</f>
        <v>11611</v>
      </c>
      <c r="BL148" s="4">
        <f>IF(Table43[[#This Row],[SATUAN Fix Win]]&lt;&gt;"",11612)</f>
        <v>11612</v>
      </c>
      <c r="BM148" s="52" t="s">
        <v>378</v>
      </c>
      <c r="BN148" s="4">
        <f>IF(Table43[[#This Row],[SATUAN Fix Win]]&lt;&gt;"",1)</f>
        <v>1</v>
      </c>
      <c r="BO148" s="4" t="s">
        <v>637</v>
      </c>
    </row>
    <row r="149" spans="1:70">
      <c r="A149" s="4" t="str">
        <f>CONCATENATE(Table43[[#This Row],[Kode BARANG Win2]],Table43[[#This Row],[No. Urut
Item Sama]])</f>
        <v>F40680010020101</v>
      </c>
      <c r="B149" s="7">
        <v>1</v>
      </c>
      <c r="C149" s="4">
        <v>119</v>
      </c>
      <c r="D149" s="27" t="s">
        <v>498</v>
      </c>
      <c r="E149" s="27" t="s">
        <v>628</v>
      </c>
      <c r="F149" s="27" t="s">
        <v>619</v>
      </c>
      <c r="G149" s="27">
        <v>48</v>
      </c>
      <c r="H149" s="54">
        <v>8992946535079</v>
      </c>
      <c r="I149" s="27" t="str">
        <f>Table43[[#This Row],[Nama Jenis Kemasan]]</f>
        <v>TUBE</v>
      </c>
      <c r="J149" s="4" t="str">
        <f>TRIM(CONCATENATE(Table43[[#This Row],[Nama            KLP]]," ",Table43[[#This Row],[Nama            Sub KLP]]))</f>
        <v>SHINZUI SERUM</v>
      </c>
      <c r="K149" s="4" t="str">
        <f>CONCATENATE(Table43[[#This Row],[kode  2 Digit                (hrf+No)]],Table43[[#This Row],[kode  2 Digit                (Nomor)]],Table43[[#This Row],[kode  1 Digit                (Nomor)]])</f>
        <v>F4068</v>
      </c>
      <c r="L149" s="4" t="str">
        <f>IF(AG149="",CONCATENATE(Q149,S149,U149,W149,Y149,AA149,AC149,AE149,Table43[[#This Row],[Tanda Kode Revisi]]),CONCATENATE(Q149,S149,U149,W149,Y149,AA149,AC149,AG149))</f>
        <v>F4068001002010</v>
      </c>
      <c r="M149" s="11">
        <f t="shared" si="8"/>
        <v>14</v>
      </c>
      <c r="N149" s="14" t="str">
        <f>IF(AF149&lt;&gt;"",TRIM(UPPER(CONCATENATE(P149," ",R149," ",T149," ",V149," ",X149," ",Z149," ","X"," ",Table43[[#This Row],[ISI/CTN]]," ",AF149," ",AB149," ",AD149," ",AH149))),TRIM(UPPER(CONCATENATE(P149," ",R149," ",T149," ",V149," ",X149," ",Z149," ","X"," ",Table43[[#This Row],[ISI/CTN]]," ",AB149," ",AD149," ",AH149))))</f>
        <v>SHINZUI SERUM BRIGHTENING 20ML X 48 TUBE</v>
      </c>
      <c r="O149" s="11">
        <f t="shared" si="9"/>
        <v>40</v>
      </c>
      <c r="Q149" s="7" t="s">
        <v>662</v>
      </c>
      <c r="R149" s="4" t="s">
        <v>680</v>
      </c>
      <c r="S149" s="48" t="s">
        <v>755</v>
      </c>
      <c r="T149" s="49" t="s">
        <v>702</v>
      </c>
      <c r="U149" s="7">
        <v>8</v>
      </c>
      <c r="V149" s="49"/>
      <c r="W149" s="48" t="s">
        <v>370</v>
      </c>
      <c r="X149" s="4" t="s">
        <v>701</v>
      </c>
      <c r="Y149" s="50" t="s">
        <v>749</v>
      </c>
      <c r="Z149" s="4" t="s">
        <v>717</v>
      </c>
      <c r="AA149" s="50" t="s">
        <v>746</v>
      </c>
      <c r="AB149" s="4" t="s">
        <v>732</v>
      </c>
      <c r="AC149" s="7">
        <v>1</v>
      </c>
      <c r="AE149" s="7">
        <v>0</v>
      </c>
      <c r="AI149" s="7" t="s">
        <v>178</v>
      </c>
      <c r="AJ149" s="7">
        <v>2</v>
      </c>
      <c r="AL149" s="38">
        <v>28360.900900900899</v>
      </c>
      <c r="AM149" s="39">
        <f>Table43[[#This Row],[Harga Beli Pcs
(-PPN)]]*Table43[[#This Row],[ISI/CTN]]</f>
        <v>1361323.2432432431</v>
      </c>
      <c r="AN149" s="39">
        <f>Table43[[#This Row],[Harga Beli Pcs
(-PPN)]]*1.11</f>
        <v>31480.6</v>
      </c>
      <c r="AO149" s="39">
        <f>Table43[[#This Row],[Harga Beli Krt
(- PPN)]]*1.11</f>
        <v>1511068.8</v>
      </c>
      <c r="AP149" s="39">
        <v>30630.630630630625</v>
      </c>
      <c r="AQ149" s="39">
        <f>Table43[[#This Row],[Harga Jual Pcs GT
(-PPN)]]*Table43[[#This Row],[ISI/CTN]]</f>
        <v>1470270.2702702701</v>
      </c>
      <c r="AR149" s="39">
        <f>Table43[[#This Row],[Harga Jual Pcs GT
(-PPN)]]*1.11</f>
        <v>34000</v>
      </c>
      <c r="AS149" s="39">
        <f>Table43[[#This Row],[Harga Jual Krt GT
(- PPN)]]*1.11</f>
        <v>1632000</v>
      </c>
      <c r="AT149" s="39"/>
      <c r="AU149" s="39">
        <f>Table43[[#This Row],[Harga Jual Pcs MT
(-PPN)]]*Table43[[#This Row],[ISI/CTN]]</f>
        <v>0</v>
      </c>
      <c r="AV149" s="39">
        <f>Table43[[#This Row],[Harga Jual Pcs MT
(-PPN)]]*1.11</f>
        <v>0</v>
      </c>
      <c r="AW149" s="39">
        <f>Table43[[#This Row],[Harga Jual Pcs MT
(+PPN)]]*Table43[[#This Row],[ISI/CTN]]</f>
        <v>0</v>
      </c>
      <c r="AX149" s="47">
        <f>IFERROR((Table43[[#This Row],[Harga Jual Pcs GT
(-PPN)]]-Table43[[#This Row],[Harga Beli Pcs
(-PPN)]])/Table43[[#This Row],[Harga Jual Pcs GT
(-PPN)]],0)</f>
        <v>7.4099999999999902E-2</v>
      </c>
      <c r="AY149" s="51">
        <v>45848</v>
      </c>
      <c r="AZ149" s="7"/>
      <c r="BA149" s="7" t="str">
        <f ca="1">IF(TODAY()-Table43[[#This Row],[Efektif
Pembuatan]]&gt;60,"Lama","Baru")</f>
        <v>Lama</v>
      </c>
      <c r="BB149" s="7" t="str">
        <f ca="1">IF(TODAY()-Table43[[#This Row],[Efektif Naik Harga]]&lt;30,"Naik","Sama")</f>
        <v>Sama</v>
      </c>
      <c r="BC149" s="7" t="s">
        <v>185</v>
      </c>
      <c r="BD149" s="7" t="str">
        <f>IF(Table43[[#This Row],[Kode BARANG Win2]]&lt;&gt;"","IDR","")</f>
        <v>IDR</v>
      </c>
      <c r="BE149" s="7" t="str">
        <f>CONCATENATE(Table43[[#This Row],[kode  1 Digit
(Nomor)]],Table43[[#This Row],[kode  4 Digit                (Nomor)]])</f>
        <v>20020</v>
      </c>
      <c r="BF149" s="7" t="str">
        <f>Table43[[#This Row],[Nama            Gramasi atau Jumlah Pack per CTN]]</f>
        <v>20ML</v>
      </c>
      <c r="BG149" s="7" t="s">
        <v>1060</v>
      </c>
      <c r="BH149" s="7" t="s">
        <v>377</v>
      </c>
      <c r="BI149" s="4" t="str">
        <f>IF(Table43[[#This Row],[SATUAN Fix Win]]&lt;&gt;"","KRT")</f>
        <v>KRT</v>
      </c>
      <c r="BJ149" s="4" t="str">
        <f>IF(Table43[[#This Row],[SATUAN Fix Win]]&lt;&gt;"","GD01")</f>
        <v>GD01</v>
      </c>
      <c r="BK149" s="4">
        <f>IF(Table43[[#This Row],[SATUAN Fix Win]]&lt;&gt;"",11611)</f>
        <v>11611</v>
      </c>
      <c r="BL149" s="4">
        <f>IF(Table43[[#This Row],[SATUAN Fix Win]]&lt;&gt;"",11612)</f>
        <v>11612</v>
      </c>
      <c r="BM149" s="52" t="s">
        <v>378</v>
      </c>
      <c r="BN149" s="4">
        <f>IF(Table43[[#This Row],[SATUAN Fix Win]]&lt;&gt;"",1)</f>
        <v>1</v>
      </c>
      <c r="BO149" s="4" t="s">
        <v>637</v>
      </c>
    </row>
    <row r="150" spans="1:70">
      <c r="A150" s="4" t="str">
        <f>CONCATENATE(Table43[[#This Row],[Kode BARANG Win2]],Table43[[#This Row],[No. Urut
Item Sama]])</f>
        <v>F40680020030201</v>
      </c>
      <c r="B150" s="7">
        <v>1</v>
      </c>
      <c r="C150" s="4">
        <v>120</v>
      </c>
      <c r="D150" s="27" t="s">
        <v>499</v>
      </c>
      <c r="E150" s="27" t="s">
        <v>628</v>
      </c>
      <c r="F150" s="27" t="s">
        <v>620</v>
      </c>
      <c r="G150" s="27">
        <v>48</v>
      </c>
      <c r="H150" s="54">
        <v>8992946534966</v>
      </c>
      <c r="I150" s="27" t="str">
        <f>Table43[[#This Row],[Nama Jenis Kemasan]]</f>
        <v>JAR</v>
      </c>
      <c r="J150" s="4" t="str">
        <f>TRIM(CONCATENATE(Table43[[#This Row],[Nama            KLP]]," ",Table43[[#This Row],[Nama            Sub KLP]]))</f>
        <v>SHINZUI SERUM</v>
      </c>
      <c r="K150" s="4" t="str">
        <f>CONCATENATE(Table43[[#This Row],[kode  2 Digit                (hrf+No)]],Table43[[#This Row],[kode  2 Digit                (Nomor)]],Table43[[#This Row],[kode  1 Digit                (Nomor)]])</f>
        <v>F4068</v>
      </c>
      <c r="L150" s="4" t="str">
        <f>IF(AG150="",CONCATENATE(Q150,S150,U150,W150,Y150,AA150,AC150,AE150,Table43[[#This Row],[Tanda Kode Revisi]]),CONCATENATE(Q150,S150,U150,W150,Y150,AA150,AC150,AG150))</f>
        <v>F4068002003020</v>
      </c>
      <c r="M150" s="11">
        <f t="shared" ref="M150:M197" si="16">LEN(L150)</f>
        <v>14</v>
      </c>
      <c r="N150" s="14" t="str">
        <f>IF(AF150&lt;&gt;"",TRIM(UPPER(CONCATENATE(P150," ",R150," ",T150," ",V150," ",X150," ",Z150," ","X"," ",Table43[[#This Row],[ISI/CTN]]," ",AF150," ",AB150," ",AD150," ",AH150))),TRIM(UPPER(CONCATENATE(P150," ",R150," ",T150," ",V150," ",X150," ",Z150," ","X"," ",Table43[[#This Row],[ISI/CTN]]," ",AB150," ",AD150," ",AH150))))</f>
        <v>SHINZUI SERUM MOISTURIZER 30G X 48 JAR</v>
      </c>
      <c r="O150" s="11">
        <f t="shared" ref="O150:O197" si="17">LEN(N150)</f>
        <v>38</v>
      </c>
      <c r="Q150" s="7" t="s">
        <v>662</v>
      </c>
      <c r="R150" s="4" t="s">
        <v>680</v>
      </c>
      <c r="S150" s="48" t="s">
        <v>755</v>
      </c>
      <c r="T150" s="49" t="s">
        <v>702</v>
      </c>
      <c r="U150" s="7">
        <v>8</v>
      </c>
      <c r="V150" s="49"/>
      <c r="W150" s="48" t="s">
        <v>370</v>
      </c>
      <c r="X150" s="4" t="s">
        <v>715</v>
      </c>
      <c r="Y150" s="50" t="s">
        <v>751</v>
      </c>
      <c r="Z150" s="4" t="s">
        <v>768</v>
      </c>
      <c r="AA150" s="50" t="s">
        <v>759</v>
      </c>
      <c r="AB150" s="4" t="s">
        <v>733</v>
      </c>
      <c r="AC150" s="7">
        <v>2</v>
      </c>
      <c r="AE150" s="7">
        <v>0</v>
      </c>
      <c r="AI150" s="7" t="s">
        <v>179</v>
      </c>
      <c r="AJ150" s="7">
        <v>1</v>
      </c>
      <c r="AL150" s="38">
        <v>37536.486486486487</v>
      </c>
      <c r="AM150" s="39">
        <f>Table43[[#This Row],[Harga Beli Pcs
(-PPN)]]*Table43[[#This Row],[ISI/CTN]]</f>
        <v>1801751.3513513515</v>
      </c>
      <c r="AN150" s="39">
        <f>Table43[[#This Row],[Harga Beli Pcs
(-PPN)]]*1.11</f>
        <v>41665.500000000007</v>
      </c>
      <c r="AO150" s="39">
        <f>Table43[[#This Row],[Harga Beli Krt
(- PPN)]]*1.11</f>
        <v>1999944.0000000002</v>
      </c>
      <c r="AP150" s="39">
        <v>40540.54054054054</v>
      </c>
      <c r="AQ150" s="39">
        <f>Table43[[#This Row],[Harga Jual Pcs GT
(-PPN)]]*Table43[[#This Row],[ISI/CTN]]</f>
        <v>1945945.945945946</v>
      </c>
      <c r="AR150" s="39">
        <f>Table43[[#This Row],[Harga Jual Pcs GT
(-PPN)]]*1.11</f>
        <v>45000</v>
      </c>
      <c r="AS150" s="39">
        <f>Table43[[#This Row],[Harga Jual Krt GT
(- PPN)]]*1.11</f>
        <v>2160000.0000000005</v>
      </c>
      <c r="AT150" s="39"/>
      <c r="AU150" s="39">
        <f>Table43[[#This Row],[Harga Jual Pcs MT
(-PPN)]]*Table43[[#This Row],[ISI/CTN]]</f>
        <v>0</v>
      </c>
      <c r="AV150" s="39">
        <f>Table43[[#This Row],[Harga Jual Pcs MT
(-PPN)]]*1.11</f>
        <v>0</v>
      </c>
      <c r="AW150" s="39">
        <f>Table43[[#This Row],[Harga Jual Pcs MT
(+PPN)]]*Table43[[#This Row],[ISI/CTN]]</f>
        <v>0</v>
      </c>
      <c r="AX150" s="47">
        <f>IFERROR((Table43[[#This Row],[Harga Jual Pcs GT
(-PPN)]]-Table43[[#This Row],[Harga Beli Pcs
(-PPN)]])/Table43[[#This Row],[Harga Jual Pcs GT
(-PPN)]],0)</f>
        <v>7.4099999999999985E-2</v>
      </c>
      <c r="AY150" s="51">
        <v>45848</v>
      </c>
      <c r="AZ150" s="7"/>
      <c r="BA150" s="7" t="str">
        <f ca="1">IF(TODAY()-Table43[[#This Row],[Efektif
Pembuatan]]&gt;60,"Lama","Baru")</f>
        <v>Lama</v>
      </c>
      <c r="BB150" s="7" t="str">
        <f ca="1">IF(TODAY()-Table43[[#This Row],[Efektif Naik Harga]]&lt;30,"Naik","Sama")</f>
        <v>Sama</v>
      </c>
      <c r="BC150" s="7" t="s">
        <v>185</v>
      </c>
      <c r="BD150" s="7" t="str">
        <f>IF(Table43[[#This Row],[Kode BARANG Win2]]&lt;&gt;"","IDR","")</f>
        <v>IDR</v>
      </c>
      <c r="BE150" s="7" t="str">
        <f>CONCATENATE(Table43[[#This Row],[kode  1 Digit
(Nomor)]],Table43[[#This Row],[kode  4 Digit                (Nomor)]])</f>
        <v>10030</v>
      </c>
      <c r="BF150" s="7" t="str">
        <f>Table43[[#This Row],[Nama            Gramasi atau Jumlah Pack per CTN]]</f>
        <v>30G</v>
      </c>
      <c r="BG150" s="7" t="s">
        <v>1060</v>
      </c>
      <c r="BH150" s="7" t="s">
        <v>377</v>
      </c>
      <c r="BI150" s="4" t="str">
        <f>IF(Table43[[#This Row],[SATUAN Fix Win]]&lt;&gt;"","KRT")</f>
        <v>KRT</v>
      </c>
      <c r="BJ150" s="4" t="str">
        <f>IF(Table43[[#This Row],[SATUAN Fix Win]]&lt;&gt;"","GD01")</f>
        <v>GD01</v>
      </c>
      <c r="BK150" s="4">
        <f>IF(Table43[[#This Row],[SATUAN Fix Win]]&lt;&gt;"",11611)</f>
        <v>11611</v>
      </c>
      <c r="BL150" s="4">
        <f>IF(Table43[[#This Row],[SATUAN Fix Win]]&lt;&gt;"",11612)</f>
        <v>11612</v>
      </c>
      <c r="BM150" s="52" t="s">
        <v>378</v>
      </c>
      <c r="BN150" s="4">
        <f>IF(Table43[[#This Row],[SATUAN Fix Win]]&lt;&gt;"",1)</f>
        <v>1</v>
      </c>
      <c r="BO150" s="4" t="s">
        <v>637</v>
      </c>
    </row>
    <row r="151" spans="1:70" s="126" customFormat="1">
      <c r="A151" s="111" t="str">
        <f>CONCATENATE(Table43[[#This Row],[Kode BARANG Win2]],Table43[[#This Row],[No. Urut
Item Sama]])</f>
        <v>F40680020015201</v>
      </c>
      <c r="B151" s="112">
        <v>1</v>
      </c>
      <c r="C151" s="111">
        <v>169</v>
      </c>
      <c r="D151" s="113">
        <v>101701008</v>
      </c>
      <c r="E151" s="113" t="s">
        <v>628</v>
      </c>
      <c r="F151" s="113" t="s">
        <v>1333</v>
      </c>
      <c r="G151" s="113">
        <v>96</v>
      </c>
      <c r="H151" s="127"/>
      <c r="I151" s="113" t="str">
        <f>Table43[[#This Row],[Nama Jenis Kemasan]]</f>
        <v>JAR</v>
      </c>
      <c r="J151" s="111" t="str">
        <f>TRIM(CONCATENATE(Table43[[#This Row],[Nama            KLP]]," ",Table43[[#This Row],[Nama            Sub KLP]]))</f>
        <v>SHINZUI SERUM</v>
      </c>
      <c r="K151" s="111" t="str">
        <f>CONCATENATE(Table43[[#This Row],[kode  2 Digit                (hrf+No)]],Table43[[#This Row],[kode  2 Digit                (Nomor)]],Table43[[#This Row],[kode  1 Digit                (Nomor)]])</f>
        <v>F4068</v>
      </c>
      <c r="L151" s="111" t="str">
        <f>IF(AG151="",CONCATENATE(Q151,S151,U151,W151,Y151,AA151,AC151,AE151,Table43[[#This Row],[Tanda Kode Revisi]]),CONCATENATE(Q151,S151,U151,W151,Y151,AA151,AC151,AG151))</f>
        <v>F4068002001520</v>
      </c>
      <c r="M151" s="116">
        <f>LEN(L151)</f>
        <v>14</v>
      </c>
      <c r="N151" s="117" t="str">
        <f>IF(AF151&lt;&gt;"",TRIM(UPPER(CONCATENATE(P151," ",R151," ",T151," ",V151," ",X151," ",Z151," ","X"," ",Table43[[#This Row],[ISI/CTN]]," ",AF151," ",AB151," ",AD151," ",AH151))),TRIM(UPPER(CONCATENATE(P151," ",R151," ",T151," ",V151," ",X151," ",Z151," ","X"," ",Table43[[#This Row],[ISI/CTN]]," ",AB151," ",AD151," ",AH151))))</f>
        <v>SHINZUI SERUM MOISTURIZER 15G X 96 JAR</v>
      </c>
      <c r="O151" s="116">
        <f>LEN(N151)</f>
        <v>38</v>
      </c>
      <c r="P151" s="111"/>
      <c r="Q151" s="112" t="s">
        <v>662</v>
      </c>
      <c r="R151" s="111" t="s">
        <v>680</v>
      </c>
      <c r="S151" s="118" t="s">
        <v>755</v>
      </c>
      <c r="T151" s="119" t="s">
        <v>702</v>
      </c>
      <c r="U151" s="112">
        <v>8</v>
      </c>
      <c r="V151" s="119"/>
      <c r="W151" s="118" t="s">
        <v>370</v>
      </c>
      <c r="X151" s="111" t="s">
        <v>715</v>
      </c>
      <c r="Y151" s="120" t="s">
        <v>751</v>
      </c>
      <c r="Z151" s="111" t="s">
        <v>1334</v>
      </c>
      <c r="AA151" s="120" t="s">
        <v>1335</v>
      </c>
      <c r="AB151" s="111" t="s">
        <v>733</v>
      </c>
      <c r="AC151" s="112">
        <v>2</v>
      </c>
      <c r="AD151" s="111"/>
      <c r="AE151" s="112">
        <v>0</v>
      </c>
      <c r="AF151" s="112"/>
      <c r="AG151" s="112"/>
      <c r="AH151" s="112"/>
      <c r="AI151" s="112" t="s">
        <v>179</v>
      </c>
      <c r="AJ151" s="112">
        <v>1</v>
      </c>
      <c r="AK151" s="112"/>
      <c r="AL151" s="121"/>
      <c r="AM151" s="122">
        <f>Table43[[#This Row],[Harga Beli Pcs
(-PPN)]]*Table43[[#This Row],[ISI/CTN]]</f>
        <v>0</v>
      </c>
      <c r="AN151" s="122">
        <f>Table43[[#This Row],[Harga Beli Pcs
(-PPN)]]*1.11</f>
        <v>0</v>
      </c>
      <c r="AO151" s="122">
        <f>Table43[[#This Row],[Harga Beli Krt
(- PPN)]]*1.11</f>
        <v>0</v>
      </c>
      <c r="AP151" s="122"/>
      <c r="AQ151" s="122">
        <f>Table43[[#This Row],[Harga Jual Pcs GT
(-PPN)]]*Table43[[#This Row],[ISI/CTN]]</f>
        <v>0</v>
      </c>
      <c r="AR151" s="122">
        <f>Table43[[#This Row],[Harga Jual Pcs GT
(-PPN)]]*1.11</f>
        <v>0</v>
      </c>
      <c r="AS151" s="122">
        <f>Table43[[#This Row],[Harga Jual Krt GT
(- PPN)]]*1.11</f>
        <v>0</v>
      </c>
      <c r="AT151" s="122"/>
      <c r="AU151" s="122">
        <f>Table43[[#This Row],[Harga Jual Pcs MT
(-PPN)]]*Table43[[#This Row],[ISI/CTN]]</f>
        <v>0</v>
      </c>
      <c r="AV151" s="122">
        <f>Table43[[#This Row],[Harga Jual Pcs MT
(-PPN)]]*1.11</f>
        <v>0</v>
      </c>
      <c r="AW151" s="122">
        <f>Table43[[#This Row],[Harga Jual Pcs MT
(+PPN)]]*Table43[[#This Row],[ISI/CTN]]</f>
        <v>0</v>
      </c>
      <c r="AX151" s="123">
        <f>IFERROR((Table43[[#This Row],[Harga Jual Pcs GT
(-PPN)]]-Table43[[#This Row],[Harga Beli Pcs
(-PPN)]])/Table43[[#This Row],[Harga Jual Pcs GT
(-PPN)]],0)</f>
        <v>0</v>
      </c>
      <c r="AY151" s="124"/>
      <c r="AZ151" s="112"/>
      <c r="BA151" s="112" t="str">
        <f ca="1">IF(TODAY()-Table43[[#This Row],[Efektif
Pembuatan]]&gt;60,"Lama","Baru")</f>
        <v>Lama</v>
      </c>
      <c r="BB151" s="112" t="str">
        <f ca="1">IF(TODAY()-Table43[[#This Row],[Efektif Naik Harga]]&lt;30,"Naik","Sama")</f>
        <v>Sama</v>
      </c>
      <c r="BC151" s="112"/>
      <c r="BD151" s="112" t="str">
        <f>IF(Table43[[#This Row],[Kode BARANG Win2]]&lt;&gt;"","IDR","")</f>
        <v>IDR</v>
      </c>
      <c r="BE151" s="112" t="str">
        <f>CONCATENATE(Table43[[#This Row],[kode  1 Digit
(Nomor)]],Table43[[#This Row],[kode  4 Digit                (Nomor)]])</f>
        <v>10015</v>
      </c>
      <c r="BF151" s="112" t="str">
        <f>Table43[[#This Row],[Nama            Gramasi atau Jumlah Pack per CTN]]</f>
        <v>15G</v>
      </c>
      <c r="BG151" s="112"/>
      <c r="BH151" s="112"/>
      <c r="BI151" s="111" t="str">
        <f>IF(Table43[[#This Row],[SATUAN Fix Win]]&lt;&gt;"","KRT")</f>
        <v>KRT</v>
      </c>
      <c r="BJ151" s="111" t="str">
        <f>IF(Table43[[#This Row],[SATUAN Fix Win]]&lt;&gt;"","GD01")</f>
        <v>GD01</v>
      </c>
      <c r="BK151" s="111">
        <f>IF(Table43[[#This Row],[SATUAN Fix Win]]&lt;&gt;"",11611)</f>
        <v>11611</v>
      </c>
      <c r="BL151" s="111">
        <f>IF(Table43[[#This Row],[SATUAN Fix Win]]&lt;&gt;"",11612)</f>
        <v>11612</v>
      </c>
      <c r="BM151" s="125"/>
      <c r="BN151" s="111">
        <f>IF(Table43[[#This Row],[SATUAN Fix Win]]&lt;&gt;"",1)</f>
        <v>1</v>
      </c>
      <c r="BO151" s="111"/>
      <c r="BP151" s="111"/>
      <c r="BQ151" s="111"/>
      <c r="BR151" s="111"/>
    </row>
    <row r="152" spans="1:70">
      <c r="A152" s="4" t="str">
        <f>CONCATENATE(Table43[[#This Row],[Kode BARANG Win2]],Table43[[#This Row],[No. Urut
Item Sama]])</f>
        <v>F40690010030101</v>
      </c>
      <c r="B152" s="7">
        <v>1</v>
      </c>
      <c r="C152" s="4">
        <v>121</v>
      </c>
      <c r="D152" s="27" t="s">
        <v>500</v>
      </c>
      <c r="E152" s="27" t="s">
        <v>628</v>
      </c>
      <c r="F152" s="27" t="s">
        <v>621</v>
      </c>
      <c r="G152" s="27">
        <v>48</v>
      </c>
      <c r="H152" s="54">
        <v>8992946535055</v>
      </c>
      <c r="I152" s="27" t="str">
        <f>Table43[[#This Row],[Nama Jenis Kemasan]]</f>
        <v>TUBE</v>
      </c>
      <c r="J152" s="4" t="str">
        <f>TRIM(CONCATENATE(Table43[[#This Row],[Nama            KLP]]," ",Table43[[#This Row],[Nama            Sub KLP]]))</f>
        <v>SHINZUI SUNSCREEN</v>
      </c>
      <c r="K152" s="4" t="str">
        <f>CONCATENATE(Table43[[#This Row],[kode  2 Digit                (hrf+No)]],Table43[[#This Row],[kode  2 Digit                (Nomor)]],Table43[[#This Row],[kode  1 Digit                (Nomor)]])</f>
        <v>F4069</v>
      </c>
      <c r="L152" s="4" t="str">
        <f>IF(AG152="",CONCATENATE(Q152,S152,U152,W152,Y152,AA152,AC152,AE152,Table43[[#This Row],[Tanda Kode Revisi]]),CONCATENATE(Q152,S152,U152,W152,Y152,AA152,AC152,AG152))</f>
        <v>F4069001003010</v>
      </c>
      <c r="M152" s="11">
        <f t="shared" si="16"/>
        <v>14</v>
      </c>
      <c r="N152" s="14" t="str">
        <f>IF(AF152&lt;&gt;"",TRIM(UPPER(CONCATENATE(P152," ",R152," ",T152," ",V152," ",X152," ",Z152," ","X"," ",Table43[[#This Row],[ISI/CTN]]," ",AF152," ",AB152," ",AD152," ",AH152))),TRIM(UPPER(CONCATENATE(P152," ",R152," ",T152," ",V152," ",X152," ",Z152," ","X"," ",Table43[[#This Row],[ISI/CTN]]," ",AB152," ",AD152," ",AH152))))</f>
        <v>SHINZUI SUNSCREEN SPF 35 30ML X 48 TUBE</v>
      </c>
      <c r="O152" s="11">
        <f t="shared" si="17"/>
        <v>39</v>
      </c>
      <c r="Q152" s="7" t="s">
        <v>662</v>
      </c>
      <c r="R152" s="4" t="s">
        <v>680</v>
      </c>
      <c r="S152" s="48" t="s">
        <v>755</v>
      </c>
      <c r="T152" s="49" t="s">
        <v>711</v>
      </c>
      <c r="U152" s="7">
        <v>9</v>
      </c>
      <c r="V152" s="49"/>
      <c r="W152" s="48" t="s">
        <v>370</v>
      </c>
      <c r="X152" s="4" t="s">
        <v>716</v>
      </c>
      <c r="Y152" s="50" t="s">
        <v>749</v>
      </c>
      <c r="Z152" s="4" t="s">
        <v>718</v>
      </c>
      <c r="AA152" s="50" t="s">
        <v>759</v>
      </c>
      <c r="AB152" s="4" t="s">
        <v>732</v>
      </c>
      <c r="AC152" s="7">
        <v>1</v>
      </c>
      <c r="AE152" s="7">
        <v>0</v>
      </c>
      <c r="AI152" s="7" t="s">
        <v>178</v>
      </c>
      <c r="AJ152" s="7">
        <v>2</v>
      </c>
      <c r="AL152" s="38">
        <v>24398.716216216217</v>
      </c>
      <c r="AM152" s="39">
        <f>Table43[[#This Row],[Harga Beli Pcs
(-PPN)]]*Table43[[#This Row],[ISI/CTN]]</f>
        <v>1171138.3783783785</v>
      </c>
      <c r="AN152" s="39">
        <f>Table43[[#This Row],[Harga Beli Pcs
(-PPN)]]*1.11</f>
        <v>27082.575000000004</v>
      </c>
      <c r="AO152" s="39">
        <f>Table43[[#This Row],[Harga Beli Krt
(- PPN)]]*1.11</f>
        <v>1299963.6000000001</v>
      </c>
      <c r="AP152" s="39">
        <v>26351.35135135135</v>
      </c>
      <c r="AQ152" s="39">
        <f>Table43[[#This Row],[Harga Jual Pcs GT
(-PPN)]]*Table43[[#This Row],[ISI/CTN]]</f>
        <v>1264864.8648648649</v>
      </c>
      <c r="AR152" s="39">
        <f>Table43[[#This Row],[Harga Jual Pcs GT
(-PPN)]]*1.11</f>
        <v>29250</v>
      </c>
      <c r="AS152" s="39">
        <f>Table43[[#This Row],[Harga Jual Krt GT
(- PPN)]]*1.11</f>
        <v>1404000</v>
      </c>
      <c r="AT152" s="39"/>
      <c r="AU152" s="39">
        <f>Table43[[#This Row],[Harga Jual Pcs MT
(-PPN)]]*Table43[[#This Row],[ISI/CTN]]</f>
        <v>0</v>
      </c>
      <c r="AV152" s="39">
        <f>Table43[[#This Row],[Harga Jual Pcs MT
(-PPN)]]*1.11</f>
        <v>0</v>
      </c>
      <c r="AW152" s="39">
        <f>Table43[[#This Row],[Harga Jual Pcs MT
(+PPN)]]*Table43[[#This Row],[ISI/CTN]]</f>
        <v>0</v>
      </c>
      <c r="AX152" s="47">
        <f>IFERROR((Table43[[#This Row],[Harga Jual Pcs GT
(-PPN)]]-Table43[[#This Row],[Harga Beli Pcs
(-PPN)]])/Table43[[#This Row],[Harga Jual Pcs GT
(-PPN)]],0)</f>
        <v>7.409999999999993E-2</v>
      </c>
      <c r="AY152" s="51">
        <v>45848</v>
      </c>
      <c r="AZ152" s="7"/>
      <c r="BA152" s="7" t="str">
        <f ca="1">IF(TODAY()-Table43[[#This Row],[Efektif
Pembuatan]]&gt;60,"Lama","Baru")</f>
        <v>Lama</v>
      </c>
      <c r="BB152" s="7" t="str">
        <f ca="1">IF(TODAY()-Table43[[#This Row],[Efektif Naik Harga]]&lt;30,"Naik","Sama")</f>
        <v>Sama</v>
      </c>
      <c r="BC152" s="7" t="s">
        <v>185</v>
      </c>
      <c r="BD152" s="7" t="str">
        <f>IF(Table43[[#This Row],[Kode BARANG Win2]]&lt;&gt;"","IDR","")</f>
        <v>IDR</v>
      </c>
      <c r="BE152" s="7" t="str">
        <f>CONCATENATE(Table43[[#This Row],[kode  1 Digit
(Nomor)]],Table43[[#This Row],[kode  4 Digit                (Nomor)]])</f>
        <v>20030</v>
      </c>
      <c r="BF152" s="7" t="str">
        <f>Table43[[#This Row],[Nama            Gramasi atau Jumlah Pack per CTN]]</f>
        <v>30ML</v>
      </c>
      <c r="BG152" s="7" t="s">
        <v>1060</v>
      </c>
      <c r="BH152" s="7" t="s">
        <v>377</v>
      </c>
      <c r="BI152" s="4" t="str">
        <f>IF(Table43[[#This Row],[SATUAN Fix Win]]&lt;&gt;"","KRT")</f>
        <v>KRT</v>
      </c>
      <c r="BJ152" s="4" t="str">
        <f>IF(Table43[[#This Row],[SATUAN Fix Win]]&lt;&gt;"","GD01")</f>
        <v>GD01</v>
      </c>
      <c r="BK152" s="4">
        <f>IF(Table43[[#This Row],[SATUAN Fix Win]]&lt;&gt;"",11611)</f>
        <v>11611</v>
      </c>
      <c r="BL152" s="4">
        <f>IF(Table43[[#This Row],[SATUAN Fix Win]]&lt;&gt;"",11612)</f>
        <v>11612</v>
      </c>
      <c r="BM152" s="52" t="s">
        <v>378</v>
      </c>
      <c r="BN152" s="4">
        <f>IF(Table43[[#This Row],[SATUAN Fix Win]]&lt;&gt;"",1)</f>
        <v>1</v>
      </c>
      <c r="BO152" s="4" t="s">
        <v>637</v>
      </c>
    </row>
    <row r="153" spans="1:70" s="69" customFormat="1">
      <c r="A153" s="55" t="str">
        <f>CONCATENATE(Table43[[#This Row],[Kode BARANG Win2]],Table43[[#This Row],[No. Urut
Item Sama]])</f>
        <v>F406110010010101</v>
      </c>
      <c r="B153" s="56">
        <v>1</v>
      </c>
      <c r="C153" s="55">
        <v>166</v>
      </c>
      <c r="D153" s="57">
        <v>131702001</v>
      </c>
      <c r="E153" s="57" t="s">
        <v>628</v>
      </c>
      <c r="F153" s="57" t="s">
        <v>1266</v>
      </c>
      <c r="G153" s="57">
        <v>120</v>
      </c>
      <c r="H153" s="58"/>
      <c r="I153" s="57" t="str">
        <f>Table43[[#This Row],[Nama Jenis Kemasan]]</f>
        <v>TUBE</v>
      </c>
      <c r="J153" s="55" t="s">
        <v>1271</v>
      </c>
      <c r="K153" s="55" t="str">
        <f>CONCATENATE(Table43[[#This Row],[kode  2 Digit                (hrf+No)]],Table43[[#This Row],[kode  2 Digit                (Nomor)]],Table43[[#This Row],[kode  1 Digit                (Nomor)]])</f>
        <v>F40611</v>
      </c>
      <c r="L153" s="55" t="str">
        <f>IF(AG153="",CONCATENATE(Q153,S153,U153,W153,Y153,AA153,AC153,AE153,Table43[[#This Row],[Tanda Kode Revisi]]),CONCATENATE(Q153,S153,U153,W153,Y153,AA153,AC153,AG153))</f>
        <v>F40611001001010</v>
      </c>
      <c r="M153" s="59">
        <f>LEN(L153)</f>
        <v>15</v>
      </c>
      <c r="N153" s="60" t="str">
        <f>IF(AF153&lt;&gt;"",TRIM(UPPER(CONCATENATE(P153," ",R153," ",T153," ",V153," ",X153," ",Z153," ","X"," ",Table43[[#This Row],[ISI/CTN]]," ",AF153," ",AB153," ",AD153," ",AH153))),TRIM(UPPER(CONCATENATE(P153," ",R153," ",T153," ",V153," ",X153," ",Z153," ","X"," ",Table43[[#This Row],[ISI/CTN]]," ",AB153," ",AD153," ",AH153))))</f>
        <v>SHINZUI MOISTURIZER LIGHT 10G X 120 TUBE</v>
      </c>
      <c r="O153" s="59">
        <f>LEN(N153)</f>
        <v>40</v>
      </c>
      <c r="P153" s="55"/>
      <c r="Q153" s="56" t="s">
        <v>662</v>
      </c>
      <c r="R153" s="55" t="s">
        <v>680</v>
      </c>
      <c r="S153" s="61" t="s">
        <v>755</v>
      </c>
      <c r="T153" s="62" t="s">
        <v>715</v>
      </c>
      <c r="U153" s="56">
        <v>11</v>
      </c>
      <c r="V153" s="62"/>
      <c r="W153" s="61" t="s">
        <v>370</v>
      </c>
      <c r="X153" s="55" t="s">
        <v>1274</v>
      </c>
      <c r="Y153" s="63" t="s">
        <v>749</v>
      </c>
      <c r="Z153" s="55" t="s">
        <v>1272</v>
      </c>
      <c r="AA153" s="63" t="s">
        <v>1273</v>
      </c>
      <c r="AB153" s="55" t="s">
        <v>732</v>
      </c>
      <c r="AC153" s="56">
        <v>1</v>
      </c>
      <c r="AD153" s="55"/>
      <c r="AE153" s="56">
        <v>0</v>
      </c>
      <c r="AF153" s="56"/>
      <c r="AG153" s="56"/>
      <c r="AH153" s="56"/>
      <c r="AI153" s="56" t="s">
        <v>179</v>
      </c>
      <c r="AJ153" s="56">
        <v>1</v>
      </c>
      <c r="AK153" s="56"/>
      <c r="AL153" s="64">
        <v>11260.945945945945</v>
      </c>
      <c r="AM153" s="65">
        <f>Table43[[#This Row],[Harga Beli Pcs
(-PPN)]]*Table43[[#This Row],[ISI/CTN]]</f>
        <v>1351313.5135135134</v>
      </c>
      <c r="AN153" s="65">
        <f>Table43[[#This Row],[Harga Beli Pcs
(-PPN)]]*1.11</f>
        <v>12499.65</v>
      </c>
      <c r="AO153" s="65">
        <f>Table43[[#This Row],[Harga Beli Krt
(- PPN)]]*1.11</f>
        <v>1499958</v>
      </c>
      <c r="AP153" s="65">
        <v>12162.162162162162</v>
      </c>
      <c r="AQ153" s="65">
        <f>Table43[[#This Row],[Harga Jual Pcs GT
(-PPN)]]*Table43[[#This Row],[ISI/CTN]]</f>
        <v>1459459.4594594594</v>
      </c>
      <c r="AR153" s="65">
        <f>Table43[[#This Row],[Harga Jual Pcs GT
(-PPN)]]*1.11</f>
        <v>13500</v>
      </c>
      <c r="AS153" s="65">
        <f>Table43[[#This Row],[Harga Jual Krt GT
(- PPN)]]*1.11</f>
        <v>1620000</v>
      </c>
      <c r="AT153" s="65"/>
      <c r="AU153" s="65">
        <f>Table43[[#This Row],[Harga Jual Pcs MT
(-PPN)]]*Table43[[#This Row],[ISI/CTN]]</f>
        <v>0</v>
      </c>
      <c r="AV153" s="65">
        <f>Table43[[#This Row],[Harga Jual Pcs MT
(-PPN)]]*1.11</f>
        <v>0</v>
      </c>
      <c r="AW153" s="65">
        <f>Table43[[#This Row],[Harga Jual Pcs MT
(+PPN)]]*Table43[[#This Row],[ISI/CTN]]</f>
        <v>0</v>
      </c>
      <c r="AX153" s="66">
        <f>IFERROR((Table43[[#This Row],[Harga Jual Pcs GT
(-PPN)]]-Table43[[#This Row],[Harga Beli Pcs
(-PPN)]])/Table43[[#This Row],[Harga Jual Pcs GT
(-PPN)]],0)</f>
        <v>7.4100000000000041E-2</v>
      </c>
      <c r="AY153" s="67"/>
      <c r="AZ153" s="56"/>
      <c r="BA153" s="56" t="str">
        <f ca="1">IF(TODAY()-Table43[[#This Row],[Efektif
Pembuatan]]&gt;60,"Lama","Baru")</f>
        <v>Lama</v>
      </c>
      <c r="BB153" s="56" t="str">
        <f ca="1">IF(TODAY()-Table43[[#This Row],[Efektif Naik Harga]]&lt;30,"Naik","Sama")</f>
        <v>Sama</v>
      </c>
      <c r="BC153" s="56"/>
      <c r="BD153" s="56" t="str">
        <f>IF(Table43[[#This Row],[Kode BARANG Win2]]&lt;&gt;"","IDR","")</f>
        <v>IDR</v>
      </c>
      <c r="BE153" s="56" t="str">
        <f>CONCATENATE(Table43[[#This Row],[kode  1 Digit
(Nomor)]],Table43[[#This Row],[kode  4 Digit                (Nomor)]])</f>
        <v>10010</v>
      </c>
      <c r="BF153" s="56" t="str">
        <f>Table43[[#This Row],[Nama            Gramasi atau Jumlah Pack per CTN]]</f>
        <v>10G</v>
      </c>
      <c r="BG153" s="56"/>
      <c r="BH153" s="56"/>
      <c r="BI153" s="55" t="str">
        <f>IF(Table43[[#This Row],[SATUAN Fix Win]]&lt;&gt;"","KRT")</f>
        <v>KRT</v>
      </c>
      <c r="BJ153" s="55" t="str">
        <f>IF(Table43[[#This Row],[SATUAN Fix Win]]&lt;&gt;"","GD01")</f>
        <v>GD01</v>
      </c>
      <c r="BK153" s="55">
        <f>IF(Table43[[#This Row],[SATUAN Fix Win]]&lt;&gt;"",11611)</f>
        <v>11611</v>
      </c>
      <c r="BL153" s="55">
        <f>IF(Table43[[#This Row],[SATUAN Fix Win]]&lt;&gt;"",11612)</f>
        <v>11612</v>
      </c>
      <c r="BM153" s="68"/>
      <c r="BN153" s="55">
        <f>IF(Table43[[#This Row],[SATUAN Fix Win]]&lt;&gt;"",1)</f>
        <v>1</v>
      </c>
      <c r="BO153" s="55"/>
      <c r="BP153" s="55"/>
      <c r="BQ153" s="55"/>
      <c r="BR153" s="55"/>
    </row>
    <row r="154" spans="1:70" s="69" customFormat="1">
      <c r="A154" s="55" t="str">
        <f>CONCATENATE(Table43[[#This Row],[Kode BARANG Win2]],Table43[[#This Row],[No. Urut
Item Sama]])</f>
        <v>F406110020010101</v>
      </c>
      <c r="B154" s="56">
        <v>1</v>
      </c>
      <c r="C154" s="55">
        <v>167</v>
      </c>
      <c r="D154" s="57">
        <v>131703001</v>
      </c>
      <c r="E154" s="57" t="s">
        <v>628</v>
      </c>
      <c r="F154" s="57" t="s">
        <v>1267</v>
      </c>
      <c r="G154" s="57">
        <v>120</v>
      </c>
      <c r="H154" s="58"/>
      <c r="I154" s="57" t="str">
        <f>Table43[[#This Row],[Nama Jenis Kemasan]]</f>
        <v>TUBE</v>
      </c>
      <c r="J154" s="55" t="s">
        <v>1271</v>
      </c>
      <c r="K154" s="55" t="str">
        <f>CONCATENATE(Table43[[#This Row],[kode  2 Digit                (hrf+No)]],Table43[[#This Row],[kode  2 Digit                (Nomor)]],Table43[[#This Row],[kode  1 Digit                (Nomor)]])</f>
        <v>F40611</v>
      </c>
      <c r="L154" s="55" t="str">
        <f>IF(AG154="",CONCATENATE(Q154,S154,U154,W154,Y154,AA154,AC154,AE154,Table43[[#This Row],[Tanda Kode Revisi]]),CONCATENATE(Q154,S154,U154,W154,Y154,AA154,AC154,AG154))</f>
        <v>F40611002001010</v>
      </c>
      <c r="M154" s="59">
        <f>LEN(L154)</f>
        <v>15</v>
      </c>
      <c r="N154" s="60" t="str">
        <f>IF(AF154&lt;&gt;"",TRIM(UPPER(CONCATENATE(P154," ",R154," ",T154," ",V154," ",X154," ",Z154," ","X"," ",Table43[[#This Row],[ISI/CTN]]," ",AF154," ",AB154," ",AD154," ",AH154))),TRIM(UPPER(CONCATENATE(P154," ",R154," ",T154," ",V154," ",X154," ",Z154," ","X"," ",Table43[[#This Row],[ISI/CTN]]," ",AB154," ",AD154," ",AH154))))</f>
        <v>SHINZUI MOISTURIZER GEL 10G X 120 TUBE</v>
      </c>
      <c r="O154" s="59">
        <f>LEN(N154)</f>
        <v>38</v>
      </c>
      <c r="P154" s="55"/>
      <c r="Q154" s="56" t="s">
        <v>662</v>
      </c>
      <c r="R154" s="55" t="s">
        <v>680</v>
      </c>
      <c r="S154" s="61" t="s">
        <v>755</v>
      </c>
      <c r="T154" s="62" t="s">
        <v>715</v>
      </c>
      <c r="U154" s="56">
        <v>11</v>
      </c>
      <c r="V154" s="62"/>
      <c r="W154" s="61" t="s">
        <v>370</v>
      </c>
      <c r="X154" s="55" t="s">
        <v>1275</v>
      </c>
      <c r="Y154" s="63" t="s">
        <v>751</v>
      </c>
      <c r="Z154" s="55" t="s">
        <v>1272</v>
      </c>
      <c r="AA154" s="63" t="s">
        <v>1273</v>
      </c>
      <c r="AB154" s="55" t="s">
        <v>732</v>
      </c>
      <c r="AC154" s="56">
        <v>1</v>
      </c>
      <c r="AD154" s="55"/>
      <c r="AE154" s="56">
        <v>0</v>
      </c>
      <c r="AF154" s="56"/>
      <c r="AG154" s="56"/>
      <c r="AH154" s="56"/>
      <c r="AI154" s="56" t="s">
        <v>179</v>
      </c>
      <c r="AJ154" s="56">
        <v>1</v>
      </c>
      <c r="AK154" s="56"/>
      <c r="AL154" s="64">
        <v>11260.945945945945</v>
      </c>
      <c r="AM154" s="65">
        <f>Table43[[#This Row],[Harga Beli Pcs
(-PPN)]]*Table43[[#This Row],[ISI/CTN]]</f>
        <v>1351313.5135135134</v>
      </c>
      <c r="AN154" s="65">
        <f>Table43[[#This Row],[Harga Beli Pcs
(-PPN)]]*1.11</f>
        <v>12499.65</v>
      </c>
      <c r="AO154" s="65">
        <f>Table43[[#This Row],[Harga Beli Krt
(- PPN)]]*1.11</f>
        <v>1499958</v>
      </c>
      <c r="AP154" s="65">
        <v>12162.162162162162</v>
      </c>
      <c r="AQ154" s="65">
        <f>Table43[[#This Row],[Harga Jual Pcs GT
(-PPN)]]*Table43[[#This Row],[ISI/CTN]]</f>
        <v>1459459.4594594594</v>
      </c>
      <c r="AR154" s="65">
        <f>Table43[[#This Row],[Harga Jual Pcs GT
(-PPN)]]*1.11</f>
        <v>13500</v>
      </c>
      <c r="AS154" s="65">
        <f>Table43[[#This Row],[Harga Jual Krt GT
(- PPN)]]*1.11</f>
        <v>1620000</v>
      </c>
      <c r="AT154" s="65"/>
      <c r="AU154" s="65">
        <f>Table43[[#This Row],[Harga Jual Pcs MT
(-PPN)]]*Table43[[#This Row],[ISI/CTN]]</f>
        <v>0</v>
      </c>
      <c r="AV154" s="65">
        <f>Table43[[#This Row],[Harga Jual Pcs MT
(-PPN)]]*1.11</f>
        <v>0</v>
      </c>
      <c r="AW154" s="65">
        <f>Table43[[#This Row],[Harga Jual Pcs MT
(+PPN)]]*Table43[[#This Row],[ISI/CTN]]</f>
        <v>0</v>
      </c>
      <c r="AX154" s="66">
        <f>IFERROR((Table43[[#This Row],[Harga Jual Pcs GT
(-PPN)]]-Table43[[#This Row],[Harga Beli Pcs
(-PPN)]])/Table43[[#This Row],[Harga Jual Pcs GT
(-PPN)]],0)</f>
        <v>7.4100000000000041E-2</v>
      </c>
      <c r="AY154" s="67"/>
      <c r="AZ154" s="56"/>
      <c r="BA154" s="56" t="str">
        <f ca="1">IF(TODAY()-Table43[[#This Row],[Efektif
Pembuatan]]&gt;60,"Lama","Baru")</f>
        <v>Lama</v>
      </c>
      <c r="BB154" s="56" t="str">
        <f ca="1">IF(TODAY()-Table43[[#This Row],[Efektif Naik Harga]]&lt;30,"Naik","Sama")</f>
        <v>Sama</v>
      </c>
      <c r="BC154" s="56"/>
      <c r="BD154" s="56" t="str">
        <f>IF(Table43[[#This Row],[Kode BARANG Win2]]&lt;&gt;"","IDR","")</f>
        <v>IDR</v>
      </c>
      <c r="BE154" s="56" t="str">
        <f>CONCATENATE(Table43[[#This Row],[kode  1 Digit
(Nomor)]],Table43[[#This Row],[kode  4 Digit                (Nomor)]])</f>
        <v>10010</v>
      </c>
      <c r="BF154" s="56" t="str">
        <f>Table43[[#This Row],[Nama            Gramasi atau Jumlah Pack per CTN]]</f>
        <v>10G</v>
      </c>
      <c r="BG154" s="56"/>
      <c r="BH154" s="56"/>
      <c r="BI154" s="55" t="str">
        <f>IF(Table43[[#This Row],[SATUAN Fix Win]]&lt;&gt;"","KRT")</f>
        <v>KRT</v>
      </c>
      <c r="BJ154" s="55" t="str">
        <f>IF(Table43[[#This Row],[SATUAN Fix Win]]&lt;&gt;"","GD01")</f>
        <v>GD01</v>
      </c>
      <c r="BK154" s="55">
        <f>IF(Table43[[#This Row],[SATUAN Fix Win]]&lt;&gt;"",11611)</f>
        <v>11611</v>
      </c>
      <c r="BL154" s="55">
        <f>IF(Table43[[#This Row],[SATUAN Fix Win]]&lt;&gt;"",11612)</f>
        <v>11612</v>
      </c>
      <c r="BM154" s="68"/>
      <c r="BN154" s="55">
        <f>IF(Table43[[#This Row],[SATUAN Fix Win]]&lt;&gt;"",1)</f>
        <v>1</v>
      </c>
      <c r="BO154" s="55"/>
      <c r="BP154" s="55"/>
      <c r="BQ154" s="55"/>
      <c r="BR154" s="55"/>
    </row>
    <row r="155" spans="1:70">
      <c r="A155" s="4" t="str">
        <f>CONCATENATE(Table43[[#This Row],[Kode BARANG Win2]],Table43[[#This Row],[No. Urut
Item Sama]])</f>
        <v>F40711010400101</v>
      </c>
      <c r="B155" s="7">
        <v>1</v>
      </c>
      <c r="C155" s="4">
        <v>122</v>
      </c>
      <c r="D155" s="27" t="s">
        <v>463</v>
      </c>
      <c r="E155" s="27" t="s">
        <v>629</v>
      </c>
      <c r="F155" s="27" t="s">
        <v>584</v>
      </c>
      <c r="G155" s="27">
        <v>24</v>
      </c>
      <c r="H155" s="54" t="s">
        <v>657</v>
      </c>
      <c r="I155" s="27" t="str">
        <f>Table43[[#This Row],[Nama Jenis Kemasan]]</f>
        <v>PCH</v>
      </c>
      <c r="J155" s="4" t="str">
        <f>TRIM(CONCATENATE(Table43[[#This Row],[Nama            KLP]]," ",Table43[[#This Row],[Nama            Sub KLP]]))</f>
        <v>ZEN BCL</v>
      </c>
      <c r="K155" s="4" t="str">
        <f>CONCATENATE(Table43[[#This Row],[kode  2 Digit                (hrf+No)]],Table43[[#This Row],[kode  2 Digit                (Nomor)]],Table43[[#This Row],[kode  1 Digit                (Nomor)]])</f>
        <v>F4071</v>
      </c>
      <c r="L155" s="4" t="str">
        <f>IF(AG155="",CONCATENATE(Q155,S155,U155,W155,Y155,AA155,AC155,AE155,Table43[[#This Row],[Tanda Kode Revisi]]),CONCATENATE(Q155,S155,U155,W155,Y155,AA155,AC155,AG155))</f>
        <v>F4071101040010</v>
      </c>
      <c r="M155" s="11">
        <f t="shared" si="16"/>
        <v>14</v>
      </c>
      <c r="N155" s="14" t="str">
        <f>IF(AF155&lt;&gt;"",TRIM(UPPER(CONCATENATE(P155," ",R155," ",T155," ",V155," ",X155," ",Z155," ","X"," ",Table43[[#This Row],[ISI/CTN]]," ",AF155," ",AB155," ",AD155," ",AH155))),TRIM(UPPER(CONCATENATE(P155," ",R155," ",T155," ",V155," ",X155," ",Z155," ","X"," ",Table43[[#This Row],[ISI/CTN]]," ",AB155," ",AD155," ",AH155))))</f>
        <v>ZEN BCL REF SHISO &amp; ECHINACEA 400ML X 24 PCH</v>
      </c>
      <c r="O155" s="11">
        <f t="shared" si="17"/>
        <v>44</v>
      </c>
      <c r="Q155" s="7" t="s">
        <v>662</v>
      </c>
      <c r="R155" s="4" t="s">
        <v>629</v>
      </c>
      <c r="S155" s="48" t="s">
        <v>756</v>
      </c>
      <c r="T155" s="49" t="s">
        <v>775</v>
      </c>
      <c r="U155" s="7">
        <v>1</v>
      </c>
      <c r="V155" s="49" t="s">
        <v>776</v>
      </c>
      <c r="W155" s="48" t="s">
        <v>750</v>
      </c>
      <c r="X155" s="4" t="s">
        <v>726</v>
      </c>
      <c r="Y155" s="50" t="s">
        <v>749</v>
      </c>
      <c r="Z155" s="4" t="s">
        <v>670</v>
      </c>
      <c r="AA155" s="50" t="s">
        <v>739</v>
      </c>
      <c r="AB155" s="4" t="s">
        <v>671</v>
      </c>
      <c r="AC155" s="7">
        <v>1</v>
      </c>
      <c r="AE155" s="7">
        <v>0</v>
      </c>
      <c r="AI155" s="7" t="s">
        <v>178</v>
      </c>
      <c r="AJ155" s="7">
        <v>2</v>
      </c>
      <c r="AL155" s="38">
        <v>18351.171171171172</v>
      </c>
      <c r="AM155" s="39">
        <f>Table43[[#This Row],[Harga Beli Pcs
(-PPN)]]*Table43[[#This Row],[ISI/CTN]]</f>
        <v>440428.10810810816</v>
      </c>
      <c r="AN155" s="39">
        <f>Table43[[#This Row],[Harga Beli Pcs
(-PPN)]]*1.11</f>
        <v>20369.800000000003</v>
      </c>
      <c r="AO155" s="39">
        <f>Table43[[#This Row],[Harga Beli Krt
(- PPN)]]*1.11</f>
        <v>488875.20000000013</v>
      </c>
      <c r="AP155" s="39">
        <v>19819.819819819819</v>
      </c>
      <c r="AQ155" s="39">
        <f>Table43[[#This Row],[Harga Jual Pcs GT
(-PPN)]]*Table43[[#This Row],[ISI/CTN]]</f>
        <v>475675.67567567562</v>
      </c>
      <c r="AR155" s="39">
        <f>Table43[[#This Row],[Harga Jual Pcs GT
(-PPN)]]*1.11</f>
        <v>22000</v>
      </c>
      <c r="AS155" s="39">
        <f>Table43[[#This Row],[Harga Jual Krt GT
(- PPN)]]*1.11</f>
        <v>528000</v>
      </c>
      <c r="AT155" s="39"/>
      <c r="AU155" s="39">
        <f>Table43[[#This Row],[Harga Jual Pcs MT
(-PPN)]]*Table43[[#This Row],[ISI/CTN]]</f>
        <v>0</v>
      </c>
      <c r="AV155" s="39">
        <f>Table43[[#This Row],[Harga Jual Pcs MT
(-PPN)]]*1.11</f>
        <v>0</v>
      </c>
      <c r="AW155" s="39">
        <f>Table43[[#This Row],[Harga Jual Pcs MT
(+PPN)]]*Table43[[#This Row],[ISI/CTN]]</f>
        <v>0</v>
      </c>
      <c r="AX155" s="47">
        <f>IFERROR((Table43[[#This Row],[Harga Jual Pcs GT
(-PPN)]]-Table43[[#This Row],[Harga Beli Pcs
(-PPN)]])/Table43[[#This Row],[Harga Jual Pcs GT
(-PPN)]],0)</f>
        <v>7.4099999999999888E-2</v>
      </c>
      <c r="AY155" s="51">
        <v>45848</v>
      </c>
      <c r="AZ155" s="7"/>
      <c r="BA155" s="7" t="str">
        <f ca="1">IF(TODAY()-Table43[[#This Row],[Efektif
Pembuatan]]&gt;60,"Lama","Baru")</f>
        <v>Lama</v>
      </c>
      <c r="BB155" s="7" t="str">
        <f ca="1">IF(TODAY()-Table43[[#This Row],[Efektif Naik Harga]]&lt;30,"Naik","Sama")</f>
        <v>Sama</v>
      </c>
      <c r="BC155" s="7" t="s">
        <v>185</v>
      </c>
      <c r="BD155" s="7" t="str">
        <f>IF(Table43[[#This Row],[Kode BARANG Win2]]&lt;&gt;"","IDR","")</f>
        <v>IDR</v>
      </c>
      <c r="BE155" s="7" t="str">
        <f>CONCATENATE(Table43[[#This Row],[kode  1 Digit
(Nomor)]],Table43[[#This Row],[kode  4 Digit                (Nomor)]])</f>
        <v>20400</v>
      </c>
      <c r="BF155" s="7" t="str">
        <f>Table43[[#This Row],[Nama            Gramasi atau Jumlah Pack per CTN]]</f>
        <v>400ML</v>
      </c>
      <c r="BG155" s="7" t="s">
        <v>1060</v>
      </c>
      <c r="BH155" s="7" t="s">
        <v>377</v>
      </c>
      <c r="BI155" s="4" t="str">
        <f>IF(Table43[[#This Row],[SATUAN Fix Win]]&lt;&gt;"","KRT")</f>
        <v>KRT</v>
      </c>
      <c r="BJ155" s="4" t="str">
        <f>IF(Table43[[#This Row],[SATUAN Fix Win]]&lt;&gt;"","GD01")</f>
        <v>GD01</v>
      </c>
      <c r="BK155" s="4">
        <f>IF(Table43[[#This Row],[SATUAN Fix Win]]&lt;&gt;"",11611)</f>
        <v>11611</v>
      </c>
      <c r="BL155" s="4">
        <f>IF(Table43[[#This Row],[SATUAN Fix Win]]&lt;&gt;"",11612)</f>
        <v>11612</v>
      </c>
      <c r="BM155" s="52" t="s">
        <v>378</v>
      </c>
      <c r="BN155" s="4">
        <f>IF(Table43[[#This Row],[SATUAN Fix Win]]&lt;&gt;"",1)</f>
        <v>1</v>
      </c>
      <c r="BO155" s="4" t="s">
        <v>637</v>
      </c>
    </row>
    <row r="156" spans="1:70">
      <c r="A156" s="4" t="str">
        <f>CONCATENATE(Table43[[#This Row],[Kode BARANG Win2]],Table43[[#This Row],[No. Urut
Item Sama]])</f>
        <v>F40711020400101</v>
      </c>
      <c r="B156" s="7">
        <v>1</v>
      </c>
      <c r="C156" s="4">
        <v>123</v>
      </c>
      <c r="D156" s="27" t="s">
        <v>467</v>
      </c>
      <c r="E156" s="27" t="s">
        <v>629</v>
      </c>
      <c r="F156" s="27" t="s">
        <v>588</v>
      </c>
      <c r="G156" s="27">
        <v>24</v>
      </c>
      <c r="H156" s="54">
        <v>8992946534990</v>
      </c>
      <c r="I156" s="27" t="str">
        <f>Table43[[#This Row],[Nama Jenis Kemasan]]</f>
        <v>PCH</v>
      </c>
      <c r="J156" s="4" t="str">
        <f>TRIM(CONCATENATE(Table43[[#This Row],[Nama            KLP]]," ",Table43[[#This Row],[Nama            Sub KLP]]))</f>
        <v>ZEN BCL</v>
      </c>
      <c r="K156" s="4" t="str">
        <f>CONCATENATE(Table43[[#This Row],[kode  2 Digit                (hrf+No)]],Table43[[#This Row],[kode  2 Digit                (Nomor)]],Table43[[#This Row],[kode  1 Digit                (Nomor)]])</f>
        <v>F4071</v>
      </c>
      <c r="L156" s="4" t="str">
        <f>IF(AG156="",CONCATENATE(Q156,S156,U156,W156,Y156,AA156,AC156,AE156,Table43[[#This Row],[Tanda Kode Revisi]]),CONCATENATE(Q156,S156,U156,W156,Y156,AA156,AC156,AG156))</f>
        <v>F4071102040010</v>
      </c>
      <c r="M156" s="11">
        <f t="shared" si="16"/>
        <v>14</v>
      </c>
      <c r="N156" s="14" t="str">
        <f>IF(AF156&lt;&gt;"",TRIM(UPPER(CONCATENATE(P156," ",R156," ",T156," ",V156," ",X156," ",Z156," ","X"," ",Table43[[#This Row],[ISI/CTN]]," ",AF156," ",AB156," ",AD156," ",AH156))),TRIM(UPPER(CONCATENATE(P156," ",R156," ",T156," ",V156," ",X156," ",Z156," ","X"," ",Table43[[#This Row],[ISI/CTN]]," ",AB156," ",AD156," ",AH156))))</f>
        <v>ZEN BCL REF SHISO &amp; JUNIPER BERRIES 400ML X 24 PCH</v>
      </c>
      <c r="O156" s="11">
        <f t="shared" si="17"/>
        <v>50</v>
      </c>
      <c r="Q156" s="7" t="s">
        <v>662</v>
      </c>
      <c r="R156" s="4" t="s">
        <v>629</v>
      </c>
      <c r="S156" s="48" t="s">
        <v>756</v>
      </c>
      <c r="T156" s="49" t="s">
        <v>775</v>
      </c>
      <c r="U156" s="7">
        <v>1</v>
      </c>
      <c r="V156" s="49" t="s">
        <v>776</v>
      </c>
      <c r="W156" s="48" t="s">
        <v>750</v>
      </c>
      <c r="X156" s="4" t="s">
        <v>727</v>
      </c>
      <c r="Y156" s="50" t="s">
        <v>751</v>
      </c>
      <c r="Z156" s="4" t="s">
        <v>670</v>
      </c>
      <c r="AA156" s="50" t="s">
        <v>739</v>
      </c>
      <c r="AB156" s="4" t="s">
        <v>671</v>
      </c>
      <c r="AC156" s="7">
        <v>1</v>
      </c>
      <c r="AE156" s="7">
        <v>0</v>
      </c>
      <c r="AI156" s="7" t="s">
        <v>178</v>
      </c>
      <c r="AJ156" s="7">
        <v>2</v>
      </c>
      <c r="AL156" s="38">
        <v>18351.171171171172</v>
      </c>
      <c r="AM156" s="39">
        <f>Table43[[#This Row],[Harga Beli Pcs
(-PPN)]]*Table43[[#This Row],[ISI/CTN]]</f>
        <v>440428.10810810816</v>
      </c>
      <c r="AN156" s="39">
        <f>Table43[[#This Row],[Harga Beli Pcs
(-PPN)]]*1.11</f>
        <v>20369.800000000003</v>
      </c>
      <c r="AO156" s="39">
        <f>Table43[[#This Row],[Harga Beli Krt
(- PPN)]]*1.11</f>
        <v>488875.20000000013</v>
      </c>
      <c r="AP156" s="39">
        <v>19819.819819819819</v>
      </c>
      <c r="AQ156" s="39">
        <f>Table43[[#This Row],[Harga Jual Pcs GT
(-PPN)]]*Table43[[#This Row],[ISI/CTN]]</f>
        <v>475675.67567567562</v>
      </c>
      <c r="AR156" s="39">
        <f>Table43[[#This Row],[Harga Jual Pcs GT
(-PPN)]]*1.11</f>
        <v>22000</v>
      </c>
      <c r="AS156" s="39">
        <f>Table43[[#This Row],[Harga Jual Krt GT
(- PPN)]]*1.11</f>
        <v>528000</v>
      </c>
      <c r="AT156" s="39"/>
      <c r="AU156" s="39">
        <f>Table43[[#This Row],[Harga Jual Pcs MT
(-PPN)]]*Table43[[#This Row],[ISI/CTN]]</f>
        <v>0</v>
      </c>
      <c r="AV156" s="39">
        <f>Table43[[#This Row],[Harga Jual Pcs MT
(-PPN)]]*1.11</f>
        <v>0</v>
      </c>
      <c r="AW156" s="39">
        <f>Table43[[#This Row],[Harga Jual Pcs MT
(+PPN)]]*Table43[[#This Row],[ISI/CTN]]</f>
        <v>0</v>
      </c>
      <c r="AX156" s="47">
        <f>IFERROR((Table43[[#This Row],[Harga Jual Pcs GT
(-PPN)]]-Table43[[#This Row],[Harga Beli Pcs
(-PPN)]])/Table43[[#This Row],[Harga Jual Pcs GT
(-PPN)]],0)</f>
        <v>7.4099999999999888E-2</v>
      </c>
      <c r="AY156" s="51">
        <v>45848</v>
      </c>
      <c r="AZ156" s="7"/>
      <c r="BA156" s="7" t="str">
        <f ca="1">IF(TODAY()-Table43[[#This Row],[Efektif
Pembuatan]]&gt;60,"Lama","Baru")</f>
        <v>Lama</v>
      </c>
      <c r="BB156" s="7" t="str">
        <f ca="1">IF(TODAY()-Table43[[#This Row],[Efektif Naik Harga]]&lt;30,"Naik","Sama")</f>
        <v>Sama</v>
      </c>
      <c r="BC156" s="7" t="s">
        <v>185</v>
      </c>
      <c r="BD156" s="7" t="str">
        <f>IF(Table43[[#This Row],[Kode BARANG Win2]]&lt;&gt;"","IDR","")</f>
        <v>IDR</v>
      </c>
      <c r="BE156" s="7" t="str">
        <f>CONCATENATE(Table43[[#This Row],[kode  1 Digit
(Nomor)]],Table43[[#This Row],[kode  4 Digit                (Nomor)]])</f>
        <v>20400</v>
      </c>
      <c r="BF156" s="7" t="str">
        <f>Table43[[#This Row],[Nama            Gramasi atau Jumlah Pack per CTN]]</f>
        <v>400ML</v>
      </c>
      <c r="BG156" s="7" t="s">
        <v>1060</v>
      </c>
      <c r="BH156" s="7" t="s">
        <v>377</v>
      </c>
      <c r="BI156" s="4" t="str">
        <f>IF(Table43[[#This Row],[SATUAN Fix Win]]&lt;&gt;"","KRT")</f>
        <v>KRT</v>
      </c>
      <c r="BJ156" s="4" t="str">
        <f>IF(Table43[[#This Row],[SATUAN Fix Win]]&lt;&gt;"","GD01")</f>
        <v>GD01</v>
      </c>
      <c r="BK156" s="4">
        <f>IF(Table43[[#This Row],[SATUAN Fix Win]]&lt;&gt;"",11611)</f>
        <v>11611</v>
      </c>
      <c r="BL156" s="4">
        <f>IF(Table43[[#This Row],[SATUAN Fix Win]]&lt;&gt;"",11612)</f>
        <v>11612</v>
      </c>
      <c r="BM156" s="52" t="s">
        <v>378</v>
      </c>
      <c r="BN156" s="4">
        <f>IF(Table43[[#This Row],[SATUAN Fix Win]]&lt;&gt;"",1)</f>
        <v>1</v>
      </c>
      <c r="BO156" s="4" t="s">
        <v>637</v>
      </c>
    </row>
    <row r="157" spans="1:70" s="126" customFormat="1">
      <c r="A157" s="111" t="str">
        <f>CONCATENATE(Table43[[#This Row],[Kode BARANG Win2]],Table43[[#This Row],[No. Urut
Item Sama]])</f>
        <v>F40711020400102</v>
      </c>
      <c r="B157" s="112">
        <v>2</v>
      </c>
      <c r="C157" s="111"/>
      <c r="D157" s="128" t="s">
        <v>1292</v>
      </c>
      <c r="E157" s="113" t="s">
        <v>629</v>
      </c>
      <c r="F157" s="113" t="s">
        <v>1293</v>
      </c>
      <c r="G157" s="113">
        <v>24</v>
      </c>
      <c r="H157" s="127"/>
      <c r="I157" s="113" t="str">
        <f>Table43[[#This Row],[Nama Jenis Kemasan]]</f>
        <v>PCH</v>
      </c>
      <c r="J157" s="111" t="str">
        <f>TRIM(CONCATENATE(Table43[[#This Row],[Nama            KLP]]," ",Table43[[#This Row],[Nama            Sub KLP]]))</f>
        <v>ZEN BCL</v>
      </c>
      <c r="K157" s="111" t="str">
        <f>CONCATENATE(Table43[[#This Row],[kode  2 Digit                (hrf+No)]],Table43[[#This Row],[kode  2 Digit                (Nomor)]],Table43[[#This Row],[kode  1 Digit                (Nomor)]])</f>
        <v>F4071</v>
      </c>
      <c r="L157" s="111" t="str">
        <f>IF(AG157="",CONCATENATE(Q157,S157,U157,W157,Y157,AA157,AC157,AE157,Table43[[#This Row],[Tanda Kode Revisi]]),CONCATENATE(Q157,S157,U157,W157,Y157,AA157,AC157,AG157))</f>
        <v>F4071102040010</v>
      </c>
      <c r="M157" s="116">
        <f t="shared" si="16"/>
        <v>14</v>
      </c>
      <c r="N157" s="117" t="str">
        <f>IF(AF157&lt;&gt;"",TRIM(UPPER(CONCATENATE(P157," ",R157," ",T157," ",V157," ",X157," ",Z157," ","X"," ",Table43[[#This Row],[ISI/CTN]]," ",AF157," ",AB157," ",AD157," ",AH157))),TRIM(UPPER(CONCATENATE(P157," ",R157," ",T157," ",V157," ",X157," ",Z157," ","X"," ",Table43[[#This Row],[ISI/CTN]]," ",AB157," ",AD157," ",AH157))))</f>
        <v>ZEN BCL REF SHISO &amp; JUNIPER BERRIES 400/380ML X 24 PCH</v>
      </c>
      <c r="O157" s="116">
        <f>LEN(N157)</f>
        <v>54</v>
      </c>
      <c r="P157" s="111"/>
      <c r="Q157" s="112" t="s">
        <v>662</v>
      </c>
      <c r="R157" s="111" t="s">
        <v>629</v>
      </c>
      <c r="S157" s="118" t="s">
        <v>756</v>
      </c>
      <c r="T157" s="119" t="s">
        <v>775</v>
      </c>
      <c r="U157" s="112">
        <v>1</v>
      </c>
      <c r="V157" s="119" t="s">
        <v>776</v>
      </c>
      <c r="W157" s="118" t="s">
        <v>750</v>
      </c>
      <c r="X157" s="111" t="s">
        <v>727</v>
      </c>
      <c r="Y157" s="120" t="s">
        <v>751</v>
      </c>
      <c r="Z157" s="111" t="s">
        <v>1294</v>
      </c>
      <c r="AA157" s="120" t="s">
        <v>739</v>
      </c>
      <c r="AB157" s="111" t="s">
        <v>671</v>
      </c>
      <c r="AC157" s="112">
        <v>1</v>
      </c>
      <c r="AD157" s="111"/>
      <c r="AE157" s="112">
        <v>0</v>
      </c>
      <c r="AF157" s="112"/>
      <c r="AG157" s="112"/>
      <c r="AH157" s="112"/>
      <c r="AI157" s="112" t="s">
        <v>178</v>
      </c>
      <c r="AJ157" s="112">
        <v>2</v>
      </c>
      <c r="AK157" s="112"/>
      <c r="AL157" s="121"/>
      <c r="AM157" s="122">
        <f>Table43[[#This Row],[Harga Beli Pcs
(-PPN)]]*Table43[[#This Row],[ISI/CTN]]</f>
        <v>0</v>
      </c>
      <c r="AN157" s="122">
        <f>Table43[[#This Row],[Harga Beli Pcs
(-PPN)]]*1.11</f>
        <v>0</v>
      </c>
      <c r="AO157" s="122">
        <f>Table43[[#This Row],[Harga Beli Krt
(- PPN)]]*1.11</f>
        <v>0</v>
      </c>
      <c r="AP157" s="122"/>
      <c r="AQ157" s="122">
        <f>Table43[[#This Row],[Harga Jual Pcs GT
(-PPN)]]*Table43[[#This Row],[ISI/CTN]]</f>
        <v>0</v>
      </c>
      <c r="AR157" s="122">
        <f>Table43[[#This Row],[Harga Jual Pcs GT
(-PPN)]]*1.11</f>
        <v>0</v>
      </c>
      <c r="AS157" s="122">
        <f>Table43[[#This Row],[Harga Jual Krt GT
(- PPN)]]*1.11</f>
        <v>0</v>
      </c>
      <c r="AT157" s="122"/>
      <c r="AU157" s="122">
        <f>Table43[[#This Row],[Harga Jual Pcs MT
(-PPN)]]*Table43[[#This Row],[ISI/CTN]]</f>
        <v>0</v>
      </c>
      <c r="AV157" s="122">
        <f>Table43[[#This Row],[Harga Jual Pcs MT
(-PPN)]]*1.11</f>
        <v>0</v>
      </c>
      <c r="AW157" s="122">
        <f>Table43[[#This Row],[Harga Jual Pcs MT
(+PPN)]]*Table43[[#This Row],[ISI/CTN]]</f>
        <v>0</v>
      </c>
      <c r="AX157" s="123">
        <f>IFERROR((Table43[[#This Row],[Harga Jual Pcs GT
(-PPN)]]-Table43[[#This Row],[Harga Beli Pcs
(-PPN)]])/Table43[[#This Row],[Harga Jual Pcs GT
(-PPN)]],0)</f>
        <v>0</v>
      </c>
      <c r="AY157" s="124"/>
      <c r="AZ157" s="112"/>
      <c r="BA157" s="112" t="str">
        <f ca="1">IF(TODAY()-Table43[[#This Row],[Efektif
Pembuatan]]&gt;60,"Lama","Baru")</f>
        <v>Lama</v>
      </c>
      <c r="BB157" s="112" t="str">
        <f ca="1">IF(TODAY()-Table43[[#This Row],[Efektif Naik Harga]]&lt;30,"Naik","Sama")</f>
        <v>Sama</v>
      </c>
      <c r="BC157" s="112"/>
      <c r="BD157" s="112" t="str">
        <f>IF(Table43[[#This Row],[Kode BARANG Win2]]&lt;&gt;"","IDR","")</f>
        <v>IDR</v>
      </c>
      <c r="BE157" s="112" t="str">
        <f>CONCATENATE(Table43[[#This Row],[kode  1 Digit
(Nomor)]],Table43[[#This Row],[kode  4 Digit                (Nomor)]])</f>
        <v>20400</v>
      </c>
      <c r="BF157" s="112" t="str">
        <f>Table43[[#This Row],[Nama            Gramasi atau Jumlah Pack per CTN]]</f>
        <v>400/380ML</v>
      </c>
      <c r="BG157" s="112"/>
      <c r="BH157" s="112"/>
      <c r="BI157" s="111" t="str">
        <f>IF(Table43[[#This Row],[SATUAN Fix Win]]&lt;&gt;"","KRT")</f>
        <v>KRT</v>
      </c>
      <c r="BJ157" s="111" t="str">
        <f>IF(Table43[[#This Row],[SATUAN Fix Win]]&lt;&gt;"","GD01")</f>
        <v>GD01</v>
      </c>
      <c r="BK157" s="111">
        <f>IF(Table43[[#This Row],[SATUAN Fix Win]]&lt;&gt;"",11611)</f>
        <v>11611</v>
      </c>
      <c r="BL157" s="111">
        <f>IF(Table43[[#This Row],[SATUAN Fix Win]]&lt;&gt;"",11612)</f>
        <v>11612</v>
      </c>
      <c r="BM157" s="125"/>
      <c r="BN157" s="111">
        <f>IF(Table43[[#This Row],[SATUAN Fix Win]]&lt;&gt;"",1)</f>
        <v>1</v>
      </c>
      <c r="BO157" s="111"/>
      <c r="BP157" s="111"/>
      <c r="BQ157" s="111"/>
      <c r="BR157" s="111"/>
    </row>
    <row r="158" spans="1:70">
      <c r="A158" s="4" t="str">
        <f>CONCATENATE(Table43[[#This Row],[Kode BARANG Win2]],Table43[[#This Row],[No. Urut
Item Sama]])</f>
        <v>F40711030800101</v>
      </c>
      <c r="B158" s="7">
        <v>1</v>
      </c>
      <c r="C158" s="4">
        <v>162</v>
      </c>
      <c r="D158" s="73" t="s">
        <v>1224</v>
      </c>
      <c r="E158" s="27" t="s">
        <v>629</v>
      </c>
      <c r="F158" s="27" t="s">
        <v>1223</v>
      </c>
      <c r="G158" s="27">
        <v>12</v>
      </c>
      <c r="H158" s="54">
        <v>8992946521871</v>
      </c>
      <c r="I158" s="27" t="str">
        <f>Table43[[#This Row],[Nama Jenis Kemasan]]</f>
        <v>PCH</v>
      </c>
      <c r="J158" s="4" t="str">
        <f>TRIM(CONCATENATE(Table43[[#This Row],[Nama            KLP]]," ",Table43[[#This Row],[Nama            Sub KLP]]))</f>
        <v>ZEN BCL</v>
      </c>
      <c r="K158" s="4" t="str">
        <f>CONCATENATE(Table43[[#This Row],[kode  2 Digit                (hrf+No)]],Table43[[#This Row],[kode  2 Digit                (Nomor)]],Table43[[#This Row],[kode  1 Digit                (Nomor)]])</f>
        <v>F4071</v>
      </c>
      <c r="L158" s="4" t="str">
        <f>IF(AG158="",CONCATENATE(Q158,S158,U158,W158,Y158,AA158,AC158,AE158,Table43[[#This Row],[Tanda Kode Revisi]]),CONCATENATE(Q158,S158,U158,W158,Y158,AA158,AC158,AG158))</f>
        <v>F4071103080010</v>
      </c>
      <c r="M158" s="11">
        <f>LEN(L158)</f>
        <v>14</v>
      </c>
      <c r="N158" s="14" t="str">
        <f>IF(AF158&lt;&gt;"",TRIM(UPPER(CONCATENATE(P158," ",R158," ",T158," ",V158," ",X158," ",Z158," ","X"," ",Table43[[#This Row],[ISI/CTN]]," ",AF158," ",AB158," ",AD158," ",AH158))),TRIM(UPPER(CONCATENATE(P158," ",R158," ",T158," ",V158," ",X158," ",Z158," ","X"," ",Table43[[#This Row],[ISI/CTN]]," ",AB158," ",AD158," ",AH158))))</f>
        <v>ZEN BCL REF SHISO &amp; SANDALWOOD 800ML X 12 PCH</v>
      </c>
      <c r="O158" s="11">
        <f>LEN(N158)</f>
        <v>45</v>
      </c>
      <c r="Q158" s="7" t="s">
        <v>662</v>
      </c>
      <c r="R158" s="4" t="s">
        <v>629</v>
      </c>
      <c r="S158" s="48" t="s">
        <v>756</v>
      </c>
      <c r="T158" s="49" t="s">
        <v>775</v>
      </c>
      <c r="U158" s="7">
        <v>1</v>
      </c>
      <c r="V158" s="49" t="s">
        <v>776</v>
      </c>
      <c r="W158" s="48" t="s">
        <v>750</v>
      </c>
      <c r="X158" s="4" t="s">
        <v>721</v>
      </c>
      <c r="Y158" s="50" t="s">
        <v>752</v>
      </c>
      <c r="Z158" s="4" t="s">
        <v>1221</v>
      </c>
      <c r="AA158" s="50" t="s">
        <v>1222</v>
      </c>
      <c r="AB158" s="4" t="s">
        <v>671</v>
      </c>
      <c r="AC158" s="7">
        <v>1</v>
      </c>
      <c r="AE158" s="7">
        <v>0</v>
      </c>
      <c r="AL158" s="38"/>
      <c r="AM158" s="39">
        <f>Table43[[#This Row],[Harga Beli Pcs
(-PPN)]]*Table43[[#This Row],[ISI/CTN]]</f>
        <v>0</v>
      </c>
      <c r="AN158" s="39">
        <f>Table43[[#This Row],[Harga Beli Pcs
(-PPN)]]*1.11</f>
        <v>0</v>
      </c>
      <c r="AO158" s="39">
        <f>Table43[[#This Row],[Harga Beli Krt
(- PPN)]]*1.11</f>
        <v>0</v>
      </c>
      <c r="AP158" s="39"/>
      <c r="AQ158" s="39">
        <f>Table43[[#This Row],[Harga Jual Pcs GT
(-PPN)]]*Table43[[#This Row],[ISI/CTN]]</f>
        <v>0</v>
      </c>
      <c r="AR158" s="39">
        <f>Table43[[#This Row],[Harga Jual Pcs GT
(-PPN)]]*1.11</f>
        <v>0</v>
      </c>
      <c r="AS158" s="39">
        <f>Table43[[#This Row],[Harga Jual Krt GT
(- PPN)]]*1.11</f>
        <v>0</v>
      </c>
      <c r="AT158" s="39"/>
      <c r="AU158" s="39">
        <f>Table43[[#This Row],[Harga Jual Pcs MT
(-PPN)]]*Table43[[#This Row],[ISI/CTN]]</f>
        <v>0</v>
      </c>
      <c r="AV158" s="39">
        <f>Table43[[#This Row],[Harga Jual Pcs MT
(-PPN)]]*1.11</f>
        <v>0</v>
      </c>
      <c r="AW158" s="39">
        <f>Table43[[#This Row],[Harga Jual Pcs MT
(+PPN)]]*Table43[[#This Row],[ISI/CTN]]</f>
        <v>0</v>
      </c>
      <c r="AX158" s="47">
        <f>IFERROR((Table43[[#This Row],[Harga Jual Pcs GT
(-PPN)]]-Table43[[#This Row],[Harga Beli Pcs
(-PPN)]])/Table43[[#This Row],[Harga Jual Pcs GT
(-PPN)]],0)</f>
        <v>0</v>
      </c>
      <c r="AY158" s="51"/>
      <c r="AZ158" s="7"/>
      <c r="BA158" s="7" t="str">
        <f ca="1">IF(TODAY()-Table43[[#This Row],[Efektif
Pembuatan]]&gt;60,"Lama","Baru")</f>
        <v>Lama</v>
      </c>
      <c r="BB158" s="7" t="str">
        <f ca="1">IF(TODAY()-Table43[[#This Row],[Efektif Naik Harga]]&lt;30,"Naik","Sama")</f>
        <v>Sama</v>
      </c>
      <c r="BC158" s="7"/>
      <c r="BD158" s="7" t="str">
        <f>IF(Table43[[#This Row],[Kode BARANG Win2]]&lt;&gt;"","IDR","")</f>
        <v>IDR</v>
      </c>
      <c r="BE158" s="7" t="str">
        <f>CONCATENATE(Table43[[#This Row],[kode  1 Digit
(Nomor)]],Table43[[#This Row],[kode  4 Digit                (Nomor)]])</f>
        <v>0800</v>
      </c>
      <c r="BF158" s="7" t="str">
        <f>Table43[[#This Row],[Nama            Gramasi atau Jumlah Pack per CTN]]</f>
        <v>800ML</v>
      </c>
      <c r="BG158" s="7"/>
      <c r="BH158" s="7"/>
      <c r="BI158" s="4" t="str">
        <f>IF(Table43[[#This Row],[SATUAN Fix Win]]&lt;&gt;"","KRT")</f>
        <v>KRT</v>
      </c>
      <c r="BJ158" s="4" t="str">
        <f>IF(Table43[[#This Row],[SATUAN Fix Win]]&lt;&gt;"","GD01")</f>
        <v>GD01</v>
      </c>
      <c r="BK158" s="4">
        <f>IF(Table43[[#This Row],[SATUAN Fix Win]]&lt;&gt;"",11611)</f>
        <v>11611</v>
      </c>
      <c r="BL158" s="4">
        <f>IF(Table43[[#This Row],[SATUAN Fix Win]]&lt;&gt;"",11612)</f>
        <v>11612</v>
      </c>
      <c r="BM158" s="52"/>
      <c r="BN158" s="4">
        <f>IF(Table43[[#This Row],[SATUAN Fix Win]]&lt;&gt;"",1)</f>
        <v>1</v>
      </c>
    </row>
    <row r="159" spans="1:70">
      <c r="A159" s="4" t="str">
        <f>CONCATENATE(Table43[[#This Row],[Kode BARANG Win2]],Table43[[#This Row],[No. Urut
Item Sama]])</f>
        <v>F40711030085101</v>
      </c>
      <c r="B159" s="7">
        <v>1</v>
      </c>
      <c r="C159" s="4">
        <v>124</v>
      </c>
      <c r="D159" s="27" t="s">
        <v>456</v>
      </c>
      <c r="E159" s="27" t="s">
        <v>632</v>
      </c>
      <c r="F159" s="27" t="s">
        <v>577</v>
      </c>
      <c r="G159" s="27">
        <v>48</v>
      </c>
      <c r="H159" s="54" t="s">
        <v>658</v>
      </c>
      <c r="I159" s="27" t="str">
        <f>Table43[[#This Row],[Nama Jenis Kemasan]]</f>
        <v>PCH</v>
      </c>
      <c r="J159" s="4" t="str">
        <f>TRIM(CONCATENATE(Table43[[#This Row],[Nama            KLP]]," ",Table43[[#This Row],[Nama            Sub KLP]]))</f>
        <v>ZEN BCL</v>
      </c>
      <c r="K159" s="4" t="str">
        <f>CONCATENATE(Table43[[#This Row],[kode  2 Digit                (hrf+No)]],Table43[[#This Row],[kode  2 Digit                (Nomor)]],Table43[[#This Row],[kode  1 Digit                (Nomor)]])</f>
        <v>F4071</v>
      </c>
      <c r="L159" s="4" t="str">
        <f>IF(AG159="",CONCATENATE(Q159,S159,U159,W159,Y159,AA159,AC159,AE159,Table43[[#This Row],[Tanda Kode Revisi]]),CONCATENATE(Q159,S159,U159,W159,Y159,AA159,AC159,AG159))</f>
        <v>F4071103008510</v>
      </c>
      <c r="M159" s="11">
        <f t="shared" si="16"/>
        <v>14</v>
      </c>
      <c r="N159" s="14" t="str">
        <f>IF(AF159&lt;&gt;"",TRIM(UPPER(CONCATENATE(P159," ",R159," ",T159," ",V159," ",X159," ",Z159," ","X"," ",Table43[[#This Row],[ISI/CTN]]," ",AF159," ",AB159," ",AD159," ",AH159))),TRIM(UPPER(CONCATENATE(P159," ",R159," ",T159," ",V159," ",X159," ",Z159," ","X"," ",Table43[[#This Row],[ISI/CTN]]," ",AB159," ",AD159," ",AH159))))</f>
        <v>ZEN BCL REF SHISO &amp; SANDALWOOD 85ML X 48 PCH</v>
      </c>
      <c r="O159" s="11">
        <f t="shared" si="17"/>
        <v>44</v>
      </c>
      <c r="Q159" s="7" t="s">
        <v>662</v>
      </c>
      <c r="R159" s="4" t="s">
        <v>629</v>
      </c>
      <c r="S159" s="48" t="s">
        <v>756</v>
      </c>
      <c r="T159" s="49" t="s">
        <v>775</v>
      </c>
      <c r="U159" s="7">
        <v>1</v>
      </c>
      <c r="V159" s="49" t="s">
        <v>776</v>
      </c>
      <c r="W159" s="48" t="s">
        <v>750</v>
      </c>
      <c r="X159" s="4" t="s">
        <v>721</v>
      </c>
      <c r="Y159" s="50" t="s">
        <v>752</v>
      </c>
      <c r="Z159" s="4" t="s">
        <v>720</v>
      </c>
      <c r="AA159" s="50" t="s">
        <v>767</v>
      </c>
      <c r="AB159" s="4" t="s">
        <v>671</v>
      </c>
      <c r="AC159" s="7">
        <v>1</v>
      </c>
      <c r="AE159" s="7">
        <v>0</v>
      </c>
      <c r="AI159" s="7" t="s">
        <v>178</v>
      </c>
      <c r="AJ159" s="7">
        <v>2</v>
      </c>
      <c r="AL159" s="38">
        <v>3336.5765765765759</v>
      </c>
      <c r="AM159" s="39">
        <f>Table43[[#This Row],[Harga Beli Pcs
(-PPN)]]*Table43[[#This Row],[ISI/CTN]]</f>
        <v>160155.67567567565</v>
      </c>
      <c r="AN159" s="39">
        <f>Table43[[#This Row],[Harga Beli Pcs
(-PPN)]]*1.11</f>
        <v>3703.5999999999995</v>
      </c>
      <c r="AO159" s="39">
        <f>Table43[[#This Row],[Harga Beli Krt
(- PPN)]]*1.11</f>
        <v>177772.79999999999</v>
      </c>
      <c r="AP159" s="39">
        <v>3603.6036036036035</v>
      </c>
      <c r="AQ159" s="39">
        <f>Table43[[#This Row],[Harga Jual Pcs GT
(-PPN)]]*Table43[[#This Row],[ISI/CTN]]</f>
        <v>172972.97297297296</v>
      </c>
      <c r="AR159" s="39">
        <f>Table43[[#This Row],[Harga Jual Pcs GT
(-PPN)]]*1.11</f>
        <v>4000</v>
      </c>
      <c r="AS159" s="39">
        <f>Table43[[#This Row],[Harga Jual Krt GT
(- PPN)]]*1.11</f>
        <v>192000</v>
      </c>
      <c r="AT159" s="39"/>
      <c r="AU159" s="39">
        <f>Table43[[#This Row],[Harga Jual Pcs MT
(-PPN)]]*Table43[[#This Row],[ISI/CTN]]</f>
        <v>0</v>
      </c>
      <c r="AV159" s="39">
        <f>Table43[[#This Row],[Harga Jual Pcs MT
(-PPN)]]*1.11</f>
        <v>0</v>
      </c>
      <c r="AW159" s="39">
        <f>Table43[[#This Row],[Harga Jual Pcs MT
(+PPN)]]*Table43[[#This Row],[ISI/CTN]]</f>
        <v>0</v>
      </c>
      <c r="AX159" s="47">
        <f>IFERROR((Table43[[#This Row],[Harga Jual Pcs GT
(-PPN)]]-Table43[[#This Row],[Harga Beli Pcs
(-PPN)]])/Table43[[#This Row],[Harga Jual Pcs GT
(-PPN)]],0)</f>
        <v>7.4100000000000152E-2</v>
      </c>
      <c r="AY159" s="51">
        <v>45848</v>
      </c>
      <c r="AZ159" s="7"/>
      <c r="BA159" s="7" t="str">
        <f ca="1">IF(TODAY()-Table43[[#This Row],[Efektif
Pembuatan]]&gt;60,"Lama","Baru")</f>
        <v>Lama</v>
      </c>
      <c r="BB159" s="7" t="str">
        <f ca="1">IF(TODAY()-Table43[[#This Row],[Efektif Naik Harga]]&lt;30,"Naik","Sama")</f>
        <v>Sama</v>
      </c>
      <c r="BC159" s="7" t="s">
        <v>185</v>
      </c>
      <c r="BD159" s="7" t="str">
        <f>IF(Table43[[#This Row],[Kode BARANG Win2]]&lt;&gt;"","IDR","")</f>
        <v>IDR</v>
      </c>
      <c r="BE159" s="7" t="str">
        <f>CONCATENATE(Table43[[#This Row],[kode  1 Digit
(Nomor)]],Table43[[#This Row],[kode  4 Digit                (Nomor)]])</f>
        <v>20085</v>
      </c>
      <c r="BF159" s="7" t="str">
        <f>Table43[[#This Row],[Nama            Gramasi atau Jumlah Pack per CTN]]</f>
        <v>85ML</v>
      </c>
      <c r="BG159" s="7" t="s">
        <v>1060</v>
      </c>
      <c r="BH159" s="7" t="s">
        <v>377</v>
      </c>
      <c r="BI159" s="4" t="str">
        <f>IF(Table43[[#This Row],[SATUAN Fix Win]]&lt;&gt;"","KRT")</f>
        <v>KRT</v>
      </c>
      <c r="BJ159" s="4" t="str">
        <f>IF(Table43[[#This Row],[SATUAN Fix Win]]&lt;&gt;"","GD01")</f>
        <v>GD01</v>
      </c>
      <c r="BK159" s="4">
        <f>IF(Table43[[#This Row],[SATUAN Fix Win]]&lt;&gt;"",11611)</f>
        <v>11611</v>
      </c>
      <c r="BL159" s="4">
        <f>IF(Table43[[#This Row],[SATUAN Fix Win]]&lt;&gt;"",11612)</f>
        <v>11612</v>
      </c>
      <c r="BM159" s="52" t="s">
        <v>378</v>
      </c>
      <c r="BN159" s="4">
        <f>IF(Table43[[#This Row],[SATUAN Fix Win]]&lt;&gt;"",1)</f>
        <v>1</v>
      </c>
      <c r="BO159" s="4" t="s">
        <v>637</v>
      </c>
    </row>
    <row r="160" spans="1:70">
      <c r="A160" s="4" t="str">
        <f>CONCATENATE(Table43[[#This Row],[Kode BARANG Win2]],Table43[[#This Row],[No. Urut
Item Sama]])</f>
        <v>F40711030400111</v>
      </c>
      <c r="B160" s="7">
        <v>1</v>
      </c>
      <c r="C160" s="4">
        <v>125</v>
      </c>
      <c r="D160" s="27" t="s">
        <v>1085</v>
      </c>
      <c r="E160" s="27" t="s">
        <v>629</v>
      </c>
      <c r="F160" s="27" t="s">
        <v>1073</v>
      </c>
      <c r="G160" s="27">
        <v>24</v>
      </c>
      <c r="H160" s="54">
        <v>8998946532105</v>
      </c>
      <c r="I160" s="27" t="str">
        <f>Table43[[#This Row],[Nama Jenis Kemasan]]</f>
        <v>PCH</v>
      </c>
      <c r="J160" s="4" t="str">
        <f>TRIM(CONCATENATE(Table43[[#This Row],[Nama            KLP]]," ",Table43[[#This Row],[Nama            Sub KLP]]))</f>
        <v>ZEN BCL</v>
      </c>
      <c r="K160" s="4" t="str">
        <f>CONCATENATE(Table43[[#This Row],[kode  2 Digit                (hrf+No)]],Table43[[#This Row],[kode  2 Digit                (Nomor)]],Table43[[#This Row],[kode  1 Digit                (Nomor)]])</f>
        <v>F4071</v>
      </c>
      <c r="L160" s="4" t="str">
        <f>IF(AG160="",CONCATENATE(Q160,S160,U160,W160,Y160,AA160,AC160,AE160,Table43[[#This Row],[Tanda Kode Revisi]]),CONCATENATE(Q160,S160,U160,W160,Y160,AA160,AC160,AG160))</f>
        <v>F4071103040011</v>
      </c>
      <c r="M160" s="11">
        <f>LEN(L160)</f>
        <v>14</v>
      </c>
      <c r="N160" s="14" t="str">
        <f>IF(AF160&lt;&gt;"",TRIM(UPPER(CONCATENATE(P160," ",R160," ",T160," ",V160," ",X160," ",Z160," ","X"," ",Table43[[#This Row],[ISI/CTN]]," ",AF160," ",AB160," ",AD160," ",AH160))),TRIM(UPPER(CONCATENATE(P160," ",R160," ",T160," ",V160," ",X160," ",Z160," ","X"," ",Table43[[#This Row],[ISI/CTN]]," ",AB160," ",AD160," ",AH160))))</f>
        <v>ZEN BCL REF SHISO &amp; SANDALWOOD 400ML X 24 PCH BND</v>
      </c>
      <c r="O160" s="11">
        <f>LEN(N160)</f>
        <v>49</v>
      </c>
      <c r="Q160" s="7" t="s">
        <v>662</v>
      </c>
      <c r="R160" s="4" t="s">
        <v>629</v>
      </c>
      <c r="S160" s="48" t="s">
        <v>756</v>
      </c>
      <c r="T160" s="49" t="s">
        <v>775</v>
      </c>
      <c r="U160" s="7">
        <v>1</v>
      </c>
      <c r="V160" s="49" t="s">
        <v>776</v>
      </c>
      <c r="W160" s="48" t="s">
        <v>750</v>
      </c>
      <c r="X160" s="4" t="s">
        <v>721</v>
      </c>
      <c r="Y160" s="50" t="s">
        <v>752</v>
      </c>
      <c r="Z160" s="4" t="s">
        <v>670</v>
      </c>
      <c r="AA160" s="50" t="s">
        <v>739</v>
      </c>
      <c r="AB160" s="4" t="s">
        <v>671</v>
      </c>
      <c r="AC160" s="7">
        <v>1</v>
      </c>
      <c r="AD160" s="4" t="s">
        <v>1074</v>
      </c>
      <c r="AE160" s="7">
        <v>1</v>
      </c>
      <c r="AI160" s="7" t="s">
        <v>178</v>
      </c>
      <c r="AJ160" s="7">
        <v>2</v>
      </c>
      <c r="AL160" s="38">
        <v>18351.171171171172</v>
      </c>
      <c r="AM160" s="39">
        <f>Table43[[#This Row],[Harga Beli Pcs
(-PPN)]]*Table43[[#This Row],[ISI/CTN]]</f>
        <v>440428.10810810816</v>
      </c>
      <c r="AN160" s="39">
        <f>Table43[[#This Row],[Harga Beli Pcs
(-PPN)]]*1.11</f>
        <v>20369.800000000003</v>
      </c>
      <c r="AO160" s="39">
        <f>Table43[[#This Row],[Harga Beli Krt
(- PPN)]]*1.11</f>
        <v>488875.20000000013</v>
      </c>
      <c r="AP160" s="39">
        <v>19819.819819819819</v>
      </c>
      <c r="AQ160" s="39">
        <f>Table43[[#This Row],[Harga Jual Pcs GT
(-PPN)]]*Table43[[#This Row],[ISI/CTN]]</f>
        <v>475675.67567567562</v>
      </c>
      <c r="AR160" s="39">
        <f>Table43[[#This Row],[Harga Jual Pcs GT
(-PPN)]]*1.11</f>
        <v>22000</v>
      </c>
      <c r="AS160" s="39">
        <f>Table43[[#This Row],[Harga Jual Krt GT
(- PPN)]]*1.11</f>
        <v>528000</v>
      </c>
      <c r="AT160" s="39"/>
      <c r="AU160" s="39">
        <f>Table43[[#This Row],[Harga Jual Pcs MT
(-PPN)]]*Table43[[#This Row],[ISI/CTN]]</f>
        <v>0</v>
      </c>
      <c r="AV160" s="39">
        <f>Table43[[#This Row],[Harga Jual Pcs MT
(-PPN)]]*1.11</f>
        <v>0</v>
      </c>
      <c r="AW160" s="39">
        <f>Table43[[#This Row],[Harga Jual Pcs MT
(+PPN)]]*Table43[[#This Row],[ISI/CTN]]</f>
        <v>0</v>
      </c>
      <c r="AX160" s="47">
        <f>IFERROR((Table43[[#This Row],[Harga Jual Pcs GT
(-PPN)]]-Table43[[#This Row],[Harga Beli Pcs
(-PPN)]])/Table43[[#This Row],[Harga Jual Pcs GT
(-PPN)]],0)</f>
        <v>7.4099999999999888E-2</v>
      </c>
      <c r="AY160" s="51">
        <v>45864</v>
      </c>
      <c r="AZ160" s="7"/>
      <c r="BA160" s="7" t="str">
        <f ca="1">IF(TODAY()-Table43[[#This Row],[Efektif
Pembuatan]]&gt;60,"Lama","Baru")</f>
        <v>Lama</v>
      </c>
      <c r="BB160" s="7" t="str">
        <f ca="1">IF(TODAY()-Table43[[#This Row],[Efektif Naik Harga]]&lt;30,"Naik","Sama")</f>
        <v>Sama</v>
      </c>
      <c r="BC160" s="7" t="s">
        <v>185</v>
      </c>
      <c r="BD160" s="7" t="str">
        <f>IF(Table43[[#This Row],[Kode BARANG Win2]]&lt;&gt;"","IDR","")</f>
        <v>IDR</v>
      </c>
      <c r="BE160" s="7" t="str">
        <f>CONCATENATE(Table43[[#This Row],[kode  1 Digit
(Nomor)]],Table43[[#This Row],[kode  4 Digit                (Nomor)]])</f>
        <v>20400</v>
      </c>
      <c r="BF160" s="7" t="str">
        <f>Table43[[#This Row],[Nama            Gramasi atau Jumlah Pack per CTN]]</f>
        <v>400ML</v>
      </c>
      <c r="BG160" s="7"/>
      <c r="BH160" s="7"/>
      <c r="BI160" s="4" t="str">
        <f>IF(Table43[[#This Row],[SATUAN Fix Win]]&lt;&gt;"","KRT")</f>
        <v>KRT</v>
      </c>
      <c r="BJ160" s="4" t="str">
        <f>IF(Table43[[#This Row],[SATUAN Fix Win]]&lt;&gt;"","GD01")</f>
        <v>GD01</v>
      </c>
      <c r="BK160" s="4">
        <f>IF(Table43[[#This Row],[SATUAN Fix Win]]&lt;&gt;"",11611)</f>
        <v>11611</v>
      </c>
      <c r="BL160" s="4">
        <f>IF(Table43[[#This Row],[SATUAN Fix Win]]&lt;&gt;"",11612)</f>
        <v>11612</v>
      </c>
      <c r="BM160" s="52"/>
      <c r="BN160" s="4">
        <f>IF(Table43[[#This Row],[SATUAN Fix Win]]&lt;&gt;"",1)</f>
        <v>1</v>
      </c>
      <c r="BO160" s="4" t="s">
        <v>637</v>
      </c>
    </row>
    <row r="161" spans="1:70">
      <c r="A161" s="4" t="str">
        <f>CONCATENATE(Table43[[#This Row],[Kode BARANG Win2]],Table43[[#This Row],[No. Urut
Item Sama]])</f>
        <v>F40711040085101</v>
      </c>
      <c r="B161" s="7">
        <v>1</v>
      </c>
      <c r="C161" s="4">
        <v>126</v>
      </c>
      <c r="D161" s="27" t="s">
        <v>462</v>
      </c>
      <c r="E161" s="27" t="s">
        <v>632</v>
      </c>
      <c r="F161" s="27" t="s">
        <v>583</v>
      </c>
      <c r="G161" s="27">
        <v>48</v>
      </c>
      <c r="H161" s="54" t="s">
        <v>660</v>
      </c>
      <c r="I161" s="27" t="str">
        <f>Table43[[#This Row],[Nama Jenis Kemasan]]</f>
        <v>PCH</v>
      </c>
      <c r="J161" s="4" t="str">
        <f>TRIM(CONCATENATE(Table43[[#This Row],[Nama            KLP]]," ",Table43[[#This Row],[Nama            Sub KLP]]))</f>
        <v>ZEN BCL</v>
      </c>
      <c r="K161" s="4" t="str">
        <f>CONCATENATE(Table43[[#This Row],[kode  2 Digit                (hrf+No)]],Table43[[#This Row],[kode  2 Digit                (Nomor)]],Table43[[#This Row],[kode  1 Digit                (Nomor)]])</f>
        <v>F4071</v>
      </c>
      <c r="L161" s="4" t="str">
        <f>IF(AG161="",CONCATENATE(Q161,S161,U161,W161,Y161,AA161,AC161,AE161,Table43[[#This Row],[Tanda Kode Revisi]]),CONCATENATE(Q161,S161,U161,W161,Y161,AA161,AC161,AG161))</f>
        <v>F4071104008510</v>
      </c>
      <c r="M161" s="11">
        <f t="shared" si="16"/>
        <v>14</v>
      </c>
      <c r="N161" s="14" t="str">
        <f>IF(AF161&lt;&gt;"",TRIM(UPPER(CONCATENATE(P161," ",R161," ",T161," ",V161," ",X161," ",Z161," ","X"," ",Table43[[#This Row],[ISI/CTN]]," ",AF161," ",AB161," ",AD161," ",AH161))),TRIM(UPPER(CONCATENATE(P161," ",R161," ",T161," ",V161," ",X161," ",Z161," ","X"," ",Table43[[#This Row],[ISI/CTN]]," ",AB161," ",AD161," ",AH161))))</f>
        <v>ZEN BCL REF SHISO &amp; SEA SALT 85ML X 48 PCH</v>
      </c>
      <c r="O161" s="11">
        <f t="shared" si="17"/>
        <v>42</v>
      </c>
      <c r="Q161" s="7" t="s">
        <v>662</v>
      </c>
      <c r="R161" s="4" t="s">
        <v>629</v>
      </c>
      <c r="S161" s="48" t="s">
        <v>756</v>
      </c>
      <c r="T161" s="49" t="s">
        <v>775</v>
      </c>
      <c r="U161" s="7">
        <v>1</v>
      </c>
      <c r="V161" s="49" t="s">
        <v>776</v>
      </c>
      <c r="W161" s="48" t="s">
        <v>750</v>
      </c>
      <c r="X161" s="4" t="s">
        <v>722</v>
      </c>
      <c r="Y161" s="50" t="s">
        <v>753</v>
      </c>
      <c r="Z161" s="4" t="s">
        <v>720</v>
      </c>
      <c r="AA161" s="50" t="s">
        <v>767</v>
      </c>
      <c r="AB161" s="4" t="s">
        <v>671</v>
      </c>
      <c r="AC161" s="7">
        <v>1</v>
      </c>
      <c r="AE161" s="7">
        <v>0</v>
      </c>
      <c r="AI161" s="7" t="s">
        <v>178</v>
      </c>
      <c r="AJ161" s="7">
        <v>2</v>
      </c>
      <c r="AL161" s="38">
        <v>3336.5765765765759</v>
      </c>
      <c r="AM161" s="39">
        <f>Table43[[#This Row],[Harga Beli Pcs
(-PPN)]]*Table43[[#This Row],[ISI/CTN]]</f>
        <v>160155.67567567565</v>
      </c>
      <c r="AN161" s="39">
        <f>Table43[[#This Row],[Harga Beli Pcs
(-PPN)]]*1.11</f>
        <v>3703.5999999999995</v>
      </c>
      <c r="AO161" s="39">
        <f>Table43[[#This Row],[Harga Beli Krt
(- PPN)]]*1.11</f>
        <v>177772.79999999999</v>
      </c>
      <c r="AP161" s="39">
        <v>3603.6036036036035</v>
      </c>
      <c r="AQ161" s="39">
        <f>Table43[[#This Row],[Harga Jual Pcs GT
(-PPN)]]*Table43[[#This Row],[ISI/CTN]]</f>
        <v>172972.97297297296</v>
      </c>
      <c r="AR161" s="39">
        <f>Table43[[#This Row],[Harga Jual Pcs GT
(-PPN)]]*1.11</f>
        <v>4000</v>
      </c>
      <c r="AS161" s="39">
        <f>Table43[[#This Row],[Harga Jual Krt GT
(- PPN)]]*1.11</f>
        <v>192000</v>
      </c>
      <c r="AT161" s="39"/>
      <c r="AU161" s="39">
        <f>Table43[[#This Row],[Harga Jual Pcs MT
(-PPN)]]*Table43[[#This Row],[ISI/CTN]]</f>
        <v>0</v>
      </c>
      <c r="AV161" s="39">
        <f>Table43[[#This Row],[Harga Jual Pcs MT
(-PPN)]]*1.11</f>
        <v>0</v>
      </c>
      <c r="AW161" s="39">
        <f>Table43[[#This Row],[Harga Jual Pcs MT
(+PPN)]]*Table43[[#This Row],[ISI/CTN]]</f>
        <v>0</v>
      </c>
      <c r="AX161" s="47">
        <f>IFERROR((Table43[[#This Row],[Harga Jual Pcs GT
(-PPN)]]-Table43[[#This Row],[Harga Beli Pcs
(-PPN)]])/Table43[[#This Row],[Harga Jual Pcs GT
(-PPN)]],0)</f>
        <v>7.4100000000000152E-2</v>
      </c>
      <c r="AY161" s="51">
        <v>45848</v>
      </c>
      <c r="AZ161" s="7"/>
      <c r="BA161" s="7" t="str">
        <f ca="1">IF(TODAY()-Table43[[#This Row],[Efektif
Pembuatan]]&gt;60,"Lama","Baru")</f>
        <v>Lama</v>
      </c>
      <c r="BB161" s="7" t="str">
        <f ca="1">IF(TODAY()-Table43[[#This Row],[Efektif Naik Harga]]&lt;30,"Naik","Sama")</f>
        <v>Sama</v>
      </c>
      <c r="BC161" s="7" t="s">
        <v>185</v>
      </c>
      <c r="BD161" s="7" t="str">
        <f>IF(Table43[[#This Row],[Kode BARANG Win2]]&lt;&gt;"","IDR","")</f>
        <v>IDR</v>
      </c>
      <c r="BE161" s="7" t="str">
        <f>CONCATENATE(Table43[[#This Row],[kode  1 Digit
(Nomor)]],Table43[[#This Row],[kode  4 Digit                (Nomor)]])</f>
        <v>20085</v>
      </c>
      <c r="BF161" s="7" t="str">
        <f>Table43[[#This Row],[Nama            Gramasi atau Jumlah Pack per CTN]]</f>
        <v>85ML</v>
      </c>
      <c r="BG161" s="7" t="s">
        <v>1060</v>
      </c>
      <c r="BH161" s="7" t="s">
        <v>377</v>
      </c>
      <c r="BI161" s="4" t="str">
        <f>IF(Table43[[#This Row],[SATUAN Fix Win]]&lt;&gt;"","KRT")</f>
        <v>KRT</v>
      </c>
      <c r="BJ161" s="4" t="str">
        <f>IF(Table43[[#This Row],[SATUAN Fix Win]]&lt;&gt;"","GD01")</f>
        <v>GD01</v>
      </c>
      <c r="BK161" s="4">
        <f>IF(Table43[[#This Row],[SATUAN Fix Win]]&lt;&gt;"",11611)</f>
        <v>11611</v>
      </c>
      <c r="BL161" s="4">
        <f>IF(Table43[[#This Row],[SATUAN Fix Win]]&lt;&gt;"",11612)</f>
        <v>11612</v>
      </c>
      <c r="BM161" s="52" t="s">
        <v>378</v>
      </c>
      <c r="BN161" s="4">
        <f>IF(Table43[[#This Row],[SATUAN Fix Win]]&lt;&gt;"",1)</f>
        <v>1</v>
      </c>
      <c r="BO161" s="4" t="s">
        <v>637</v>
      </c>
    </row>
    <row r="162" spans="1:70">
      <c r="A162" s="4" t="str">
        <f>CONCATENATE(Table43[[#This Row],[Kode BARANG Win2]],Table43[[#This Row],[No. Urut
Item Sama]])</f>
        <v>F40711040400111</v>
      </c>
      <c r="B162" s="7">
        <v>1</v>
      </c>
      <c r="C162" s="4">
        <v>127</v>
      </c>
      <c r="D162" s="27" t="s">
        <v>1086</v>
      </c>
      <c r="E162" s="27" t="s">
        <v>1070</v>
      </c>
      <c r="F162" s="27" t="s">
        <v>1075</v>
      </c>
      <c r="G162" s="27">
        <v>24</v>
      </c>
      <c r="H162" s="54">
        <v>8992946532136</v>
      </c>
      <c r="I162" s="27" t="str">
        <f>Table43[[#This Row],[Nama Jenis Kemasan]]</f>
        <v>PCH</v>
      </c>
      <c r="J162" s="4" t="str">
        <f>TRIM(CONCATENATE(Table43[[#This Row],[Nama            KLP]]," ",Table43[[#This Row],[Nama            Sub KLP]]))</f>
        <v>ZEN BCL</v>
      </c>
      <c r="K162" s="4" t="str">
        <f>CONCATENATE(Table43[[#This Row],[kode  2 Digit                (hrf+No)]],Table43[[#This Row],[kode  2 Digit                (Nomor)]],Table43[[#This Row],[kode  1 Digit                (Nomor)]])</f>
        <v>F4071</v>
      </c>
      <c r="L162" s="4" t="str">
        <f>IF(AG162="",CONCATENATE(Q162,S162,U162,W162,Y162,AA162,AC162,AE162,Table43[[#This Row],[Tanda Kode Revisi]]),CONCATENATE(Q162,S162,U162,W162,Y162,AA162,AC162,AG162))</f>
        <v>F4071104040011</v>
      </c>
      <c r="M162" s="11">
        <f>LEN(L162)</f>
        <v>14</v>
      </c>
      <c r="N162" s="14" t="str">
        <f>IF(AF162&lt;&gt;"",TRIM(UPPER(CONCATENATE(P162," ",R162," ",T162," ",V162," ",X162," ",Z162," ","X"," ",Table43[[#This Row],[ISI/CTN]]," ",AF162," ",AB162," ",AD162," ",AH162))),TRIM(UPPER(CONCATENATE(P162," ",R162," ",T162," ",V162," ",X162," ",Z162," ","X"," ",Table43[[#This Row],[ISI/CTN]]," ",AB162," ",AD162," ",AH162))))</f>
        <v>ZEN BCL REF SHISO &amp; SEA SALT 400ML X 24 PCH BND</v>
      </c>
      <c r="O162" s="11">
        <f>LEN(N162)</f>
        <v>47</v>
      </c>
      <c r="Q162" s="7" t="s">
        <v>662</v>
      </c>
      <c r="R162" s="4" t="s">
        <v>629</v>
      </c>
      <c r="S162" s="48" t="s">
        <v>756</v>
      </c>
      <c r="T162" s="49" t="s">
        <v>775</v>
      </c>
      <c r="U162" s="7">
        <v>1</v>
      </c>
      <c r="V162" s="49" t="s">
        <v>776</v>
      </c>
      <c r="W162" s="48" t="s">
        <v>750</v>
      </c>
      <c r="X162" s="4" t="s">
        <v>722</v>
      </c>
      <c r="Y162" s="50" t="s">
        <v>753</v>
      </c>
      <c r="Z162" s="4" t="s">
        <v>670</v>
      </c>
      <c r="AA162" s="50" t="s">
        <v>739</v>
      </c>
      <c r="AB162" s="4" t="s">
        <v>671</v>
      </c>
      <c r="AC162" s="7">
        <v>1</v>
      </c>
      <c r="AD162" s="4" t="s">
        <v>1074</v>
      </c>
      <c r="AE162" s="7">
        <v>1</v>
      </c>
      <c r="AI162" s="7" t="s">
        <v>178</v>
      </c>
      <c r="AJ162" s="7">
        <v>2</v>
      </c>
      <c r="AL162" s="38">
        <v>18351.171171171172</v>
      </c>
      <c r="AM162" s="39">
        <f>Table43[[#This Row],[Harga Beli Pcs
(-PPN)]]*Table43[[#This Row],[ISI/CTN]]</f>
        <v>440428.10810810816</v>
      </c>
      <c r="AN162" s="39">
        <f>Table43[[#This Row],[Harga Beli Pcs
(-PPN)]]*1.11</f>
        <v>20369.800000000003</v>
      </c>
      <c r="AO162" s="39">
        <f>Table43[[#This Row],[Harga Beli Krt
(- PPN)]]*1.11</f>
        <v>488875.20000000013</v>
      </c>
      <c r="AP162" s="39">
        <v>19819.819819819819</v>
      </c>
      <c r="AQ162" s="39">
        <f>Table43[[#This Row],[Harga Jual Pcs GT
(-PPN)]]*Table43[[#This Row],[ISI/CTN]]</f>
        <v>475675.67567567562</v>
      </c>
      <c r="AR162" s="39">
        <f>Table43[[#This Row],[Harga Jual Pcs GT
(-PPN)]]*1.11</f>
        <v>22000</v>
      </c>
      <c r="AS162" s="39">
        <f>Table43[[#This Row],[Harga Jual Krt GT
(- PPN)]]*1.11</f>
        <v>528000</v>
      </c>
      <c r="AT162" s="39"/>
      <c r="AU162" s="39">
        <f>Table43[[#This Row],[Harga Jual Pcs MT
(-PPN)]]*Table43[[#This Row],[ISI/CTN]]</f>
        <v>0</v>
      </c>
      <c r="AV162" s="39">
        <f>Table43[[#This Row],[Harga Jual Pcs MT
(-PPN)]]*1.11</f>
        <v>0</v>
      </c>
      <c r="AW162" s="39">
        <f>Table43[[#This Row],[Harga Jual Pcs MT
(+PPN)]]*Table43[[#This Row],[ISI/CTN]]</f>
        <v>0</v>
      </c>
      <c r="AX162" s="47">
        <f>IFERROR((Table43[[#This Row],[Harga Jual Pcs GT
(-PPN)]]-Table43[[#This Row],[Harga Beli Pcs
(-PPN)]])/Table43[[#This Row],[Harga Jual Pcs GT
(-PPN)]],0)</f>
        <v>7.4099999999999888E-2</v>
      </c>
      <c r="AY162" s="51">
        <v>45864</v>
      </c>
      <c r="AZ162" s="7"/>
      <c r="BA162" s="7" t="str">
        <f ca="1">IF(TODAY()-Table43[[#This Row],[Efektif
Pembuatan]]&gt;60,"Lama","Baru")</f>
        <v>Lama</v>
      </c>
      <c r="BB162" s="7" t="str">
        <f ca="1">IF(TODAY()-Table43[[#This Row],[Efektif Naik Harga]]&lt;30,"Naik","Sama")</f>
        <v>Sama</v>
      </c>
      <c r="BC162" s="7" t="s">
        <v>185</v>
      </c>
      <c r="BD162" s="7" t="str">
        <f>IF(Table43[[#This Row],[Kode BARANG Win2]]&lt;&gt;"","IDR","")</f>
        <v>IDR</v>
      </c>
      <c r="BE162" s="7" t="str">
        <f>CONCATENATE(Table43[[#This Row],[kode  1 Digit
(Nomor)]],Table43[[#This Row],[kode  4 Digit                (Nomor)]])</f>
        <v>20400</v>
      </c>
      <c r="BF162" s="7" t="str">
        <f>Table43[[#This Row],[Nama            Gramasi atau Jumlah Pack per CTN]]</f>
        <v>400ML</v>
      </c>
      <c r="BG162" s="7"/>
      <c r="BH162" s="7"/>
      <c r="BI162" s="4" t="str">
        <f>IF(Table43[[#This Row],[SATUAN Fix Win]]&lt;&gt;"","KRT")</f>
        <v>KRT</v>
      </c>
      <c r="BJ162" s="4" t="str">
        <f>IF(Table43[[#This Row],[SATUAN Fix Win]]&lt;&gt;"","GD01")</f>
        <v>GD01</v>
      </c>
      <c r="BK162" s="4">
        <f>IF(Table43[[#This Row],[SATUAN Fix Win]]&lt;&gt;"",11611)</f>
        <v>11611</v>
      </c>
      <c r="BL162" s="4">
        <f>IF(Table43[[#This Row],[SATUAN Fix Win]]&lt;&gt;"",11612)</f>
        <v>11612</v>
      </c>
      <c r="BM162" s="52"/>
      <c r="BN162" s="4">
        <f>IF(Table43[[#This Row],[SATUAN Fix Win]]&lt;&gt;"",1)</f>
        <v>1</v>
      </c>
      <c r="BO162" s="4" t="s">
        <v>637</v>
      </c>
    </row>
    <row r="163" spans="1:70">
      <c r="A163" s="4" t="str">
        <f>CONCATENATE(Table43[[#This Row],[Kode BARANG Win2]],Table43[[#This Row],[No. Urut
Item Sama]])</f>
        <v>F40711050400101</v>
      </c>
      <c r="B163" s="7">
        <v>1</v>
      </c>
      <c r="C163" s="4">
        <v>128</v>
      </c>
      <c r="D163" s="27" t="s">
        <v>457</v>
      </c>
      <c r="E163" s="27" t="s">
        <v>629</v>
      </c>
      <c r="F163" s="27" t="s">
        <v>578</v>
      </c>
      <c r="G163" s="27">
        <v>24</v>
      </c>
      <c r="H163" s="54">
        <v>8992946533542</v>
      </c>
      <c r="I163" s="27" t="str">
        <f>Table43[[#This Row],[Nama Jenis Kemasan]]</f>
        <v>PCH</v>
      </c>
      <c r="J163" s="4" t="str">
        <f>TRIM(CONCATENATE(Table43[[#This Row],[Nama            KLP]]," ",Table43[[#This Row],[Nama            Sub KLP]]))</f>
        <v>ZEN BCL</v>
      </c>
      <c r="K163" s="4" t="str">
        <f>CONCATENATE(Table43[[#This Row],[kode  2 Digit                (hrf+No)]],Table43[[#This Row],[kode  2 Digit                (Nomor)]],Table43[[#This Row],[kode  1 Digit                (Nomor)]])</f>
        <v>F4071</v>
      </c>
      <c r="L163" s="4" t="str">
        <f>IF(AG163="",CONCATENATE(Q163,S163,U163,W163,Y163,AA163,AC163,AE163,Table43[[#This Row],[Tanda Kode Revisi]]),CONCATENATE(Q163,S163,U163,W163,Y163,AA163,AC163,AG163))</f>
        <v>F4071105040010</v>
      </c>
      <c r="M163" s="11">
        <f t="shared" si="16"/>
        <v>14</v>
      </c>
      <c r="N163" s="14" t="str">
        <f>IF(AF163&lt;&gt;"",TRIM(UPPER(CONCATENATE(P163," ",R163," ",T163," ",V163," ",X163," ",Z163," ","X"," ",Table43[[#This Row],[ISI/CTN]]," ",AF163," ",AB163," ",AD163," ",AH163))),TRIM(UPPER(CONCATENATE(P163," ",R163," ",T163," ",V163," ",X163," ",Z163," ","X"," ",Table43[[#This Row],[ISI/CTN]]," ",AB163," ",AD163," ",AH163))))</f>
        <v>ZEN BCL REF SHISO &amp; TEA TREE 400ML X 24 PCH</v>
      </c>
      <c r="O163" s="11">
        <f t="shared" si="17"/>
        <v>43</v>
      </c>
      <c r="Q163" s="7" t="s">
        <v>662</v>
      </c>
      <c r="R163" s="4" t="s">
        <v>629</v>
      </c>
      <c r="S163" s="48" t="s">
        <v>756</v>
      </c>
      <c r="T163" s="49" t="s">
        <v>775</v>
      </c>
      <c r="U163" s="7">
        <v>1</v>
      </c>
      <c r="V163" s="49" t="s">
        <v>776</v>
      </c>
      <c r="W163" s="48" t="s">
        <v>750</v>
      </c>
      <c r="X163" s="4" t="s">
        <v>724</v>
      </c>
      <c r="Y163" s="50" t="s">
        <v>754</v>
      </c>
      <c r="Z163" s="4" t="s">
        <v>670</v>
      </c>
      <c r="AA163" s="50" t="s">
        <v>739</v>
      </c>
      <c r="AB163" s="4" t="s">
        <v>671</v>
      </c>
      <c r="AC163" s="7">
        <v>1</v>
      </c>
      <c r="AE163" s="7">
        <v>0</v>
      </c>
      <c r="AI163" s="7" t="s">
        <v>178</v>
      </c>
      <c r="AJ163" s="7">
        <v>2</v>
      </c>
      <c r="AL163" s="38">
        <v>18351.171171171172</v>
      </c>
      <c r="AM163" s="39">
        <f>Table43[[#This Row],[Harga Beli Pcs
(-PPN)]]*Table43[[#This Row],[ISI/CTN]]</f>
        <v>440428.10810810816</v>
      </c>
      <c r="AN163" s="39">
        <f>Table43[[#This Row],[Harga Beli Pcs
(-PPN)]]*1.11</f>
        <v>20369.800000000003</v>
      </c>
      <c r="AO163" s="39">
        <f>Table43[[#This Row],[Harga Beli Krt
(- PPN)]]*1.11</f>
        <v>488875.20000000013</v>
      </c>
      <c r="AP163" s="39">
        <v>19819.819819819819</v>
      </c>
      <c r="AQ163" s="39">
        <f>Table43[[#This Row],[Harga Jual Pcs GT
(-PPN)]]*Table43[[#This Row],[ISI/CTN]]</f>
        <v>475675.67567567562</v>
      </c>
      <c r="AR163" s="39">
        <f>Table43[[#This Row],[Harga Jual Pcs GT
(-PPN)]]*1.11</f>
        <v>22000</v>
      </c>
      <c r="AS163" s="39">
        <f>Table43[[#This Row],[Harga Jual Krt GT
(- PPN)]]*1.11</f>
        <v>528000</v>
      </c>
      <c r="AT163" s="39"/>
      <c r="AU163" s="39">
        <f>Table43[[#This Row],[Harga Jual Pcs MT
(-PPN)]]*Table43[[#This Row],[ISI/CTN]]</f>
        <v>0</v>
      </c>
      <c r="AV163" s="39">
        <f>Table43[[#This Row],[Harga Jual Pcs MT
(-PPN)]]*1.11</f>
        <v>0</v>
      </c>
      <c r="AW163" s="39">
        <f>Table43[[#This Row],[Harga Jual Pcs MT
(+PPN)]]*Table43[[#This Row],[ISI/CTN]]</f>
        <v>0</v>
      </c>
      <c r="AX163" s="47">
        <f>IFERROR((Table43[[#This Row],[Harga Jual Pcs GT
(-PPN)]]-Table43[[#This Row],[Harga Beli Pcs
(-PPN)]])/Table43[[#This Row],[Harga Jual Pcs GT
(-PPN)]],0)</f>
        <v>7.4099999999999888E-2</v>
      </c>
      <c r="AY163" s="51">
        <v>45848</v>
      </c>
      <c r="AZ163" s="7"/>
      <c r="BA163" s="7" t="str">
        <f ca="1">IF(TODAY()-Table43[[#This Row],[Efektif
Pembuatan]]&gt;60,"Lama","Baru")</f>
        <v>Lama</v>
      </c>
      <c r="BB163" s="7" t="str">
        <f ca="1">IF(TODAY()-Table43[[#This Row],[Efektif Naik Harga]]&lt;30,"Naik","Sama")</f>
        <v>Sama</v>
      </c>
      <c r="BC163" s="7" t="s">
        <v>185</v>
      </c>
      <c r="BD163" s="7" t="str">
        <f>IF(Table43[[#This Row],[Kode BARANG Win2]]&lt;&gt;"","IDR","")</f>
        <v>IDR</v>
      </c>
      <c r="BE163" s="7" t="str">
        <f>CONCATENATE(Table43[[#This Row],[kode  1 Digit
(Nomor)]],Table43[[#This Row],[kode  4 Digit                (Nomor)]])</f>
        <v>20400</v>
      </c>
      <c r="BF163" s="7" t="str">
        <f>Table43[[#This Row],[Nama            Gramasi atau Jumlah Pack per CTN]]</f>
        <v>400ML</v>
      </c>
      <c r="BG163" s="7" t="s">
        <v>1060</v>
      </c>
      <c r="BH163" s="7" t="s">
        <v>377</v>
      </c>
      <c r="BI163" s="4" t="str">
        <f>IF(Table43[[#This Row],[SATUAN Fix Win]]&lt;&gt;"","KRT")</f>
        <v>KRT</v>
      </c>
      <c r="BJ163" s="4" t="str">
        <f>IF(Table43[[#This Row],[SATUAN Fix Win]]&lt;&gt;"","GD01")</f>
        <v>GD01</v>
      </c>
      <c r="BK163" s="4">
        <f>IF(Table43[[#This Row],[SATUAN Fix Win]]&lt;&gt;"",11611)</f>
        <v>11611</v>
      </c>
      <c r="BL163" s="4">
        <f>IF(Table43[[#This Row],[SATUAN Fix Win]]&lt;&gt;"",11612)</f>
        <v>11612</v>
      </c>
      <c r="BM163" s="52" t="s">
        <v>378</v>
      </c>
      <c r="BN163" s="4">
        <f>IF(Table43[[#This Row],[SATUAN Fix Win]]&lt;&gt;"",1)</f>
        <v>1</v>
      </c>
      <c r="BO163" s="4" t="s">
        <v>637</v>
      </c>
    </row>
    <row r="164" spans="1:70">
      <c r="A164" s="4" t="str">
        <f>CONCATENATE(Table43[[#This Row],[Kode BARANG Win2]],Table43[[#This Row],[No. Urut
Item Sama]])</f>
        <v>F40711050085101</v>
      </c>
      <c r="B164" s="7">
        <v>1</v>
      </c>
      <c r="C164" s="4">
        <v>129</v>
      </c>
      <c r="D164" s="27" t="s">
        <v>459</v>
      </c>
      <c r="E164" s="27" t="s">
        <v>632</v>
      </c>
      <c r="F164" s="27" t="s">
        <v>580</v>
      </c>
      <c r="G164" s="27">
        <v>48</v>
      </c>
      <c r="H164" s="54" t="s">
        <v>659</v>
      </c>
      <c r="I164" s="27" t="str">
        <f>Table43[[#This Row],[Nama Jenis Kemasan]]</f>
        <v>PCH</v>
      </c>
      <c r="J164" s="4" t="str">
        <f>TRIM(CONCATENATE(Table43[[#This Row],[Nama            KLP]]," ",Table43[[#This Row],[Nama            Sub KLP]]))</f>
        <v>ZEN BCL</v>
      </c>
      <c r="K164" s="4" t="str">
        <f>CONCATENATE(Table43[[#This Row],[kode  2 Digit                (hrf+No)]],Table43[[#This Row],[kode  2 Digit                (Nomor)]],Table43[[#This Row],[kode  1 Digit                (Nomor)]])</f>
        <v>F4071</v>
      </c>
      <c r="L164" s="4" t="str">
        <f>IF(AG164="",CONCATENATE(Q164,S164,U164,W164,Y164,AA164,AC164,AE164,Table43[[#This Row],[Tanda Kode Revisi]]),CONCATENATE(Q164,S164,U164,W164,Y164,AA164,AC164,AG164))</f>
        <v>F4071105008510</v>
      </c>
      <c r="M164" s="11">
        <f t="shared" si="16"/>
        <v>14</v>
      </c>
      <c r="N164" s="14" t="str">
        <f>IF(AF164&lt;&gt;"",TRIM(UPPER(CONCATENATE(P164," ",R164," ",T164," ",V164," ",X164," ",Z164," ","X"," ",Table43[[#This Row],[ISI/CTN]]," ",AF164," ",AB164," ",AD164," ",AH164))),TRIM(UPPER(CONCATENATE(P164," ",R164," ",T164," ",V164," ",X164," ",Z164," ","X"," ",Table43[[#This Row],[ISI/CTN]]," ",AB164," ",AD164," ",AH164))))</f>
        <v>ZEN BCL REF SHISO &amp; TEA TREE 85ML X 48 PCH</v>
      </c>
      <c r="O164" s="11">
        <f t="shared" si="17"/>
        <v>42</v>
      </c>
      <c r="Q164" s="7" t="s">
        <v>662</v>
      </c>
      <c r="R164" s="4" t="s">
        <v>629</v>
      </c>
      <c r="S164" s="48" t="s">
        <v>756</v>
      </c>
      <c r="T164" s="49" t="s">
        <v>775</v>
      </c>
      <c r="U164" s="7">
        <v>1</v>
      </c>
      <c r="V164" s="49" t="s">
        <v>776</v>
      </c>
      <c r="W164" s="48" t="s">
        <v>750</v>
      </c>
      <c r="X164" s="4" t="s">
        <v>724</v>
      </c>
      <c r="Y164" s="50" t="s">
        <v>754</v>
      </c>
      <c r="Z164" s="4" t="s">
        <v>720</v>
      </c>
      <c r="AA164" s="50" t="s">
        <v>767</v>
      </c>
      <c r="AB164" s="4" t="s">
        <v>671</v>
      </c>
      <c r="AC164" s="7">
        <v>1</v>
      </c>
      <c r="AE164" s="7">
        <v>0</v>
      </c>
      <c r="AI164" s="7" t="s">
        <v>178</v>
      </c>
      <c r="AJ164" s="7">
        <v>2</v>
      </c>
      <c r="AL164" s="38">
        <v>3336.5765765765759</v>
      </c>
      <c r="AM164" s="39">
        <f>Table43[[#This Row],[Harga Beli Pcs
(-PPN)]]*Table43[[#This Row],[ISI/CTN]]</f>
        <v>160155.67567567565</v>
      </c>
      <c r="AN164" s="39">
        <f>Table43[[#This Row],[Harga Beli Pcs
(-PPN)]]*1.11</f>
        <v>3703.5999999999995</v>
      </c>
      <c r="AO164" s="39">
        <f>Table43[[#This Row],[Harga Beli Krt
(- PPN)]]*1.11</f>
        <v>177772.79999999999</v>
      </c>
      <c r="AP164" s="39">
        <v>3603.6036036036035</v>
      </c>
      <c r="AQ164" s="39">
        <f>Table43[[#This Row],[Harga Jual Pcs GT
(-PPN)]]*Table43[[#This Row],[ISI/CTN]]</f>
        <v>172972.97297297296</v>
      </c>
      <c r="AR164" s="39">
        <f>Table43[[#This Row],[Harga Jual Pcs GT
(-PPN)]]*1.11</f>
        <v>4000</v>
      </c>
      <c r="AS164" s="39">
        <f>Table43[[#This Row],[Harga Jual Krt GT
(- PPN)]]*1.11</f>
        <v>192000</v>
      </c>
      <c r="AT164" s="39"/>
      <c r="AU164" s="39">
        <f>Table43[[#This Row],[Harga Jual Pcs MT
(-PPN)]]*Table43[[#This Row],[ISI/CTN]]</f>
        <v>0</v>
      </c>
      <c r="AV164" s="39">
        <f>Table43[[#This Row],[Harga Jual Pcs MT
(-PPN)]]*1.11</f>
        <v>0</v>
      </c>
      <c r="AW164" s="39">
        <f>Table43[[#This Row],[Harga Jual Pcs MT
(+PPN)]]*Table43[[#This Row],[ISI/CTN]]</f>
        <v>0</v>
      </c>
      <c r="AX164" s="47">
        <f>IFERROR((Table43[[#This Row],[Harga Jual Pcs GT
(-PPN)]]-Table43[[#This Row],[Harga Beli Pcs
(-PPN)]])/Table43[[#This Row],[Harga Jual Pcs GT
(-PPN)]],0)</f>
        <v>7.4100000000000152E-2</v>
      </c>
      <c r="AY164" s="51">
        <v>45848</v>
      </c>
      <c r="AZ164" s="7"/>
      <c r="BA164" s="7" t="str">
        <f ca="1">IF(TODAY()-Table43[[#This Row],[Efektif
Pembuatan]]&gt;60,"Lama","Baru")</f>
        <v>Lama</v>
      </c>
      <c r="BB164" s="7" t="str">
        <f ca="1">IF(TODAY()-Table43[[#This Row],[Efektif Naik Harga]]&lt;30,"Naik","Sama")</f>
        <v>Sama</v>
      </c>
      <c r="BC164" s="7" t="s">
        <v>185</v>
      </c>
      <c r="BD164" s="7" t="str">
        <f>IF(Table43[[#This Row],[Kode BARANG Win2]]&lt;&gt;"","IDR","")</f>
        <v>IDR</v>
      </c>
      <c r="BE164" s="7" t="str">
        <f>CONCATENATE(Table43[[#This Row],[kode  1 Digit
(Nomor)]],Table43[[#This Row],[kode  4 Digit                (Nomor)]])</f>
        <v>20085</v>
      </c>
      <c r="BF164" s="7" t="str">
        <f>Table43[[#This Row],[Nama            Gramasi atau Jumlah Pack per CTN]]</f>
        <v>85ML</v>
      </c>
      <c r="BG164" s="7" t="s">
        <v>1060</v>
      </c>
      <c r="BH164" s="7" t="s">
        <v>377</v>
      </c>
      <c r="BI164" s="4" t="str">
        <f>IF(Table43[[#This Row],[SATUAN Fix Win]]&lt;&gt;"","KRT")</f>
        <v>KRT</v>
      </c>
      <c r="BJ164" s="4" t="str">
        <f>IF(Table43[[#This Row],[SATUAN Fix Win]]&lt;&gt;"","GD01")</f>
        <v>GD01</v>
      </c>
      <c r="BK164" s="4">
        <f>IF(Table43[[#This Row],[SATUAN Fix Win]]&lt;&gt;"",11611)</f>
        <v>11611</v>
      </c>
      <c r="BL164" s="4">
        <f>IF(Table43[[#This Row],[SATUAN Fix Win]]&lt;&gt;"",11612)</f>
        <v>11612</v>
      </c>
      <c r="BM164" s="52" t="s">
        <v>378</v>
      </c>
      <c r="BN164" s="4">
        <f>IF(Table43[[#This Row],[SATUAN Fix Win]]&lt;&gt;"",1)</f>
        <v>1</v>
      </c>
      <c r="BO164" s="4" t="s">
        <v>637</v>
      </c>
    </row>
    <row r="165" spans="1:70">
      <c r="A165" s="4" t="str">
        <f>CONCATENATE(Table43[[#This Row],[Kode BARANG Win2]],Table43[[#This Row],[No. Urut
Item Sama]])</f>
        <v>F40710010480301</v>
      </c>
      <c r="B165" s="7">
        <v>1</v>
      </c>
      <c r="C165" s="4">
        <v>130</v>
      </c>
      <c r="D165" s="27" t="s">
        <v>464</v>
      </c>
      <c r="E165" s="27" t="s">
        <v>629</v>
      </c>
      <c r="F165" s="27" t="s">
        <v>585</v>
      </c>
      <c r="G165" s="27">
        <v>24</v>
      </c>
      <c r="H165" s="54">
        <v>8992946533709</v>
      </c>
      <c r="I165" s="27" t="str">
        <f>Table43[[#This Row],[Nama Jenis Kemasan]]</f>
        <v>PUMP</v>
      </c>
      <c r="J165" s="4" t="str">
        <f>TRIM(CONCATENATE(Table43[[#This Row],[Nama            KLP]]," ",Table43[[#This Row],[Nama            Sub KLP]]))</f>
        <v>ZEN BCL</v>
      </c>
      <c r="K165" s="4" t="str">
        <f>CONCATENATE(Table43[[#This Row],[kode  2 Digit                (hrf+No)]],Table43[[#This Row],[kode  2 Digit                (Nomor)]],Table43[[#This Row],[kode  1 Digit                (Nomor)]])</f>
        <v>F4071</v>
      </c>
      <c r="L165" s="4" t="str">
        <f>IF(AG165="",CONCATENATE(Q165,S165,U165,W165,Y165,AA165,AC165,AE165,Table43[[#This Row],[Tanda Kode Revisi]]),CONCATENATE(Q165,S165,U165,W165,Y165,AA165,AC165,AG165))</f>
        <v>F4071001048030</v>
      </c>
      <c r="M165" s="11">
        <f t="shared" si="16"/>
        <v>14</v>
      </c>
      <c r="N165" s="14" t="str">
        <f>IF(AF165&lt;&gt;"",TRIM(UPPER(CONCATENATE(P165," ",R165," ",T165," ",V165," ",X165," ",Z165," ","X"," ",Table43[[#This Row],[ISI/CTN]]," ",AF165," ",AB165," ",AD165," ",AH165))),TRIM(UPPER(CONCATENATE(P165," ",R165," ",T165," ",V165," ",X165," ",Z165," ","X"," ",Table43[[#This Row],[ISI/CTN]]," ",AB165," ",AD165," ",AH165))))</f>
        <v>ZEN BCL SHISO &amp; ECHINACEA 480ML X 24 PUMP</v>
      </c>
      <c r="O165" s="11">
        <f t="shared" si="17"/>
        <v>41</v>
      </c>
      <c r="Q165" s="7" t="s">
        <v>662</v>
      </c>
      <c r="R165" s="4" t="s">
        <v>629</v>
      </c>
      <c r="S165" s="48" t="s">
        <v>756</v>
      </c>
      <c r="T165" s="49" t="s">
        <v>775</v>
      </c>
      <c r="U165" s="7">
        <v>1</v>
      </c>
      <c r="V165" s="49"/>
      <c r="W165" s="48" t="s">
        <v>370</v>
      </c>
      <c r="X165" s="4" t="s">
        <v>726</v>
      </c>
      <c r="Y165" s="50" t="s">
        <v>749</v>
      </c>
      <c r="Z165" s="4" t="s">
        <v>673</v>
      </c>
      <c r="AA165" s="50" t="s">
        <v>740</v>
      </c>
      <c r="AB165" s="4" t="s">
        <v>730</v>
      </c>
      <c r="AC165" s="7">
        <v>3</v>
      </c>
      <c r="AE165" s="7">
        <v>0</v>
      </c>
      <c r="AI165" s="7" t="s">
        <v>178</v>
      </c>
      <c r="AJ165" s="7">
        <v>2</v>
      </c>
      <c r="AL165" s="38">
        <v>31697.477477477474</v>
      </c>
      <c r="AM165" s="39">
        <f>Table43[[#This Row],[Harga Beli Pcs
(-PPN)]]*Table43[[#This Row],[ISI/CTN]]</f>
        <v>760739.45945945941</v>
      </c>
      <c r="AN165" s="39">
        <f>Table43[[#This Row],[Harga Beli Pcs
(-PPN)]]*1.11</f>
        <v>35184.199999999997</v>
      </c>
      <c r="AO165" s="39">
        <f>Table43[[#This Row],[Harga Beli Krt
(- PPN)]]*1.11</f>
        <v>844420.8</v>
      </c>
      <c r="AP165" s="39">
        <v>34234.234234234231</v>
      </c>
      <c r="AQ165" s="39">
        <f>Table43[[#This Row],[Harga Jual Pcs GT
(-PPN)]]*Table43[[#This Row],[ISI/CTN]]</f>
        <v>821621.62162162154</v>
      </c>
      <c r="AR165" s="39">
        <f>Table43[[#This Row],[Harga Jual Pcs GT
(-PPN)]]*1.11</f>
        <v>38000</v>
      </c>
      <c r="AS165" s="39">
        <f>Table43[[#This Row],[Harga Jual Krt GT
(- PPN)]]*1.11</f>
        <v>912000</v>
      </c>
      <c r="AT165" s="39"/>
      <c r="AU165" s="39">
        <f>Table43[[#This Row],[Harga Jual Pcs MT
(-PPN)]]*Table43[[#This Row],[ISI/CTN]]</f>
        <v>0</v>
      </c>
      <c r="AV165" s="39">
        <f>Table43[[#This Row],[Harga Jual Pcs MT
(-PPN)]]*1.11</f>
        <v>0</v>
      </c>
      <c r="AW165" s="39">
        <f>Table43[[#This Row],[Harga Jual Pcs MT
(+PPN)]]*Table43[[#This Row],[ISI/CTN]]</f>
        <v>0</v>
      </c>
      <c r="AX165" s="47">
        <f>IFERROR((Table43[[#This Row],[Harga Jual Pcs GT
(-PPN)]]-Table43[[#This Row],[Harga Beli Pcs
(-PPN)]])/Table43[[#This Row],[Harga Jual Pcs GT
(-PPN)]],0)</f>
        <v>7.4099999999999999E-2</v>
      </c>
      <c r="AY165" s="51">
        <v>45848</v>
      </c>
      <c r="AZ165" s="7"/>
      <c r="BA165" s="7" t="str">
        <f ca="1">IF(TODAY()-Table43[[#This Row],[Efektif
Pembuatan]]&gt;60,"Lama","Baru")</f>
        <v>Lama</v>
      </c>
      <c r="BB165" s="7" t="str">
        <f ca="1">IF(TODAY()-Table43[[#This Row],[Efektif Naik Harga]]&lt;30,"Naik","Sama")</f>
        <v>Sama</v>
      </c>
      <c r="BC165" s="7" t="s">
        <v>185</v>
      </c>
      <c r="BD165" s="7" t="str">
        <f>IF(Table43[[#This Row],[Kode BARANG Win2]]&lt;&gt;"","IDR","")</f>
        <v>IDR</v>
      </c>
      <c r="BE165" s="7" t="str">
        <f>CONCATENATE(Table43[[#This Row],[kode  1 Digit
(Nomor)]],Table43[[#This Row],[kode  4 Digit                (Nomor)]])</f>
        <v>20480</v>
      </c>
      <c r="BF165" s="7" t="str">
        <f>Table43[[#This Row],[Nama            Gramasi atau Jumlah Pack per CTN]]</f>
        <v>480ML</v>
      </c>
      <c r="BG165" s="7" t="s">
        <v>1060</v>
      </c>
      <c r="BH165" s="7" t="s">
        <v>377</v>
      </c>
      <c r="BI165" s="4" t="str">
        <f>IF(Table43[[#This Row],[SATUAN Fix Win]]&lt;&gt;"","KRT")</f>
        <v>KRT</v>
      </c>
      <c r="BJ165" s="4" t="str">
        <f>IF(Table43[[#This Row],[SATUAN Fix Win]]&lt;&gt;"","GD01")</f>
        <v>GD01</v>
      </c>
      <c r="BK165" s="4">
        <f>IF(Table43[[#This Row],[SATUAN Fix Win]]&lt;&gt;"",11611)</f>
        <v>11611</v>
      </c>
      <c r="BL165" s="4">
        <f>IF(Table43[[#This Row],[SATUAN Fix Win]]&lt;&gt;"",11612)</f>
        <v>11612</v>
      </c>
      <c r="BM165" s="52" t="s">
        <v>378</v>
      </c>
      <c r="BN165" s="4">
        <f>IF(Table43[[#This Row],[SATUAN Fix Win]]&lt;&gt;"",1)</f>
        <v>1</v>
      </c>
      <c r="BO165" s="4" t="s">
        <v>637</v>
      </c>
    </row>
    <row r="166" spans="1:70">
      <c r="A166" s="4" t="str">
        <f>CONCATENATE(Table43[[#This Row],[Kode BARANG Win2]],Table43[[#This Row],[No. Urut
Item Sama]])</f>
        <v>F40710020480301</v>
      </c>
      <c r="B166" s="7">
        <v>1</v>
      </c>
      <c r="C166" s="4">
        <v>131</v>
      </c>
      <c r="D166" s="27" t="s">
        <v>468</v>
      </c>
      <c r="E166" s="27" t="s">
        <v>629</v>
      </c>
      <c r="F166" s="27" t="s">
        <v>589</v>
      </c>
      <c r="G166" s="27">
        <v>24</v>
      </c>
      <c r="H166" s="54">
        <v>8992946534973</v>
      </c>
      <c r="I166" s="27" t="str">
        <f>Table43[[#This Row],[Nama Jenis Kemasan]]</f>
        <v>PUMP</v>
      </c>
      <c r="J166" s="4" t="str">
        <f>TRIM(CONCATENATE(Table43[[#This Row],[Nama            KLP]]," ",Table43[[#This Row],[Nama            Sub KLP]]))</f>
        <v>ZEN BCL</v>
      </c>
      <c r="K166" s="4" t="str">
        <f>CONCATENATE(Table43[[#This Row],[kode  2 Digit                (hrf+No)]],Table43[[#This Row],[kode  2 Digit                (Nomor)]],Table43[[#This Row],[kode  1 Digit                (Nomor)]])</f>
        <v>F4071</v>
      </c>
      <c r="L166" s="4" t="str">
        <f>IF(AG166="",CONCATENATE(Q166,S166,U166,W166,Y166,AA166,AC166,AE166,Table43[[#This Row],[Tanda Kode Revisi]]),CONCATENATE(Q166,S166,U166,W166,Y166,AA166,AC166,AG166))</f>
        <v>F4071002048030</v>
      </c>
      <c r="M166" s="11">
        <f t="shared" si="16"/>
        <v>14</v>
      </c>
      <c r="N166" s="14" t="str">
        <f>IF(AF166&lt;&gt;"",TRIM(UPPER(CONCATENATE(P166," ",R166," ",T166," ",V166," ",X166," ",Z166," ","X"," ",Table43[[#This Row],[ISI/CTN]]," ",AF166," ",AB166," ",AD166," ",AH166))),TRIM(UPPER(CONCATENATE(P166," ",R166," ",T166," ",V166," ",X166," ",Z166," ","X"," ",Table43[[#This Row],[ISI/CTN]]," ",AB166," ",AD166," ",AH166))))</f>
        <v>ZEN BCL SHISO &amp; JUNIPER BERRIES 480ML X 24 PUMP</v>
      </c>
      <c r="O166" s="11">
        <f t="shared" si="17"/>
        <v>47</v>
      </c>
      <c r="Q166" s="7" t="s">
        <v>662</v>
      </c>
      <c r="R166" s="4" t="s">
        <v>629</v>
      </c>
      <c r="S166" s="48" t="s">
        <v>756</v>
      </c>
      <c r="T166" s="49" t="s">
        <v>775</v>
      </c>
      <c r="U166" s="7">
        <v>1</v>
      </c>
      <c r="V166" s="49"/>
      <c r="W166" s="48" t="s">
        <v>370</v>
      </c>
      <c r="X166" s="4" t="s">
        <v>727</v>
      </c>
      <c r="Y166" s="50" t="s">
        <v>751</v>
      </c>
      <c r="Z166" s="4" t="s">
        <v>673</v>
      </c>
      <c r="AA166" s="50" t="s">
        <v>740</v>
      </c>
      <c r="AB166" s="4" t="s">
        <v>730</v>
      </c>
      <c r="AC166" s="7">
        <v>3</v>
      </c>
      <c r="AE166" s="7">
        <v>0</v>
      </c>
      <c r="AI166" s="7" t="s">
        <v>178</v>
      </c>
      <c r="AJ166" s="7">
        <v>2</v>
      </c>
      <c r="AL166" s="38">
        <v>31697.477477477474</v>
      </c>
      <c r="AM166" s="39">
        <f>Table43[[#This Row],[Harga Beli Pcs
(-PPN)]]*Table43[[#This Row],[ISI/CTN]]</f>
        <v>760739.45945945941</v>
      </c>
      <c r="AN166" s="39">
        <f>Table43[[#This Row],[Harga Beli Pcs
(-PPN)]]*1.11</f>
        <v>35184.199999999997</v>
      </c>
      <c r="AO166" s="39">
        <f>Table43[[#This Row],[Harga Beli Krt
(- PPN)]]*1.11</f>
        <v>844420.8</v>
      </c>
      <c r="AP166" s="39">
        <v>34234.234234234231</v>
      </c>
      <c r="AQ166" s="39">
        <f>Table43[[#This Row],[Harga Jual Pcs GT
(-PPN)]]*Table43[[#This Row],[ISI/CTN]]</f>
        <v>821621.62162162154</v>
      </c>
      <c r="AR166" s="39">
        <f>Table43[[#This Row],[Harga Jual Pcs GT
(-PPN)]]*1.11</f>
        <v>38000</v>
      </c>
      <c r="AS166" s="39">
        <f>Table43[[#This Row],[Harga Jual Krt GT
(- PPN)]]*1.11</f>
        <v>912000</v>
      </c>
      <c r="AT166" s="39"/>
      <c r="AU166" s="39">
        <f>Table43[[#This Row],[Harga Jual Pcs MT
(-PPN)]]*Table43[[#This Row],[ISI/CTN]]</f>
        <v>0</v>
      </c>
      <c r="AV166" s="39">
        <f>Table43[[#This Row],[Harga Jual Pcs MT
(-PPN)]]*1.11</f>
        <v>0</v>
      </c>
      <c r="AW166" s="39">
        <f>Table43[[#This Row],[Harga Jual Pcs MT
(+PPN)]]*Table43[[#This Row],[ISI/CTN]]</f>
        <v>0</v>
      </c>
      <c r="AX166" s="47">
        <f>IFERROR((Table43[[#This Row],[Harga Jual Pcs GT
(-PPN)]]-Table43[[#This Row],[Harga Beli Pcs
(-PPN)]])/Table43[[#This Row],[Harga Jual Pcs GT
(-PPN)]],0)</f>
        <v>7.4099999999999999E-2</v>
      </c>
      <c r="AY166" s="51">
        <v>45848</v>
      </c>
      <c r="AZ166" s="7"/>
      <c r="BA166" s="7" t="str">
        <f ca="1">IF(TODAY()-Table43[[#This Row],[Efektif
Pembuatan]]&gt;60,"Lama","Baru")</f>
        <v>Lama</v>
      </c>
      <c r="BB166" s="7" t="str">
        <f ca="1">IF(TODAY()-Table43[[#This Row],[Efektif Naik Harga]]&lt;30,"Naik","Sama")</f>
        <v>Sama</v>
      </c>
      <c r="BC166" s="7" t="s">
        <v>185</v>
      </c>
      <c r="BD166" s="7" t="str">
        <f>IF(Table43[[#This Row],[Kode BARANG Win2]]&lt;&gt;"","IDR","")</f>
        <v>IDR</v>
      </c>
      <c r="BE166" s="7" t="str">
        <f>CONCATENATE(Table43[[#This Row],[kode  1 Digit
(Nomor)]],Table43[[#This Row],[kode  4 Digit                (Nomor)]])</f>
        <v>20480</v>
      </c>
      <c r="BF166" s="7" t="str">
        <f>Table43[[#This Row],[Nama            Gramasi atau Jumlah Pack per CTN]]</f>
        <v>480ML</v>
      </c>
      <c r="BG166" s="7" t="s">
        <v>1060</v>
      </c>
      <c r="BH166" s="7" t="s">
        <v>377</v>
      </c>
      <c r="BI166" s="4" t="str">
        <f>IF(Table43[[#This Row],[SATUAN Fix Win]]&lt;&gt;"","KRT")</f>
        <v>KRT</v>
      </c>
      <c r="BJ166" s="4" t="str">
        <f>IF(Table43[[#This Row],[SATUAN Fix Win]]&lt;&gt;"","GD01")</f>
        <v>GD01</v>
      </c>
      <c r="BK166" s="4">
        <f>IF(Table43[[#This Row],[SATUAN Fix Win]]&lt;&gt;"",11611)</f>
        <v>11611</v>
      </c>
      <c r="BL166" s="4">
        <f>IF(Table43[[#This Row],[SATUAN Fix Win]]&lt;&gt;"",11612)</f>
        <v>11612</v>
      </c>
      <c r="BM166" s="52" t="s">
        <v>378</v>
      </c>
      <c r="BN166" s="4">
        <f>IF(Table43[[#This Row],[SATUAN Fix Win]]&lt;&gt;"",1)</f>
        <v>1</v>
      </c>
      <c r="BO166" s="4" t="s">
        <v>637</v>
      </c>
    </row>
    <row r="167" spans="1:70">
      <c r="A167" s="4" t="str">
        <f>CONCATENATE(Table43[[#This Row],[Kode BARANG Win2]],Table43[[#This Row],[No. Urut
Item Sama]])</f>
        <v>F40710030480301</v>
      </c>
      <c r="B167" s="7">
        <v>1</v>
      </c>
      <c r="C167" s="4">
        <v>132</v>
      </c>
      <c r="D167" s="27" t="s">
        <v>458</v>
      </c>
      <c r="E167" s="27" t="s">
        <v>629</v>
      </c>
      <c r="F167" s="27" t="s">
        <v>579</v>
      </c>
      <c r="G167" s="27">
        <v>24</v>
      </c>
      <c r="H167" s="54">
        <v>8992946533556</v>
      </c>
      <c r="I167" s="27" t="str">
        <f>Table43[[#This Row],[Nama Jenis Kemasan]]</f>
        <v>PUMP</v>
      </c>
      <c r="J167" s="4" t="str">
        <f>TRIM(CONCATENATE(Table43[[#This Row],[Nama            KLP]]," ",Table43[[#This Row],[Nama            Sub KLP]]))</f>
        <v>ZEN BCL</v>
      </c>
      <c r="K167" s="4" t="str">
        <f>CONCATENATE(Table43[[#This Row],[kode  2 Digit                (hrf+No)]],Table43[[#This Row],[kode  2 Digit                (Nomor)]],Table43[[#This Row],[kode  1 Digit                (Nomor)]])</f>
        <v>F4071</v>
      </c>
      <c r="L167" s="4" t="str">
        <f>IF(AG167="",CONCATENATE(Q167,S167,U167,W167,Y167,AA167,AC167,AE167,Table43[[#This Row],[Tanda Kode Revisi]]),CONCATENATE(Q167,S167,U167,W167,Y167,AA167,AC167,AG167))</f>
        <v>F4071003048030</v>
      </c>
      <c r="M167" s="11">
        <f t="shared" si="16"/>
        <v>14</v>
      </c>
      <c r="N167" s="14" t="str">
        <f>IF(AF167&lt;&gt;"",TRIM(UPPER(CONCATENATE(P167," ",R167," ",T167," ",V167," ",X167," ",Z167," ","X"," ",Table43[[#This Row],[ISI/CTN]]," ",AF167," ",AB167," ",AD167," ",AH167))),TRIM(UPPER(CONCATENATE(P167," ",R167," ",T167," ",V167," ",X167," ",Z167," ","X"," ",Table43[[#This Row],[ISI/CTN]]," ",AB167," ",AD167," ",AH167))))</f>
        <v>ZEN BCL SHISO &amp; TEA TREE 480ML X 24 PUMP</v>
      </c>
      <c r="O167" s="11">
        <f t="shared" si="17"/>
        <v>40</v>
      </c>
      <c r="Q167" s="7" t="s">
        <v>662</v>
      </c>
      <c r="R167" s="4" t="s">
        <v>629</v>
      </c>
      <c r="S167" s="48" t="s">
        <v>756</v>
      </c>
      <c r="T167" s="49" t="s">
        <v>775</v>
      </c>
      <c r="U167" s="7">
        <v>1</v>
      </c>
      <c r="V167" s="49"/>
      <c r="W167" s="48" t="s">
        <v>370</v>
      </c>
      <c r="X167" s="4" t="s">
        <v>724</v>
      </c>
      <c r="Y167" s="50" t="s">
        <v>752</v>
      </c>
      <c r="Z167" s="4" t="s">
        <v>673</v>
      </c>
      <c r="AA167" s="50" t="s">
        <v>740</v>
      </c>
      <c r="AB167" s="4" t="s">
        <v>730</v>
      </c>
      <c r="AC167" s="7">
        <v>3</v>
      </c>
      <c r="AE167" s="7">
        <v>0</v>
      </c>
      <c r="AI167" s="7" t="s">
        <v>178</v>
      </c>
      <c r="AJ167" s="7">
        <v>2</v>
      </c>
      <c r="AL167" s="38">
        <v>31697.477477477474</v>
      </c>
      <c r="AM167" s="39">
        <f>Table43[[#This Row],[Harga Beli Pcs
(-PPN)]]*Table43[[#This Row],[ISI/CTN]]</f>
        <v>760739.45945945941</v>
      </c>
      <c r="AN167" s="39">
        <f>Table43[[#This Row],[Harga Beli Pcs
(-PPN)]]*1.11</f>
        <v>35184.199999999997</v>
      </c>
      <c r="AO167" s="39">
        <f>Table43[[#This Row],[Harga Beli Krt
(- PPN)]]*1.11</f>
        <v>844420.8</v>
      </c>
      <c r="AP167" s="39">
        <v>34234.234234234231</v>
      </c>
      <c r="AQ167" s="39">
        <f>Table43[[#This Row],[Harga Jual Pcs GT
(-PPN)]]*Table43[[#This Row],[ISI/CTN]]</f>
        <v>821621.62162162154</v>
      </c>
      <c r="AR167" s="39">
        <f>Table43[[#This Row],[Harga Jual Pcs GT
(-PPN)]]*1.11</f>
        <v>38000</v>
      </c>
      <c r="AS167" s="39">
        <f>Table43[[#This Row],[Harga Jual Krt GT
(- PPN)]]*1.11</f>
        <v>912000</v>
      </c>
      <c r="AT167" s="39"/>
      <c r="AU167" s="39">
        <f>Table43[[#This Row],[Harga Jual Pcs MT
(-PPN)]]*Table43[[#This Row],[ISI/CTN]]</f>
        <v>0</v>
      </c>
      <c r="AV167" s="39">
        <f>Table43[[#This Row],[Harga Jual Pcs MT
(-PPN)]]*1.11</f>
        <v>0</v>
      </c>
      <c r="AW167" s="39">
        <f>Table43[[#This Row],[Harga Jual Pcs MT
(+PPN)]]*Table43[[#This Row],[ISI/CTN]]</f>
        <v>0</v>
      </c>
      <c r="AX167" s="47">
        <f>IFERROR((Table43[[#This Row],[Harga Jual Pcs GT
(-PPN)]]-Table43[[#This Row],[Harga Beli Pcs
(-PPN)]])/Table43[[#This Row],[Harga Jual Pcs GT
(-PPN)]],0)</f>
        <v>7.4099999999999999E-2</v>
      </c>
      <c r="AY167" s="51">
        <v>45848</v>
      </c>
      <c r="AZ167" s="7"/>
      <c r="BA167" s="7" t="str">
        <f ca="1">IF(TODAY()-Table43[[#This Row],[Efektif
Pembuatan]]&gt;60,"Lama","Baru")</f>
        <v>Lama</v>
      </c>
      <c r="BB167" s="7" t="str">
        <f ca="1">IF(TODAY()-Table43[[#This Row],[Efektif Naik Harga]]&lt;30,"Naik","Sama")</f>
        <v>Sama</v>
      </c>
      <c r="BC167" s="7" t="s">
        <v>185</v>
      </c>
      <c r="BD167" s="7" t="str">
        <f>IF(Table43[[#This Row],[Kode BARANG Win2]]&lt;&gt;"","IDR","")</f>
        <v>IDR</v>
      </c>
      <c r="BE167" s="7" t="str">
        <f>CONCATENATE(Table43[[#This Row],[kode  1 Digit
(Nomor)]],Table43[[#This Row],[kode  4 Digit                (Nomor)]])</f>
        <v>20480</v>
      </c>
      <c r="BF167" s="7" t="str">
        <f>Table43[[#This Row],[Nama            Gramasi atau Jumlah Pack per CTN]]</f>
        <v>480ML</v>
      </c>
      <c r="BG167" s="7" t="s">
        <v>1060</v>
      </c>
      <c r="BH167" s="7" t="s">
        <v>377</v>
      </c>
      <c r="BI167" s="4" t="str">
        <f>IF(Table43[[#This Row],[SATUAN Fix Win]]&lt;&gt;"","KRT")</f>
        <v>KRT</v>
      </c>
      <c r="BJ167" s="4" t="str">
        <f>IF(Table43[[#This Row],[SATUAN Fix Win]]&lt;&gt;"","GD01")</f>
        <v>GD01</v>
      </c>
      <c r="BK167" s="4">
        <f>IF(Table43[[#This Row],[SATUAN Fix Win]]&lt;&gt;"",11611)</f>
        <v>11611</v>
      </c>
      <c r="BL167" s="4">
        <f>IF(Table43[[#This Row],[SATUAN Fix Win]]&lt;&gt;"",11612)</f>
        <v>11612</v>
      </c>
      <c r="BM167" s="52" t="s">
        <v>378</v>
      </c>
      <c r="BN167" s="4">
        <f>IF(Table43[[#This Row],[SATUAN Fix Win]]&lt;&gt;"",1)</f>
        <v>1</v>
      </c>
      <c r="BO167" s="4" t="s">
        <v>637</v>
      </c>
    </row>
    <row r="168" spans="1:70">
      <c r="A168" s="4" t="str">
        <f>CONCATENATE(Table43[[#This Row],[Kode BARANG Win2]],Table43[[#This Row],[No. Urut
Item Sama]])</f>
        <v>F407110200851011</v>
      </c>
      <c r="B168" s="7">
        <v>1</v>
      </c>
      <c r="C168" s="4">
        <v>133</v>
      </c>
      <c r="D168" s="73" t="s">
        <v>1345</v>
      </c>
      <c r="E168" s="27" t="s">
        <v>629</v>
      </c>
      <c r="F168" s="27" t="s">
        <v>1065</v>
      </c>
      <c r="G168" s="27">
        <v>48</v>
      </c>
      <c r="H168" s="54">
        <v>8992946535154</v>
      </c>
      <c r="I168" s="27" t="str">
        <f>Table43[[#This Row],[Nama Jenis Kemasan]]</f>
        <v>PCH</v>
      </c>
      <c r="J168" s="4" t="str">
        <f>TRIM(CONCATENATE(Table43[[#This Row],[Nama            KLP]]," ",Table43[[#This Row],[Nama            Sub KLP]]))</f>
        <v>ZEN BCL</v>
      </c>
      <c r="K168" s="4" t="str">
        <f>CONCATENATE(Table43[[#This Row],[kode  2 Digit                (hrf+No)]],Table43[[#This Row],[kode  2 Digit                (Nomor)]],Table43[[#This Row],[kode  1 Digit                (Nomor)]])</f>
        <v>F4071</v>
      </c>
      <c r="L168" s="4" t="str">
        <f>IF(AG168="",CONCATENATE(Q168,S168,U168,W168,Y168,AA168,AC168,AE168,Table43[[#This Row],[Tanda Kode Revisi]]),CONCATENATE(Q168,S168,U168,W168,Y168,AA168,AC168,AG168))</f>
        <v>F40711020085101</v>
      </c>
      <c r="M168" s="11">
        <f>LEN(L168)</f>
        <v>15</v>
      </c>
      <c r="N168" s="14" t="str">
        <f>IF(AF168&lt;&gt;"",TRIM(UPPER(CONCATENATE(P168," ",R168," ",T168," ",V168," ",X168," ",Z168," ","X"," ",Table43[[#This Row],[ISI/CTN]]," ",AF168," ",AB168," ",AD168," ",AH168))),TRIM(UPPER(CONCATENATE(P168," ",R168," ",T168," ",V168," ",X168," ",Z168," ","X"," ",Table43[[#This Row],[ISI/CTN]]," ",AB168," ",AD168," ",AH168))))</f>
        <v>ZEN BCL REF SHISO &amp; JUNIPER BERRIES 85ML X 48 PCH</v>
      </c>
      <c r="O168" s="11">
        <f>LEN(N168)</f>
        <v>49</v>
      </c>
      <c r="Q168" s="7" t="s">
        <v>662</v>
      </c>
      <c r="R168" s="4" t="s">
        <v>629</v>
      </c>
      <c r="S168" s="48" t="s">
        <v>756</v>
      </c>
      <c r="T168" s="49" t="s">
        <v>775</v>
      </c>
      <c r="U168" s="7">
        <v>1</v>
      </c>
      <c r="V168" s="49" t="s">
        <v>776</v>
      </c>
      <c r="W168" s="48" t="s">
        <v>750</v>
      </c>
      <c r="X168" s="4" t="s">
        <v>727</v>
      </c>
      <c r="Y168" s="50" t="s">
        <v>751</v>
      </c>
      <c r="Z168" s="4" t="s">
        <v>720</v>
      </c>
      <c r="AA168" s="50" t="s">
        <v>767</v>
      </c>
      <c r="AB168" s="4" t="s">
        <v>671</v>
      </c>
      <c r="AC168" s="7">
        <v>1</v>
      </c>
      <c r="AE168" s="129" t="s">
        <v>749</v>
      </c>
      <c r="AI168" s="7" t="s">
        <v>178</v>
      </c>
      <c r="AJ168" s="7">
        <v>2</v>
      </c>
      <c r="AL168" s="38">
        <v>3336.5765765765759</v>
      </c>
      <c r="AM168" s="39">
        <f>Table43[[#This Row],[Harga Beli Pcs
(-PPN)]]*Table43[[#This Row],[ISI/CTN]]</f>
        <v>160155.67567567565</v>
      </c>
      <c r="AN168" s="39">
        <f>Table43[[#This Row],[Harga Beli Pcs
(-PPN)]]*1.11</f>
        <v>3703.5999999999995</v>
      </c>
      <c r="AO168" s="39">
        <f>Table43[[#This Row],[Harga Beli Krt
(- PPN)]]*1.11</f>
        <v>177772.79999999999</v>
      </c>
      <c r="AP168" s="39">
        <v>3603.6036036036035</v>
      </c>
      <c r="AQ168" s="39">
        <f>Table43[[#This Row],[Harga Jual Pcs GT
(-PPN)]]*Table43[[#This Row],[ISI/CTN]]</f>
        <v>172972.97297297296</v>
      </c>
      <c r="AR168" s="39">
        <f>Table43[[#This Row],[Harga Jual Pcs GT
(-PPN)]]*1.11</f>
        <v>4000</v>
      </c>
      <c r="AS168" s="39">
        <f>Table43[[#This Row],[Harga Jual Krt GT
(- PPN)]]*1.11</f>
        <v>192000</v>
      </c>
      <c r="AT168" s="39"/>
      <c r="AU168" s="39">
        <f>Table43[[#This Row],[Harga Jual Pcs MT
(-PPN)]]*Table43[[#This Row],[ISI/CTN]]</f>
        <v>0</v>
      </c>
      <c r="AV168" s="39">
        <f>Table43[[#This Row],[Harga Jual Pcs MT
(-PPN)]]*1.11</f>
        <v>0</v>
      </c>
      <c r="AW168" s="39">
        <f>Table43[[#This Row],[Harga Jual Pcs MT
(+PPN)]]*Table43[[#This Row],[ISI/CTN]]</f>
        <v>0</v>
      </c>
      <c r="AX168" s="47">
        <f>IFERROR((Table43[[#This Row],[Harga Jual Pcs GT
(-PPN)]]-Table43[[#This Row],[Harga Beli Pcs
(-PPN)]])/Table43[[#This Row],[Harga Jual Pcs GT
(-PPN)]],0)</f>
        <v>7.4100000000000152E-2</v>
      </c>
      <c r="AY168" s="51">
        <v>45850</v>
      </c>
      <c r="AZ168" s="7"/>
      <c r="BA168" s="7" t="str">
        <f ca="1">IF(TODAY()-Table43[[#This Row],[Efektif
Pembuatan]]&gt;60,"Lama","Baru")</f>
        <v>Lama</v>
      </c>
      <c r="BB168" s="7" t="str">
        <f ca="1">IF(TODAY()-Table43[[#This Row],[Efektif Naik Harga]]&lt;30,"Naik","Sama")</f>
        <v>Sama</v>
      </c>
      <c r="BC168" s="7" t="s">
        <v>185</v>
      </c>
      <c r="BD168" s="7" t="str">
        <f>IF(Table43[[#This Row],[Kode BARANG Win2]]&lt;&gt;"","IDR","")</f>
        <v>IDR</v>
      </c>
      <c r="BE168" s="7" t="str">
        <f>CONCATENATE(Table43[[#This Row],[kode  1 Digit
(Nomor)]],Table43[[#This Row],[kode  4 Digit                (Nomor)]])</f>
        <v>20085</v>
      </c>
      <c r="BF168" s="7" t="str">
        <f>Table43[[#This Row],[Nama            Gramasi atau Jumlah Pack per CTN]]</f>
        <v>85ML</v>
      </c>
      <c r="BG168" s="7" t="s">
        <v>1060</v>
      </c>
      <c r="BH168" s="7" t="s">
        <v>377</v>
      </c>
      <c r="BI168" s="4" t="str">
        <f>IF(Table43[[#This Row],[SATUAN Fix Win]]&lt;&gt;"","KRT")</f>
        <v>KRT</v>
      </c>
      <c r="BJ168" s="4" t="str">
        <f>IF(Table43[[#This Row],[SATUAN Fix Win]]&lt;&gt;"","GD01")</f>
        <v>GD01</v>
      </c>
      <c r="BK168" s="4">
        <f>IF(Table43[[#This Row],[SATUAN Fix Win]]&lt;&gt;"",11611)</f>
        <v>11611</v>
      </c>
      <c r="BL168" s="4">
        <f>IF(Table43[[#This Row],[SATUAN Fix Win]]&lt;&gt;"",11612)</f>
        <v>11612</v>
      </c>
      <c r="BM168" s="52" t="s">
        <v>378</v>
      </c>
      <c r="BN168" s="4">
        <f>IF(Table43[[#This Row],[SATUAN Fix Win]]&lt;&gt;"",1)</f>
        <v>1</v>
      </c>
      <c r="BO168" s="4" t="s">
        <v>637</v>
      </c>
    </row>
    <row r="169" spans="1:70">
      <c r="A169" s="4" t="str">
        <f>CONCATENATE(Table43[[#This Row],[Kode BARANG Win2]],Table43[[#This Row],[No. Urut
Item Sama]])</f>
        <v>F40711050400111</v>
      </c>
      <c r="B169" s="7">
        <v>1</v>
      </c>
      <c r="C169" s="4">
        <v>134</v>
      </c>
      <c r="D169" s="27" t="s">
        <v>1088</v>
      </c>
      <c r="E169" s="27" t="s">
        <v>629</v>
      </c>
      <c r="F169" s="27" t="s">
        <v>1072</v>
      </c>
      <c r="G169" s="27">
        <v>24</v>
      </c>
      <c r="H169" s="54">
        <v>8992946533539</v>
      </c>
      <c r="I169" s="27" t="str">
        <f>Table43[[#This Row],[Nama Jenis Kemasan]]</f>
        <v>PCH</v>
      </c>
      <c r="J169" s="4" t="str">
        <f>TRIM(CONCATENATE(Table43[[#This Row],[Nama            KLP]]," ",Table43[[#This Row],[Nama            Sub KLP]]))</f>
        <v>ZEN BCL</v>
      </c>
      <c r="K169" s="4" t="str">
        <f>CONCATENATE(Table43[[#This Row],[kode  2 Digit                (hrf+No)]],Table43[[#This Row],[kode  2 Digit                (Nomor)]],Table43[[#This Row],[kode  1 Digit                (Nomor)]])</f>
        <v>F4071</v>
      </c>
      <c r="L169" s="4" t="str">
        <f>IF(AG169="",CONCATENATE(Q169,S169,U169,W169,Y169,AA169,AC169,AE169,Table43[[#This Row],[Tanda Kode Revisi]]),CONCATENATE(Q169,S169,U169,W169,Y169,AA169,AC169,AG169))</f>
        <v>F4071105040011</v>
      </c>
      <c r="M169" s="11">
        <f>LEN(L169)</f>
        <v>14</v>
      </c>
      <c r="N169" s="14" t="str">
        <f>IF(AF169&lt;&gt;"",TRIM(UPPER(CONCATENATE(P169," ",R169," ",T169," ",V169," ",X169," ",Z169," ","X"," ",Table43[[#This Row],[ISI/CTN]]," ",AF169," ",AB169," ",AD169," ",AH169))),TRIM(UPPER(CONCATENATE(P169," ",R169," ",T169," ",V169," ",X169," ",Z169," ","X"," ",Table43[[#This Row],[ISI/CTN]]," ",AB169," ",AD169," ",AH169))))</f>
        <v>ZEN BCL REF SHISO &amp; TEA TREE 400ML X 24 PCH BND</v>
      </c>
      <c r="O169" s="11">
        <f>LEN(N169)</f>
        <v>47</v>
      </c>
      <c r="Q169" s="7" t="s">
        <v>662</v>
      </c>
      <c r="R169" s="4" t="s">
        <v>629</v>
      </c>
      <c r="S169" s="48" t="s">
        <v>756</v>
      </c>
      <c r="T169" s="49" t="s">
        <v>775</v>
      </c>
      <c r="U169" s="7">
        <v>1</v>
      </c>
      <c r="V169" s="49" t="s">
        <v>776</v>
      </c>
      <c r="W169" s="48" t="s">
        <v>750</v>
      </c>
      <c r="X169" s="4" t="s">
        <v>724</v>
      </c>
      <c r="Y169" s="50" t="s">
        <v>754</v>
      </c>
      <c r="Z169" s="4" t="s">
        <v>670</v>
      </c>
      <c r="AA169" s="50" t="s">
        <v>739</v>
      </c>
      <c r="AB169" s="4" t="s">
        <v>671</v>
      </c>
      <c r="AC169" s="7">
        <v>1</v>
      </c>
      <c r="AD169" s="4" t="s">
        <v>1074</v>
      </c>
      <c r="AE169" s="7">
        <v>1</v>
      </c>
      <c r="AI169" s="7" t="s">
        <v>178</v>
      </c>
      <c r="AJ169" s="7">
        <v>2</v>
      </c>
      <c r="AL169" s="38">
        <v>18351.171171171172</v>
      </c>
      <c r="AM169" s="39">
        <f>Table43[[#This Row],[Harga Beli Pcs
(-PPN)]]*Table43[[#This Row],[ISI/CTN]]</f>
        <v>440428.10810810816</v>
      </c>
      <c r="AN169" s="39">
        <f>Table43[[#This Row],[Harga Beli Pcs
(-PPN)]]*1.11</f>
        <v>20369.800000000003</v>
      </c>
      <c r="AO169" s="39">
        <f>Table43[[#This Row],[Harga Beli Krt
(- PPN)]]*1.11</f>
        <v>488875.20000000013</v>
      </c>
      <c r="AP169" s="39">
        <v>19819.819819819819</v>
      </c>
      <c r="AQ169" s="39">
        <f>Table43[[#This Row],[Harga Jual Pcs GT
(-PPN)]]*Table43[[#This Row],[ISI/CTN]]</f>
        <v>475675.67567567562</v>
      </c>
      <c r="AR169" s="39">
        <f>Table43[[#This Row],[Harga Jual Pcs GT
(-PPN)]]*1.11</f>
        <v>22000</v>
      </c>
      <c r="AS169" s="39">
        <f>Table43[[#This Row],[Harga Jual Krt GT
(- PPN)]]*1.11</f>
        <v>528000</v>
      </c>
      <c r="AT169" s="39"/>
      <c r="AU169" s="39">
        <f>Table43[[#This Row],[Harga Jual Pcs MT
(-PPN)]]*Table43[[#This Row],[ISI/CTN]]</f>
        <v>0</v>
      </c>
      <c r="AV169" s="39">
        <f>Table43[[#This Row],[Harga Jual Pcs MT
(-PPN)]]*1.11</f>
        <v>0</v>
      </c>
      <c r="AW169" s="39">
        <f>Table43[[#This Row],[Harga Jual Pcs MT
(+PPN)]]*Table43[[#This Row],[ISI/CTN]]</f>
        <v>0</v>
      </c>
      <c r="AX169" s="47">
        <f>IFERROR((Table43[[#This Row],[Harga Jual Pcs GT
(-PPN)]]-Table43[[#This Row],[Harga Beli Pcs
(-PPN)]])/Table43[[#This Row],[Harga Jual Pcs GT
(-PPN)]],0)</f>
        <v>7.4099999999999888E-2</v>
      </c>
      <c r="AY169" s="51">
        <v>45864</v>
      </c>
      <c r="AZ169" s="7"/>
      <c r="BA169" s="7" t="str">
        <f ca="1">IF(TODAY()-Table43[[#This Row],[Efektif
Pembuatan]]&gt;60,"Lama","Baru")</f>
        <v>Lama</v>
      </c>
      <c r="BB169" s="7" t="str">
        <f ca="1">IF(TODAY()-Table43[[#This Row],[Efektif Naik Harga]]&lt;30,"Naik","Sama")</f>
        <v>Sama</v>
      </c>
      <c r="BC169" s="7" t="s">
        <v>185</v>
      </c>
      <c r="BD169" s="7" t="str">
        <f>IF(Table43[[#This Row],[Kode BARANG Win2]]&lt;&gt;"","IDR","")</f>
        <v>IDR</v>
      </c>
      <c r="BE169" s="7" t="str">
        <f>CONCATENATE(Table43[[#This Row],[kode  1 Digit
(Nomor)]],Table43[[#This Row],[kode  4 Digit                (Nomor)]])</f>
        <v>20400</v>
      </c>
      <c r="BF169" s="7" t="str">
        <f>Table43[[#This Row],[Nama            Gramasi atau Jumlah Pack per CTN]]</f>
        <v>400ML</v>
      </c>
      <c r="BG169" s="7"/>
      <c r="BH169" s="7"/>
      <c r="BI169" s="4" t="str">
        <f>IF(Table43[[#This Row],[SATUAN Fix Win]]&lt;&gt;"","KRT")</f>
        <v>KRT</v>
      </c>
      <c r="BJ169" s="4" t="str">
        <f>IF(Table43[[#This Row],[SATUAN Fix Win]]&lt;&gt;"","GD01")</f>
        <v>GD01</v>
      </c>
      <c r="BK169" s="4">
        <f>IF(Table43[[#This Row],[SATUAN Fix Win]]&lt;&gt;"",11611)</f>
        <v>11611</v>
      </c>
      <c r="BL169" s="4">
        <f>IF(Table43[[#This Row],[SATUAN Fix Win]]&lt;&gt;"",11612)</f>
        <v>11612</v>
      </c>
      <c r="BM169" s="52"/>
      <c r="BN169" s="4">
        <f>IF(Table43[[#This Row],[SATUAN Fix Win]]&lt;&gt;"",1)</f>
        <v>1</v>
      </c>
      <c r="BO169" s="4" t="s">
        <v>637</v>
      </c>
    </row>
    <row r="170" spans="1:70">
      <c r="A170" s="4" t="str">
        <f>CONCATENATE(Table43[[#This Row],[Kode BARANG Win2]],Table43[[#This Row],[No. Urut
Item Sama]])</f>
        <v>F40711060400111</v>
      </c>
      <c r="B170" s="7">
        <v>1</v>
      </c>
      <c r="C170" s="4">
        <v>135</v>
      </c>
      <c r="D170" s="27" t="s">
        <v>1087</v>
      </c>
      <c r="E170" s="27" t="s">
        <v>629</v>
      </c>
      <c r="F170" s="27" t="s">
        <v>1076</v>
      </c>
      <c r="G170" s="27">
        <v>24</v>
      </c>
      <c r="H170" s="54">
        <v>8992946532143</v>
      </c>
      <c r="I170" s="27" t="str">
        <f>Table43[[#This Row],[Nama Jenis Kemasan]]</f>
        <v>PCH</v>
      </c>
      <c r="J170" s="4" t="str">
        <f>TRIM(CONCATENATE(Table43[[#This Row],[Nama            KLP]]," ",Table43[[#This Row],[Nama            Sub KLP]]))</f>
        <v>ZEN BCL</v>
      </c>
      <c r="K170" s="4" t="str">
        <f>CONCATENATE(Table43[[#This Row],[kode  2 Digit                (hrf+No)]],Table43[[#This Row],[kode  2 Digit                (Nomor)]],Table43[[#This Row],[kode  1 Digit                (Nomor)]])</f>
        <v>F4071</v>
      </c>
      <c r="L170" s="4" t="str">
        <f>IF(AG170="",CONCATENATE(Q170,S170,U170,W170,Y170,AA170,AC170,AE170,Table43[[#This Row],[Tanda Kode Revisi]]),CONCATENATE(Q170,S170,U170,W170,Y170,AA170,AC170,AG170))</f>
        <v>F4071106040011</v>
      </c>
      <c r="M170" s="11">
        <f>LEN(L170)</f>
        <v>14</v>
      </c>
      <c r="N170" s="14" t="str">
        <f>IF(AF170&lt;&gt;"",TRIM(UPPER(CONCATENATE(P170," ",R170," ",T170," ",V170," ",X170," ",Z170," ","X"," ",Table43[[#This Row],[ISI/CTN]]," ",AF170," ",AB170," ",AD170," ",AH170))),TRIM(UPPER(CONCATENATE(P170," ",R170," ",T170," ",V170," ",X170," ",Z170," ","X"," ",Table43[[#This Row],[ISI/CTN]]," ",AB170," ",AD170," ",AH170))))</f>
        <v>ZEN BCL REF SHISO &amp; SULPHUR 400ML X 24 PCH BND</v>
      </c>
      <c r="O170" s="11">
        <f>LEN(N170)</f>
        <v>46</v>
      </c>
      <c r="Q170" s="7" t="s">
        <v>662</v>
      </c>
      <c r="R170" s="4" t="s">
        <v>629</v>
      </c>
      <c r="S170" s="48" t="s">
        <v>756</v>
      </c>
      <c r="T170" s="49" t="s">
        <v>775</v>
      </c>
      <c r="U170" s="7">
        <v>1</v>
      </c>
      <c r="V170" s="49" t="s">
        <v>776</v>
      </c>
      <c r="W170" s="48" t="s">
        <v>750</v>
      </c>
      <c r="X170" s="4" t="s">
        <v>723</v>
      </c>
      <c r="Y170" s="50" t="s">
        <v>755</v>
      </c>
      <c r="Z170" s="4" t="s">
        <v>670</v>
      </c>
      <c r="AA170" s="50" t="s">
        <v>739</v>
      </c>
      <c r="AB170" s="4" t="s">
        <v>671</v>
      </c>
      <c r="AC170" s="7">
        <v>1</v>
      </c>
      <c r="AD170" s="4" t="s">
        <v>1074</v>
      </c>
      <c r="AE170" s="7">
        <v>1</v>
      </c>
      <c r="AI170" s="7" t="s">
        <v>178</v>
      </c>
      <c r="AJ170" s="7">
        <v>2</v>
      </c>
      <c r="AL170" s="38">
        <v>18351.171171171172</v>
      </c>
      <c r="AM170" s="39">
        <f>Table43[[#This Row],[Harga Beli Pcs
(-PPN)]]*Table43[[#This Row],[ISI/CTN]]</f>
        <v>440428.10810810816</v>
      </c>
      <c r="AN170" s="39">
        <f>Table43[[#This Row],[Harga Beli Pcs
(-PPN)]]*1.11</f>
        <v>20369.800000000003</v>
      </c>
      <c r="AO170" s="39">
        <f>Table43[[#This Row],[Harga Beli Krt
(- PPN)]]*1.11</f>
        <v>488875.20000000013</v>
      </c>
      <c r="AP170" s="39">
        <v>19819.819819819819</v>
      </c>
      <c r="AQ170" s="39">
        <f>Table43[[#This Row],[Harga Jual Pcs GT
(-PPN)]]*Table43[[#This Row],[ISI/CTN]]</f>
        <v>475675.67567567562</v>
      </c>
      <c r="AR170" s="39">
        <f>Table43[[#This Row],[Harga Jual Pcs GT
(-PPN)]]*1.11</f>
        <v>22000</v>
      </c>
      <c r="AS170" s="39">
        <f>Table43[[#This Row],[Harga Jual Krt GT
(- PPN)]]*1.11</f>
        <v>528000</v>
      </c>
      <c r="AT170" s="39"/>
      <c r="AU170" s="39">
        <f>Table43[[#This Row],[Harga Jual Pcs MT
(-PPN)]]*Table43[[#This Row],[ISI/CTN]]</f>
        <v>0</v>
      </c>
      <c r="AV170" s="39">
        <f>Table43[[#This Row],[Harga Jual Pcs MT
(-PPN)]]*1.11</f>
        <v>0</v>
      </c>
      <c r="AW170" s="39">
        <f>Table43[[#This Row],[Harga Jual Pcs MT
(+PPN)]]*Table43[[#This Row],[ISI/CTN]]</f>
        <v>0</v>
      </c>
      <c r="AX170" s="47">
        <f>IFERROR((Table43[[#This Row],[Harga Jual Pcs GT
(-PPN)]]-Table43[[#This Row],[Harga Beli Pcs
(-PPN)]])/Table43[[#This Row],[Harga Jual Pcs GT
(-PPN)]],0)</f>
        <v>7.4099999999999888E-2</v>
      </c>
      <c r="AY170" s="51">
        <v>45864</v>
      </c>
      <c r="AZ170" s="7"/>
      <c r="BA170" s="7" t="str">
        <f ca="1">IF(TODAY()-Table43[[#This Row],[Efektif
Pembuatan]]&gt;60,"Lama","Baru")</f>
        <v>Lama</v>
      </c>
      <c r="BB170" s="7" t="str">
        <f ca="1">IF(TODAY()-Table43[[#This Row],[Efektif Naik Harga]]&lt;30,"Naik","Sama")</f>
        <v>Sama</v>
      </c>
      <c r="BC170" s="7" t="s">
        <v>185</v>
      </c>
      <c r="BD170" s="7" t="str">
        <f>IF(Table43[[#This Row],[Kode BARANG Win2]]&lt;&gt;"","IDR","")</f>
        <v>IDR</v>
      </c>
      <c r="BE170" s="7" t="str">
        <f>CONCATENATE(Table43[[#This Row],[kode  1 Digit
(Nomor)]],Table43[[#This Row],[kode  4 Digit                (Nomor)]])</f>
        <v>20400</v>
      </c>
      <c r="BF170" s="7" t="str">
        <f>Table43[[#This Row],[Nama            Gramasi atau Jumlah Pack per CTN]]</f>
        <v>400ML</v>
      </c>
      <c r="BG170" s="7"/>
      <c r="BH170" s="7"/>
      <c r="BI170" s="4" t="str">
        <f>IF(Table43[[#This Row],[SATUAN Fix Win]]&lt;&gt;"","KRT")</f>
        <v>KRT</v>
      </c>
      <c r="BJ170" s="4" t="str">
        <f>IF(Table43[[#This Row],[SATUAN Fix Win]]&lt;&gt;"","GD01")</f>
        <v>GD01</v>
      </c>
      <c r="BK170" s="4">
        <f>IF(Table43[[#This Row],[SATUAN Fix Win]]&lt;&gt;"",11611)</f>
        <v>11611</v>
      </c>
      <c r="BL170" s="4">
        <f>IF(Table43[[#This Row],[SATUAN Fix Win]]&lt;&gt;"",11612)</f>
        <v>11612</v>
      </c>
      <c r="BM170" s="52"/>
      <c r="BN170" s="4">
        <f>IF(Table43[[#This Row],[SATUAN Fix Win]]&lt;&gt;"",1)</f>
        <v>1</v>
      </c>
      <c r="BO170" s="4" t="s">
        <v>637</v>
      </c>
    </row>
    <row r="171" spans="1:70" s="69" customFormat="1">
      <c r="A171" s="55" t="str">
        <f>CONCATENATE(Table43[[#This Row],[Kode BARANG Win2]],Table43[[#This Row],[No. Urut
Item Sama]])</f>
        <v>F40711030380101</v>
      </c>
      <c r="B171" s="56">
        <v>1</v>
      </c>
      <c r="C171" s="55"/>
      <c r="D171" s="108" t="s">
        <v>1290</v>
      </c>
      <c r="E171" s="57" t="s">
        <v>629</v>
      </c>
      <c r="F171" s="57" t="s">
        <v>1284</v>
      </c>
      <c r="G171" s="57">
        <v>24</v>
      </c>
      <c r="H171" s="58"/>
      <c r="I171" s="57" t="str">
        <f>Table43[[#This Row],[Nama Jenis Kemasan]]</f>
        <v>PCH</v>
      </c>
      <c r="J171" s="55" t="str">
        <f>TRIM(CONCATENATE(Table43[[#This Row],[Nama            KLP]]," ",Table43[[#This Row],[Nama            Sub KLP]]))</f>
        <v>ZEN BCL</v>
      </c>
      <c r="K171" s="55" t="str">
        <f>CONCATENATE(Table43[[#This Row],[kode  2 Digit                (hrf+No)]],Table43[[#This Row],[kode  2 Digit                (Nomor)]],Table43[[#This Row],[kode  1 Digit                (Nomor)]])</f>
        <v>F4071</v>
      </c>
      <c r="L171" s="55" t="str">
        <f>IF(AG171="",CONCATENATE(Q171,S171,U171,W171,Y171,AA171,AC171,AE171,Table43[[#This Row],[Tanda Kode Revisi]]),CONCATENATE(Q171,S171,U171,W171,Y171,AA171,AC171,AG171))</f>
        <v>F4071103038010</v>
      </c>
      <c r="M171" s="59">
        <f>LEN(L171)</f>
        <v>14</v>
      </c>
      <c r="N171" s="60" t="str">
        <f>IF(AF171&lt;&gt;"",TRIM(UPPER(CONCATENATE(P171," ",R171," ",T171," ",V171," ",X171," ",Z171," ","X"," ",Table43[[#This Row],[ISI/CTN]]," ",AF171," ",AB171," ",AD171," ",AH171))),TRIM(UPPER(CONCATENATE(P171," ",R171," ",T171," ",V171," ",X171," ",Z171," ","X"," ",Table43[[#This Row],[ISI/CTN]]," ",AB171," ",AD171," ",AH171))))</f>
        <v>ZEN BCL SHISO &amp; SANDALWOOD 380ML X 24 PCH</v>
      </c>
      <c r="O171" s="59">
        <f>LEN(N171)</f>
        <v>41</v>
      </c>
      <c r="P171" s="55"/>
      <c r="Q171" s="56" t="s">
        <v>662</v>
      </c>
      <c r="R171" s="55" t="s">
        <v>629</v>
      </c>
      <c r="S171" s="61" t="s">
        <v>756</v>
      </c>
      <c r="T171" s="62" t="s">
        <v>775</v>
      </c>
      <c r="U171" s="56">
        <v>1</v>
      </c>
      <c r="V171" s="62"/>
      <c r="W171" s="61" t="s">
        <v>750</v>
      </c>
      <c r="X171" s="55" t="s">
        <v>721</v>
      </c>
      <c r="Y171" s="63" t="s">
        <v>752</v>
      </c>
      <c r="Z171" s="55" t="s">
        <v>696</v>
      </c>
      <c r="AA171" s="63" t="s">
        <v>761</v>
      </c>
      <c r="AB171" s="55" t="s">
        <v>671</v>
      </c>
      <c r="AC171" s="56">
        <v>1</v>
      </c>
      <c r="AD171" s="55"/>
      <c r="AE171" s="56">
        <v>0</v>
      </c>
      <c r="AF171" s="56"/>
      <c r="AG171" s="56"/>
      <c r="AH171" s="56"/>
      <c r="AI171" s="56" t="s">
        <v>178</v>
      </c>
      <c r="AJ171" s="56">
        <v>2</v>
      </c>
      <c r="AK171" s="56"/>
      <c r="AL171" s="64"/>
      <c r="AM171" s="65">
        <f>Table43[[#This Row],[Harga Beli Pcs
(-PPN)]]*Table43[[#This Row],[ISI/CTN]]</f>
        <v>0</v>
      </c>
      <c r="AN171" s="65">
        <f>Table43[[#This Row],[Harga Beli Pcs
(-PPN)]]*1.11</f>
        <v>0</v>
      </c>
      <c r="AO171" s="65">
        <f>Table43[[#This Row],[Harga Beli Krt
(- PPN)]]*1.11</f>
        <v>0</v>
      </c>
      <c r="AP171" s="65"/>
      <c r="AQ171" s="65">
        <f>Table43[[#This Row],[Harga Jual Pcs GT
(-PPN)]]*Table43[[#This Row],[ISI/CTN]]</f>
        <v>0</v>
      </c>
      <c r="AR171" s="65">
        <f>Table43[[#This Row],[Harga Jual Pcs GT
(-PPN)]]*1.11</f>
        <v>0</v>
      </c>
      <c r="AS171" s="65">
        <f>Table43[[#This Row],[Harga Jual Krt GT
(- PPN)]]*1.11</f>
        <v>0</v>
      </c>
      <c r="AT171" s="65"/>
      <c r="AU171" s="65">
        <f>Table43[[#This Row],[Harga Jual Pcs MT
(-PPN)]]*Table43[[#This Row],[ISI/CTN]]</f>
        <v>0</v>
      </c>
      <c r="AV171" s="65">
        <f>Table43[[#This Row],[Harga Jual Pcs MT
(-PPN)]]*1.11</f>
        <v>0</v>
      </c>
      <c r="AW171" s="65">
        <f>Table43[[#This Row],[Harga Jual Pcs MT
(+PPN)]]*Table43[[#This Row],[ISI/CTN]]</f>
        <v>0</v>
      </c>
      <c r="AX171" s="66">
        <f>IFERROR((Table43[[#This Row],[Harga Jual Pcs GT
(-PPN)]]-Table43[[#This Row],[Harga Beli Pcs
(-PPN)]])/Table43[[#This Row],[Harga Jual Pcs GT
(-PPN)]],0)</f>
        <v>0</v>
      </c>
      <c r="AY171" s="67"/>
      <c r="AZ171" s="56"/>
      <c r="BA171" s="56" t="str">
        <f ca="1">IF(TODAY()-Table43[[#This Row],[Efektif
Pembuatan]]&gt;60,"Lama","Baru")</f>
        <v>Lama</v>
      </c>
      <c r="BB171" s="56" t="str">
        <f ca="1">IF(TODAY()-Table43[[#This Row],[Efektif Naik Harga]]&lt;30,"Naik","Sama")</f>
        <v>Sama</v>
      </c>
      <c r="BC171" s="56"/>
      <c r="BD171" s="56" t="str">
        <f>IF(Table43[[#This Row],[Kode BARANG Win2]]&lt;&gt;"","IDR","")</f>
        <v>IDR</v>
      </c>
      <c r="BE171" s="56" t="str">
        <f>CONCATENATE(Table43[[#This Row],[kode  1 Digit
(Nomor)]],Table43[[#This Row],[kode  4 Digit                (Nomor)]])</f>
        <v>20380</v>
      </c>
      <c r="BF171" s="56" t="str">
        <f>Table43[[#This Row],[Nama            Gramasi atau Jumlah Pack per CTN]]</f>
        <v>380ML</v>
      </c>
      <c r="BG171" s="56"/>
      <c r="BH171" s="56"/>
      <c r="BI171" s="55" t="str">
        <f>IF(Table43[[#This Row],[SATUAN Fix Win]]&lt;&gt;"","KRT")</f>
        <v>KRT</v>
      </c>
      <c r="BJ171" s="55" t="str">
        <f>IF(Table43[[#This Row],[SATUAN Fix Win]]&lt;&gt;"","GD01")</f>
        <v>GD01</v>
      </c>
      <c r="BK171" s="55">
        <f>IF(Table43[[#This Row],[SATUAN Fix Win]]&lt;&gt;"",11611)</f>
        <v>11611</v>
      </c>
      <c r="BL171" s="55">
        <f>IF(Table43[[#This Row],[SATUAN Fix Win]]&lt;&gt;"",11612)</f>
        <v>11612</v>
      </c>
      <c r="BM171" s="68"/>
      <c r="BN171" s="55">
        <f>IF(Table43[[#This Row],[SATUAN Fix Win]]&lt;&gt;"",1)</f>
        <v>1</v>
      </c>
      <c r="BO171" s="55"/>
      <c r="BP171" s="55"/>
      <c r="BQ171" s="55"/>
      <c r="BR171" s="55"/>
    </row>
    <row r="172" spans="1:70" s="69" customFormat="1">
      <c r="A172" s="55" t="str">
        <f>CONCATENATE(Table43[[#This Row],[Kode BARANG Win2]],Table43[[#This Row],[No. Urut
Item Sama]])</f>
        <v>F40711040380101</v>
      </c>
      <c r="B172" s="56">
        <v>1</v>
      </c>
      <c r="C172" s="55"/>
      <c r="D172" s="108" t="s">
        <v>1291</v>
      </c>
      <c r="E172" s="57" t="s">
        <v>629</v>
      </c>
      <c r="F172" s="57" t="s">
        <v>1285</v>
      </c>
      <c r="G172" s="57">
        <v>24</v>
      </c>
      <c r="H172" s="58"/>
      <c r="I172" s="57" t="str">
        <f>Table43[[#This Row],[Nama Jenis Kemasan]]</f>
        <v>PCH</v>
      </c>
      <c r="J172" s="55" t="str">
        <f>TRIM(CONCATENATE(Table43[[#This Row],[Nama            KLP]]," ",Table43[[#This Row],[Nama            Sub KLP]]))</f>
        <v>ZEN BCL</v>
      </c>
      <c r="K172" s="55" t="str">
        <f>CONCATENATE(Table43[[#This Row],[kode  2 Digit                (hrf+No)]],Table43[[#This Row],[kode  2 Digit                (Nomor)]],Table43[[#This Row],[kode  1 Digit                (Nomor)]])</f>
        <v>F4071</v>
      </c>
      <c r="L172" s="55" t="str">
        <f>IF(AG172="",CONCATENATE(Q172,S172,U172,W172,Y172,AA172,AC172,AE172,Table43[[#This Row],[Tanda Kode Revisi]]),CONCATENATE(Q172,S172,U172,W172,Y172,AA172,AC172,AG172))</f>
        <v>F4071104038010</v>
      </c>
      <c r="M172" s="59">
        <f>LEN(L172)</f>
        <v>14</v>
      </c>
      <c r="N172" s="60" t="str">
        <f>IF(AF172&lt;&gt;"",TRIM(UPPER(CONCATENATE(P172," ",R172," ",T172," ",V172," ",X172," ",Z172," ","X"," ",Table43[[#This Row],[ISI/CTN]]," ",AF172," ",AB172," ",AD172," ",AH172))),TRIM(UPPER(CONCATENATE(P172," ",R172," ",T172," ",V172," ",X172," ",Z172," ","X"," ",Table43[[#This Row],[ISI/CTN]]," ",AB172," ",AD172," ",AH172))))</f>
        <v>ZEN BCL SHISO &amp; SEA SALT 380ML X 24 PCH</v>
      </c>
      <c r="O172" s="59">
        <f>LEN(N172)</f>
        <v>39</v>
      </c>
      <c r="P172" s="55"/>
      <c r="Q172" s="56" t="s">
        <v>662</v>
      </c>
      <c r="R172" s="55" t="s">
        <v>629</v>
      </c>
      <c r="S172" s="61" t="s">
        <v>756</v>
      </c>
      <c r="T172" s="62" t="s">
        <v>775</v>
      </c>
      <c r="U172" s="56">
        <v>1</v>
      </c>
      <c r="V172" s="62"/>
      <c r="W172" s="61" t="s">
        <v>750</v>
      </c>
      <c r="X172" s="55" t="s">
        <v>722</v>
      </c>
      <c r="Y172" s="63" t="s">
        <v>753</v>
      </c>
      <c r="Z172" s="55" t="s">
        <v>696</v>
      </c>
      <c r="AA172" s="63" t="s">
        <v>761</v>
      </c>
      <c r="AB172" s="55" t="s">
        <v>671</v>
      </c>
      <c r="AC172" s="56">
        <v>1</v>
      </c>
      <c r="AD172" s="55"/>
      <c r="AE172" s="56">
        <v>0</v>
      </c>
      <c r="AF172" s="56"/>
      <c r="AG172" s="56"/>
      <c r="AH172" s="56"/>
      <c r="AI172" s="56" t="s">
        <v>178</v>
      </c>
      <c r="AJ172" s="56">
        <v>2</v>
      </c>
      <c r="AK172" s="56"/>
      <c r="AL172" s="64"/>
      <c r="AM172" s="65">
        <f>Table43[[#This Row],[Harga Beli Pcs
(-PPN)]]*Table43[[#This Row],[ISI/CTN]]</f>
        <v>0</v>
      </c>
      <c r="AN172" s="65">
        <f>Table43[[#This Row],[Harga Beli Pcs
(-PPN)]]*1.11</f>
        <v>0</v>
      </c>
      <c r="AO172" s="65">
        <f>Table43[[#This Row],[Harga Beli Krt
(- PPN)]]*1.11</f>
        <v>0</v>
      </c>
      <c r="AP172" s="65"/>
      <c r="AQ172" s="65">
        <f>Table43[[#This Row],[Harga Jual Pcs GT
(-PPN)]]*Table43[[#This Row],[ISI/CTN]]</f>
        <v>0</v>
      </c>
      <c r="AR172" s="65">
        <f>Table43[[#This Row],[Harga Jual Pcs GT
(-PPN)]]*1.11</f>
        <v>0</v>
      </c>
      <c r="AS172" s="65">
        <f>Table43[[#This Row],[Harga Jual Krt GT
(- PPN)]]*1.11</f>
        <v>0</v>
      </c>
      <c r="AT172" s="65"/>
      <c r="AU172" s="65">
        <f>Table43[[#This Row],[Harga Jual Pcs MT
(-PPN)]]*Table43[[#This Row],[ISI/CTN]]</f>
        <v>0</v>
      </c>
      <c r="AV172" s="65">
        <f>Table43[[#This Row],[Harga Jual Pcs MT
(-PPN)]]*1.11</f>
        <v>0</v>
      </c>
      <c r="AW172" s="65">
        <f>Table43[[#This Row],[Harga Jual Pcs MT
(+PPN)]]*Table43[[#This Row],[ISI/CTN]]</f>
        <v>0</v>
      </c>
      <c r="AX172" s="66">
        <f>IFERROR((Table43[[#This Row],[Harga Jual Pcs GT
(-PPN)]]-Table43[[#This Row],[Harga Beli Pcs
(-PPN)]])/Table43[[#This Row],[Harga Jual Pcs GT
(-PPN)]],0)</f>
        <v>0</v>
      </c>
      <c r="AY172" s="67"/>
      <c r="AZ172" s="56"/>
      <c r="BA172" s="56" t="str">
        <f ca="1">IF(TODAY()-Table43[[#This Row],[Efektif
Pembuatan]]&gt;60,"Lama","Baru")</f>
        <v>Lama</v>
      </c>
      <c r="BB172" s="56" t="str">
        <f ca="1">IF(TODAY()-Table43[[#This Row],[Efektif Naik Harga]]&lt;30,"Naik","Sama")</f>
        <v>Sama</v>
      </c>
      <c r="BC172" s="56"/>
      <c r="BD172" s="56" t="str">
        <f>IF(Table43[[#This Row],[Kode BARANG Win2]]&lt;&gt;"","IDR","")</f>
        <v>IDR</v>
      </c>
      <c r="BE172" s="56" t="str">
        <f>CONCATENATE(Table43[[#This Row],[kode  1 Digit
(Nomor)]],Table43[[#This Row],[kode  4 Digit                (Nomor)]])</f>
        <v>20380</v>
      </c>
      <c r="BF172" s="56" t="str">
        <f>Table43[[#This Row],[Nama            Gramasi atau Jumlah Pack per CTN]]</f>
        <v>380ML</v>
      </c>
      <c r="BG172" s="56"/>
      <c r="BH172" s="56"/>
      <c r="BI172" s="55" t="str">
        <f>IF(Table43[[#This Row],[SATUAN Fix Win]]&lt;&gt;"","KRT")</f>
        <v>KRT</v>
      </c>
      <c r="BJ172" s="55" t="str">
        <f>IF(Table43[[#This Row],[SATUAN Fix Win]]&lt;&gt;"","GD01")</f>
        <v>GD01</v>
      </c>
      <c r="BK172" s="55">
        <f>IF(Table43[[#This Row],[SATUAN Fix Win]]&lt;&gt;"",11611)</f>
        <v>11611</v>
      </c>
      <c r="BL172" s="55">
        <f>IF(Table43[[#This Row],[SATUAN Fix Win]]&lt;&gt;"",11612)</f>
        <v>11612</v>
      </c>
      <c r="BM172" s="68"/>
      <c r="BN172" s="55">
        <f>IF(Table43[[#This Row],[SATUAN Fix Win]]&lt;&gt;"",1)</f>
        <v>1</v>
      </c>
      <c r="BO172" s="55"/>
      <c r="BP172" s="55"/>
      <c r="BQ172" s="55"/>
      <c r="BR172" s="55"/>
    </row>
    <row r="173" spans="1:70">
      <c r="A173" s="4" t="str">
        <f>CONCATENATE(Table43[[#This Row],[Kode BARANG Win2]],Table43[[#This Row],[No. Urut
Item Sama]])</f>
        <v>F40721010400101</v>
      </c>
      <c r="B173" s="7">
        <v>1</v>
      </c>
      <c r="C173" s="4">
        <v>136</v>
      </c>
      <c r="D173" s="27" t="s">
        <v>455</v>
      </c>
      <c r="E173" s="27" t="s">
        <v>629</v>
      </c>
      <c r="F173" s="27" t="s">
        <v>576</v>
      </c>
      <c r="G173" s="27">
        <v>24</v>
      </c>
      <c r="H173" s="54">
        <v>8992946532108</v>
      </c>
      <c r="I173" s="27" t="str">
        <f>Table43[[#This Row],[Nama Jenis Kemasan]]</f>
        <v>PCH</v>
      </c>
      <c r="J173" s="4" t="str">
        <f>TRIM(CONCATENATE(Table43[[#This Row],[Nama            KLP]]," ",Table43[[#This Row],[Nama            Sub KLP]]))</f>
        <v>ZEN BODY WSH</v>
      </c>
      <c r="K173" s="4" t="str">
        <f>CONCATENATE(Table43[[#This Row],[kode  2 Digit                (hrf+No)]],Table43[[#This Row],[kode  2 Digit                (Nomor)]],Table43[[#This Row],[kode  1 Digit                (Nomor)]])</f>
        <v>F4072</v>
      </c>
      <c r="L173" s="4" t="str">
        <f>IF(AG173="",CONCATENATE(Q173,S173,U173,W173,Y173,AA173,AC173,AE173,Table43[[#This Row],[Tanda Kode Revisi]]),CONCATENATE(Q173,S173,U173,W173,Y173,AA173,AC173,AG173))</f>
        <v>F4072101040010</v>
      </c>
      <c r="M173" s="11">
        <f t="shared" si="16"/>
        <v>14</v>
      </c>
      <c r="N173" s="14" t="str">
        <f>IF(AF173&lt;&gt;"",TRIM(UPPER(CONCATENATE(P173," ",R173," ",T173," ",V173," ",X173," ",Z173," ","X"," ",Table43[[#This Row],[ISI/CTN]]," ",AF173," ",AB173," ",AD173," ",AH173))),TRIM(UPPER(CONCATENATE(P173," ",R173," ",T173," ",V173," ",X173," ",Z173," ","X"," ",Table43[[#This Row],[ISI/CTN]]," ",AB173," ",AD173," ",AH173))))</f>
        <v>ZEN BODY WSH REF SHISO &amp; SANDALWOOD 400ML X 24 PCH</v>
      </c>
      <c r="O173" s="11">
        <f t="shared" si="17"/>
        <v>50</v>
      </c>
      <c r="Q173" s="7" t="s">
        <v>662</v>
      </c>
      <c r="R173" s="4" t="s">
        <v>629</v>
      </c>
      <c r="S173" s="48" t="s">
        <v>756</v>
      </c>
      <c r="T173" s="49" t="s">
        <v>785</v>
      </c>
      <c r="U173" s="7">
        <v>2</v>
      </c>
      <c r="V173" s="49" t="s">
        <v>776</v>
      </c>
      <c r="W173" s="48" t="s">
        <v>750</v>
      </c>
      <c r="X173" s="4" t="s">
        <v>721</v>
      </c>
      <c r="Y173" s="50" t="s">
        <v>749</v>
      </c>
      <c r="Z173" s="4" t="s">
        <v>670</v>
      </c>
      <c r="AA173" s="50" t="s">
        <v>739</v>
      </c>
      <c r="AB173" s="4" t="s">
        <v>671</v>
      </c>
      <c r="AC173" s="7">
        <v>1</v>
      </c>
      <c r="AE173" s="7">
        <v>0</v>
      </c>
      <c r="AI173" s="7" t="s">
        <v>178</v>
      </c>
      <c r="AJ173" s="7">
        <v>2</v>
      </c>
      <c r="AL173" s="38">
        <v>18351.171171171172</v>
      </c>
      <c r="AM173" s="39">
        <f>Table43[[#This Row],[Harga Beli Pcs
(-PPN)]]*Table43[[#This Row],[ISI/CTN]]</f>
        <v>440428.10810810816</v>
      </c>
      <c r="AN173" s="39">
        <f>Table43[[#This Row],[Harga Beli Pcs
(-PPN)]]*1.11</f>
        <v>20369.800000000003</v>
      </c>
      <c r="AO173" s="39">
        <f>Table43[[#This Row],[Harga Beli Krt
(- PPN)]]*1.11</f>
        <v>488875.20000000013</v>
      </c>
      <c r="AP173" s="39">
        <v>19819.819819819819</v>
      </c>
      <c r="AQ173" s="39">
        <f>Table43[[#This Row],[Harga Jual Pcs GT
(-PPN)]]*Table43[[#This Row],[ISI/CTN]]</f>
        <v>475675.67567567562</v>
      </c>
      <c r="AR173" s="39">
        <f>Table43[[#This Row],[Harga Jual Pcs GT
(-PPN)]]*1.11</f>
        <v>22000</v>
      </c>
      <c r="AS173" s="39">
        <f>Table43[[#This Row],[Harga Jual Krt GT
(- PPN)]]*1.11</f>
        <v>528000</v>
      </c>
      <c r="AT173" s="39"/>
      <c r="AU173" s="39">
        <f>Table43[[#This Row],[Harga Jual Pcs MT
(-PPN)]]*Table43[[#This Row],[ISI/CTN]]</f>
        <v>0</v>
      </c>
      <c r="AV173" s="39">
        <f>Table43[[#This Row],[Harga Jual Pcs MT
(-PPN)]]*1.11</f>
        <v>0</v>
      </c>
      <c r="AW173" s="39">
        <f>Table43[[#This Row],[Harga Jual Pcs MT
(+PPN)]]*Table43[[#This Row],[ISI/CTN]]</f>
        <v>0</v>
      </c>
      <c r="AX173" s="47">
        <f>IFERROR((Table43[[#This Row],[Harga Jual Pcs GT
(-PPN)]]-Table43[[#This Row],[Harga Beli Pcs
(-PPN)]])/Table43[[#This Row],[Harga Jual Pcs GT
(-PPN)]],0)</f>
        <v>7.4099999999999888E-2</v>
      </c>
      <c r="AY173" s="51">
        <v>45848</v>
      </c>
      <c r="AZ173" s="7"/>
      <c r="BA173" s="7" t="str">
        <f ca="1">IF(TODAY()-Table43[[#This Row],[Efektif
Pembuatan]]&gt;60,"Lama","Baru")</f>
        <v>Lama</v>
      </c>
      <c r="BB173" s="7" t="str">
        <f ca="1">IF(TODAY()-Table43[[#This Row],[Efektif Naik Harga]]&lt;30,"Naik","Sama")</f>
        <v>Sama</v>
      </c>
      <c r="BC173" s="7" t="s">
        <v>185</v>
      </c>
      <c r="BD173" s="7" t="str">
        <f>IF(Table43[[#This Row],[Kode BARANG Win2]]&lt;&gt;"","IDR","")</f>
        <v>IDR</v>
      </c>
      <c r="BE173" s="7" t="str">
        <f>CONCATENATE(Table43[[#This Row],[kode  1 Digit
(Nomor)]],Table43[[#This Row],[kode  4 Digit                (Nomor)]])</f>
        <v>20400</v>
      </c>
      <c r="BF173" s="7" t="str">
        <f>Table43[[#This Row],[Nama            Gramasi atau Jumlah Pack per CTN]]</f>
        <v>400ML</v>
      </c>
      <c r="BG173" s="7" t="s">
        <v>1060</v>
      </c>
      <c r="BH173" s="7" t="s">
        <v>377</v>
      </c>
      <c r="BI173" s="4" t="str">
        <f>IF(Table43[[#This Row],[SATUAN Fix Win]]&lt;&gt;"","KRT")</f>
        <v>KRT</v>
      </c>
      <c r="BJ173" s="4" t="str">
        <f>IF(Table43[[#This Row],[SATUAN Fix Win]]&lt;&gt;"","GD01")</f>
        <v>GD01</v>
      </c>
      <c r="BK173" s="4">
        <f>IF(Table43[[#This Row],[SATUAN Fix Win]]&lt;&gt;"",11611)</f>
        <v>11611</v>
      </c>
      <c r="BL173" s="4">
        <f>IF(Table43[[#This Row],[SATUAN Fix Win]]&lt;&gt;"",11612)</f>
        <v>11612</v>
      </c>
      <c r="BM173" s="52" t="s">
        <v>378</v>
      </c>
      <c r="BN173" s="4">
        <f>IF(Table43[[#This Row],[SATUAN Fix Win]]&lt;&gt;"",1)</f>
        <v>1</v>
      </c>
      <c r="BO173" s="4" t="s">
        <v>637</v>
      </c>
    </row>
    <row r="174" spans="1:70">
      <c r="A174" s="4" t="str">
        <f>CONCATENATE(Table43[[#This Row],[Kode BARANG Win2]],Table43[[#This Row],[No. Urut
Item Sama]])</f>
        <v>F40721020400101</v>
      </c>
      <c r="B174" s="7">
        <v>1</v>
      </c>
      <c r="C174" s="4">
        <v>137</v>
      </c>
      <c r="D174" s="27" t="s">
        <v>460</v>
      </c>
      <c r="E174" s="27" t="s">
        <v>629</v>
      </c>
      <c r="F174" s="27" t="s">
        <v>581</v>
      </c>
      <c r="G174" s="27">
        <v>24</v>
      </c>
      <c r="H174" s="54">
        <v>8992946532139</v>
      </c>
      <c r="I174" s="27" t="str">
        <f>Table43[[#This Row],[Nama Jenis Kemasan]]</f>
        <v>PCH</v>
      </c>
      <c r="J174" s="4" t="str">
        <f>TRIM(CONCATENATE(Table43[[#This Row],[Nama            KLP]]," ",Table43[[#This Row],[Nama            Sub KLP]]))</f>
        <v>ZEN BODY WSH</v>
      </c>
      <c r="K174" s="4" t="str">
        <f>CONCATENATE(Table43[[#This Row],[kode  2 Digit                (hrf+No)]],Table43[[#This Row],[kode  2 Digit                (Nomor)]],Table43[[#This Row],[kode  1 Digit                (Nomor)]])</f>
        <v>F4072</v>
      </c>
      <c r="L174" s="4" t="str">
        <f>IF(AG174="",CONCATENATE(Q174,S174,U174,W174,Y174,AA174,AC174,AE174,Table43[[#This Row],[Tanda Kode Revisi]]),CONCATENATE(Q174,S174,U174,W174,Y174,AA174,AC174,AG174))</f>
        <v>F4072102040010</v>
      </c>
      <c r="M174" s="11">
        <f t="shared" si="16"/>
        <v>14</v>
      </c>
      <c r="N174" s="14" t="str">
        <f>IF(AF174&lt;&gt;"",TRIM(UPPER(CONCATENATE(P174," ",R174," ",T174," ",V174," ",X174," ",Z174," ","X"," ",Table43[[#This Row],[ISI/CTN]]," ",AF174," ",AB174," ",AD174," ",AH174))),TRIM(UPPER(CONCATENATE(P174," ",R174," ",T174," ",V174," ",X174," ",Z174," ","X"," ",Table43[[#This Row],[ISI/CTN]]," ",AB174," ",AD174," ",AH174))))</f>
        <v>ZEN BODY WSH REF SHISO &amp; SEA SALT 400ML X 24 PCH</v>
      </c>
      <c r="O174" s="11">
        <f t="shared" si="17"/>
        <v>48</v>
      </c>
      <c r="Q174" s="7" t="s">
        <v>662</v>
      </c>
      <c r="R174" s="4" t="s">
        <v>629</v>
      </c>
      <c r="S174" s="48" t="s">
        <v>756</v>
      </c>
      <c r="T174" s="49" t="s">
        <v>785</v>
      </c>
      <c r="U174" s="7">
        <v>2</v>
      </c>
      <c r="V174" s="49" t="s">
        <v>776</v>
      </c>
      <c r="W174" s="48" t="s">
        <v>750</v>
      </c>
      <c r="X174" s="4" t="s">
        <v>722</v>
      </c>
      <c r="Y174" s="50" t="s">
        <v>751</v>
      </c>
      <c r="Z174" s="4" t="s">
        <v>670</v>
      </c>
      <c r="AA174" s="50" t="s">
        <v>739</v>
      </c>
      <c r="AB174" s="4" t="s">
        <v>671</v>
      </c>
      <c r="AC174" s="7">
        <v>1</v>
      </c>
      <c r="AE174" s="7">
        <v>0</v>
      </c>
      <c r="AI174" s="7" t="s">
        <v>178</v>
      </c>
      <c r="AJ174" s="7">
        <v>2</v>
      </c>
      <c r="AL174" s="38">
        <v>18351.171171171172</v>
      </c>
      <c r="AM174" s="39">
        <f>Table43[[#This Row],[Harga Beli Pcs
(-PPN)]]*Table43[[#This Row],[ISI/CTN]]</f>
        <v>440428.10810810816</v>
      </c>
      <c r="AN174" s="39">
        <f>Table43[[#This Row],[Harga Beli Pcs
(-PPN)]]*1.11</f>
        <v>20369.800000000003</v>
      </c>
      <c r="AO174" s="39">
        <f>Table43[[#This Row],[Harga Beli Krt
(- PPN)]]*1.11</f>
        <v>488875.20000000013</v>
      </c>
      <c r="AP174" s="39">
        <v>19819.819819819819</v>
      </c>
      <c r="AQ174" s="39">
        <f>Table43[[#This Row],[Harga Jual Pcs GT
(-PPN)]]*Table43[[#This Row],[ISI/CTN]]</f>
        <v>475675.67567567562</v>
      </c>
      <c r="AR174" s="39">
        <f>Table43[[#This Row],[Harga Jual Pcs GT
(-PPN)]]*1.11</f>
        <v>22000</v>
      </c>
      <c r="AS174" s="39">
        <f>Table43[[#This Row],[Harga Jual Krt GT
(- PPN)]]*1.11</f>
        <v>528000</v>
      </c>
      <c r="AT174" s="39"/>
      <c r="AU174" s="39">
        <f>Table43[[#This Row],[Harga Jual Pcs MT
(-PPN)]]*Table43[[#This Row],[ISI/CTN]]</f>
        <v>0</v>
      </c>
      <c r="AV174" s="39">
        <f>Table43[[#This Row],[Harga Jual Pcs MT
(-PPN)]]*1.11</f>
        <v>0</v>
      </c>
      <c r="AW174" s="39">
        <f>Table43[[#This Row],[Harga Jual Pcs MT
(+PPN)]]*Table43[[#This Row],[ISI/CTN]]</f>
        <v>0</v>
      </c>
      <c r="AX174" s="47">
        <f>IFERROR((Table43[[#This Row],[Harga Jual Pcs GT
(-PPN)]]-Table43[[#This Row],[Harga Beli Pcs
(-PPN)]])/Table43[[#This Row],[Harga Jual Pcs GT
(-PPN)]],0)</f>
        <v>7.4099999999999888E-2</v>
      </c>
      <c r="AY174" s="51">
        <v>45848</v>
      </c>
      <c r="AZ174" s="7"/>
      <c r="BA174" s="7" t="str">
        <f ca="1">IF(TODAY()-Table43[[#This Row],[Efektif
Pembuatan]]&gt;60,"Lama","Baru")</f>
        <v>Lama</v>
      </c>
      <c r="BB174" s="7" t="str">
        <f ca="1">IF(TODAY()-Table43[[#This Row],[Efektif Naik Harga]]&lt;30,"Naik","Sama")</f>
        <v>Sama</v>
      </c>
      <c r="BC174" s="7" t="s">
        <v>185</v>
      </c>
      <c r="BD174" s="7" t="str">
        <f>IF(Table43[[#This Row],[Kode BARANG Win2]]&lt;&gt;"","IDR","")</f>
        <v>IDR</v>
      </c>
      <c r="BE174" s="7" t="str">
        <f>CONCATENATE(Table43[[#This Row],[kode  1 Digit
(Nomor)]],Table43[[#This Row],[kode  4 Digit                (Nomor)]])</f>
        <v>20400</v>
      </c>
      <c r="BF174" s="7" t="str">
        <f>Table43[[#This Row],[Nama            Gramasi atau Jumlah Pack per CTN]]</f>
        <v>400ML</v>
      </c>
      <c r="BG174" s="7" t="s">
        <v>1060</v>
      </c>
      <c r="BH174" s="7" t="s">
        <v>377</v>
      </c>
      <c r="BI174" s="4" t="str">
        <f>IF(Table43[[#This Row],[SATUAN Fix Win]]&lt;&gt;"","KRT")</f>
        <v>KRT</v>
      </c>
      <c r="BJ174" s="4" t="str">
        <f>IF(Table43[[#This Row],[SATUAN Fix Win]]&lt;&gt;"","GD01")</f>
        <v>GD01</v>
      </c>
      <c r="BK174" s="4">
        <f>IF(Table43[[#This Row],[SATUAN Fix Win]]&lt;&gt;"",11611)</f>
        <v>11611</v>
      </c>
      <c r="BL174" s="4">
        <f>IF(Table43[[#This Row],[SATUAN Fix Win]]&lt;&gt;"",11612)</f>
        <v>11612</v>
      </c>
      <c r="BM174" s="52" t="s">
        <v>378</v>
      </c>
      <c r="BN174" s="4">
        <f>IF(Table43[[#This Row],[SATUAN Fix Win]]&lt;&gt;"",1)</f>
        <v>1</v>
      </c>
      <c r="BO174" s="4" t="s">
        <v>637</v>
      </c>
    </row>
    <row r="175" spans="1:70">
      <c r="A175" s="4" t="str">
        <f>CONCATENATE(Table43[[#This Row],[Kode BARANG Win2]],Table43[[#This Row],[No. Urut
Item Sama]])</f>
        <v>F40721030400101</v>
      </c>
      <c r="B175" s="7">
        <v>1</v>
      </c>
      <c r="C175" s="4">
        <v>138</v>
      </c>
      <c r="D175" s="27" t="s">
        <v>465</v>
      </c>
      <c r="E175" s="27" t="s">
        <v>629</v>
      </c>
      <c r="F175" s="27" t="s">
        <v>586</v>
      </c>
      <c r="G175" s="27">
        <v>24</v>
      </c>
      <c r="H175" s="54">
        <v>8992946532146</v>
      </c>
      <c r="I175" s="27" t="str">
        <f>Table43[[#This Row],[Nama Jenis Kemasan]]</f>
        <v>PCH</v>
      </c>
      <c r="J175" s="4" t="str">
        <f>TRIM(CONCATENATE(Table43[[#This Row],[Nama            KLP]]," ",Table43[[#This Row],[Nama            Sub KLP]]))</f>
        <v>ZEN BODY WSH</v>
      </c>
      <c r="K175" s="4" t="str">
        <f>CONCATENATE(Table43[[#This Row],[kode  2 Digit                (hrf+No)]],Table43[[#This Row],[kode  2 Digit                (Nomor)]],Table43[[#This Row],[kode  1 Digit                (Nomor)]])</f>
        <v>F4072</v>
      </c>
      <c r="L175" s="4" t="str">
        <f>IF(AG175="",CONCATENATE(Q175,S175,U175,W175,Y175,AA175,AC175,AE175,Table43[[#This Row],[Tanda Kode Revisi]]),CONCATENATE(Q175,S175,U175,W175,Y175,AA175,AC175,AG175))</f>
        <v>F4072103040010</v>
      </c>
      <c r="M175" s="11">
        <f t="shared" si="16"/>
        <v>14</v>
      </c>
      <c r="N175" s="14" t="str">
        <f>IF(AF175&lt;&gt;"",TRIM(UPPER(CONCATENATE(P175," ",R175," ",T175," ",V175," ",X175," ",Z175," ","X"," ",Table43[[#This Row],[ISI/CTN]]," ",AF175," ",AB175," ",AD175," ",AH175))),TRIM(UPPER(CONCATENATE(P175," ",R175," ",T175," ",V175," ",X175," ",Z175," ","X"," ",Table43[[#This Row],[ISI/CTN]]," ",AB175," ",AD175," ",AH175))))</f>
        <v>ZEN BODY WSH REF SHISO &amp; SULPHUR 400ML X 24 PCH</v>
      </c>
      <c r="O175" s="11">
        <f t="shared" si="17"/>
        <v>47</v>
      </c>
      <c r="Q175" s="7" t="s">
        <v>662</v>
      </c>
      <c r="R175" s="4" t="s">
        <v>629</v>
      </c>
      <c r="S175" s="48" t="s">
        <v>756</v>
      </c>
      <c r="T175" s="49" t="s">
        <v>785</v>
      </c>
      <c r="U175" s="7">
        <v>2</v>
      </c>
      <c r="V175" s="49" t="s">
        <v>776</v>
      </c>
      <c r="W175" s="48" t="s">
        <v>750</v>
      </c>
      <c r="X175" s="4" t="s">
        <v>723</v>
      </c>
      <c r="Y175" s="50" t="s">
        <v>752</v>
      </c>
      <c r="Z175" s="4" t="s">
        <v>670</v>
      </c>
      <c r="AA175" s="50" t="s">
        <v>739</v>
      </c>
      <c r="AB175" s="4" t="s">
        <v>671</v>
      </c>
      <c r="AC175" s="7">
        <v>1</v>
      </c>
      <c r="AE175" s="7">
        <v>0</v>
      </c>
      <c r="AI175" s="7" t="s">
        <v>178</v>
      </c>
      <c r="AJ175" s="7">
        <v>2</v>
      </c>
      <c r="AL175" s="38">
        <v>18351.171171171172</v>
      </c>
      <c r="AM175" s="39">
        <f>Table43[[#This Row],[Harga Beli Pcs
(-PPN)]]*Table43[[#This Row],[ISI/CTN]]</f>
        <v>440428.10810810816</v>
      </c>
      <c r="AN175" s="39">
        <f>Table43[[#This Row],[Harga Beli Pcs
(-PPN)]]*1.11</f>
        <v>20369.800000000003</v>
      </c>
      <c r="AO175" s="39">
        <f>Table43[[#This Row],[Harga Beli Krt
(- PPN)]]*1.11</f>
        <v>488875.20000000013</v>
      </c>
      <c r="AP175" s="39">
        <v>19819.819819819819</v>
      </c>
      <c r="AQ175" s="39">
        <f>Table43[[#This Row],[Harga Jual Pcs GT
(-PPN)]]*Table43[[#This Row],[ISI/CTN]]</f>
        <v>475675.67567567562</v>
      </c>
      <c r="AR175" s="39">
        <f>Table43[[#This Row],[Harga Jual Pcs GT
(-PPN)]]*1.11</f>
        <v>22000</v>
      </c>
      <c r="AS175" s="39">
        <f>Table43[[#This Row],[Harga Jual Krt GT
(- PPN)]]*1.11</f>
        <v>528000</v>
      </c>
      <c r="AT175" s="39"/>
      <c r="AU175" s="39">
        <f>Table43[[#This Row],[Harga Jual Pcs MT
(-PPN)]]*Table43[[#This Row],[ISI/CTN]]</f>
        <v>0</v>
      </c>
      <c r="AV175" s="39">
        <f>Table43[[#This Row],[Harga Jual Pcs MT
(-PPN)]]*1.11</f>
        <v>0</v>
      </c>
      <c r="AW175" s="39">
        <f>Table43[[#This Row],[Harga Jual Pcs MT
(+PPN)]]*Table43[[#This Row],[ISI/CTN]]</f>
        <v>0</v>
      </c>
      <c r="AX175" s="47">
        <f>IFERROR((Table43[[#This Row],[Harga Jual Pcs GT
(-PPN)]]-Table43[[#This Row],[Harga Beli Pcs
(-PPN)]])/Table43[[#This Row],[Harga Jual Pcs GT
(-PPN)]],0)</f>
        <v>7.4099999999999888E-2</v>
      </c>
      <c r="AY175" s="51">
        <v>45848</v>
      </c>
      <c r="AZ175" s="7"/>
      <c r="BA175" s="7" t="str">
        <f ca="1">IF(TODAY()-Table43[[#This Row],[Efektif
Pembuatan]]&gt;60,"Lama","Baru")</f>
        <v>Lama</v>
      </c>
      <c r="BB175" s="7" t="str">
        <f ca="1">IF(TODAY()-Table43[[#This Row],[Efektif Naik Harga]]&lt;30,"Naik","Sama")</f>
        <v>Sama</v>
      </c>
      <c r="BC175" s="7" t="s">
        <v>185</v>
      </c>
      <c r="BD175" s="7" t="str">
        <f>IF(Table43[[#This Row],[Kode BARANG Win2]]&lt;&gt;"","IDR","")</f>
        <v>IDR</v>
      </c>
      <c r="BE175" s="7" t="str">
        <f>CONCATENATE(Table43[[#This Row],[kode  1 Digit
(Nomor)]],Table43[[#This Row],[kode  4 Digit                (Nomor)]])</f>
        <v>20400</v>
      </c>
      <c r="BF175" s="7" t="str">
        <f>Table43[[#This Row],[Nama            Gramasi atau Jumlah Pack per CTN]]</f>
        <v>400ML</v>
      </c>
      <c r="BG175" s="7" t="s">
        <v>1060</v>
      </c>
      <c r="BH175" s="7" t="s">
        <v>377</v>
      </c>
      <c r="BI175" s="4" t="str">
        <f>IF(Table43[[#This Row],[SATUAN Fix Win]]&lt;&gt;"","KRT")</f>
        <v>KRT</v>
      </c>
      <c r="BJ175" s="4" t="str">
        <f>IF(Table43[[#This Row],[SATUAN Fix Win]]&lt;&gt;"","GD01")</f>
        <v>GD01</v>
      </c>
      <c r="BK175" s="4">
        <f>IF(Table43[[#This Row],[SATUAN Fix Win]]&lt;&gt;"",11611)</f>
        <v>11611</v>
      </c>
      <c r="BL175" s="4">
        <f>IF(Table43[[#This Row],[SATUAN Fix Win]]&lt;&gt;"",11612)</f>
        <v>11612</v>
      </c>
      <c r="BM175" s="52" t="s">
        <v>378</v>
      </c>
      <c r="BN175" s="4">
        <f>IF(Table43[[#This Row],[SATUAN Fix Win]]&lt;&gt;"",1)</f>
        <v>1</v>
      </c>
      <c r="BO175" s="4" t="s">
        <v>637</v>
      </c>
    </row>
    <row r="176" spans="1:70">
      <c r="A176" s="91" t="str">
        <f>CONCATENATE(Table43[[#This Row],[Kode BARANG Win2]],Table43[[#This Row],[No. Urut
Item Sama]])</f>
        <v>F40721030400101</v>
      </c>
      <c r="B176" s="92">
        <v>1</v>
      </c>
      <c r="C176" s="91">
        <v>138</v>
      </c>
      <c r="D176" s="93" t="s">
        <v>1259</v>
      </c>
      <c r="E176" s="93" t="s">
        <v>629</v>
      </c>
      <c r="F176" s="93" t="s">
        <v>586</v>
      </c>
      <c r="G176" s="93">
        <v>24</v>
      </c>
      <c r="H176" s="107">
        <v>8992946532146</v>
      </c>
      <c r="I176" s="93" t="str">
        <f>Table43[[#This Row],[Nama Jenis Kemasan]]</f>
        <v>PCH</v>
      </c>
      <c r="J176" s="91" t="str">
        <f>TRIM(CONCATENATE(Table43[[#This Row],[Nama            KLP]]," ",Table43[[#This Row],[Nama            Sub KLP]]))</f>
        <v>ZEN BODY WSH</v>
      </c>
      <c r="K176" s="91" t="str">
        <f>CONCATENATE(Table43[[#This Row],[kode  2 Digit                (hrf+No)]],Table43[[#This Row],[kode  2 Digit                (Nomor)]],Table43[[#This Row],[kode  1 Digit                (Nomor)]])</f>
        <v>F4072</v>
      </c>
      <c r="L176" s="91" t="str">
        <f>IF(AG176="",CONCATENATE(Q176,S176,U176,W176,Y176,AA176,AC176,AE176,Table43[[#This Row],[Tanda Kode Revisi]]),CONCATENATE(Q176,S176,U176,W176,Y176,AA176,AC176,AG176))</f>
        <v>F4072103040010</v>
      </c>
      <c r="M176" s="95">
        <f>LEN(L176)</f>
        <v>14</v>
      </c>
      <c r="N176" s="96" t="str">
        <f>IF(AF176&lt;&gt;"",TRIM(UPPER(CONCATENATE(P176," ",R176," ",T176," ",V176," ",X176," ",Z176," ","X"," ",Table43[[#This Row],[ISI/CTN]]," ",AF176," ",AB176," ",AD176," ",AH176))),TRIM(UPPER(CONCATENATE(P176," ",R176," ",T176," ",V176," ",X176," ",Z176," ","X"," ",Table43[[#This Row],[ISI/CTN]]," ",AB176," ",AD176," ",AH176))))</f>
        <v>ZEN BODY WSH REF SHISO &amp; SULPHUR 380/400ML X 24 PCH</v>
      </c>
      <c r="O176" s="95">
        <f>LEN(N176)</f>
        <v>51</v>
      </c>
      <c r="P176" s="91"/>
      <c r="Q176" s="92" t="s">
        <v>662</v>
      </c>
      <c r="R176" s="91" t="s">
        <v>629</v>
      </c>
      <c r="S176" s="97" t="s">
        <v>756</v>
      </c>
      <c r="T176" s="98" t="s">
        <v>785</v>
      </c>
      <c r="U176" s="92">
        <v>2</v>
      </c>
      <c r="V176" s="98" t="s">
        <v>776</v>
      </c>
      <c r="W176" s="97" t="s">
        <v>750</v>
      </c>
      <c r="X176" s="91" t="s">
        <v>723</v>
      </c>
      <c r="Y176" s="99" t="s">
        <v>752</v>
      </c>
      <c r="Z176" s="91" t="s">
        <v>1260</v>
      </c>
      <c r="AA176" s="99" t="s">
        <v>739</v>
      </c>
      <c r="AB176" s="91" t="s">
        <v>671</v>
      </c>
      <c r="AC176" s="92">
        <v>1</v>
      </c>
      <c r="AD176" s="91"/>
      <c r="AE176" s="92">
        <v>0</v>
      </c>
      <c r="AF176" s="92"/>
      <c r="AG176" s="92"/>
      <c r="AH176" s="92"/>
      <c r="AI176" s="92" t="s">
        <v>178</v>
      </c>
      <c r="AJ176" s="92">
        <v>2</v>
      </c>
      <c r="AK176" s="92"/>
      <c r="AL176" s="100">
        <v>18351.171171171172</v>
      </c>
      <c r="AM176" s="101">
        <f>Table43[[#This Row],[Harga Beli Pcs
(-PPN)]]*Table43[[#This Row],[ISI/CTN]]</f>
        <v>440428.10810810816</v>
      </c>
      <c r="AN176" s="101">
        <f>Table43[[#This Row],[Harga Beli Pcs
(-PPN)]]*1.11</f>
        <v>20369.800000000003</v>
      </c>
      <c r="AO176" s="101">
        <f>Table43[[#This Row],[Harga Beli Krt
(- PPN)]]*1.11</f>
        <v>488875.20000000013</v>
      </c>
      <c r="AP176" s="101">
        <v>19819.819819819819</v>
      </c>
      <c r="AQ176" s="101">
        <f>Table43[[#This Row],[Harga Jual Pcs GT
(-PPN)]]*Table43[[#This Row],[ISI/CTN]]</f>
        <v>475675.67567567562</v>
      </c>
      <c r="AR176" s="101">
        <f>Table43[[#This Row],[Harga Jual Pcs GT
(-PPN)]]*1.11</f>
        <v>22000</v>
      </c>
      <c r="AS176" s="101">
        <f>Table43[[#This Row],[Harga Jual Krt GT
(- PPN)]]*1.11</f>
        <v>528000</v>
      </c>
      <c r="AT176" s="101"/>
      <c r="AU176" s="101">
        <f>Table43[[#This Row],[Harga Jual Pcs MT
(-PPN)]]*Table43[[#This Row],[ISI/CTN]]</f>
        <v>0</v>
      </c>
      <c r="AV176" s="101">
        <f>Table43[[#This Row],[Harga Jual Pcs MT
(-PPN)]]*1.11</f>
        <v>0</v>
      </c>
      <c r="AW176" s="101">
        <f>Table43[[#This Row],[Harga Jual Pcs MT
(+PPN)]]*Table43[[#This Row],[ISI/CTN]]</f>
        <v>0</v>
      </c>
      <c r="AX176" s="102">
        <f>IFERROR((Table43[[#This Row],[Harga Jual Pcs GT
(-PPN)]]-Table43[[#This Row],[Harga Beli Pcs
(-PPN)]])/Table43[[#This Row],[Harga Jual Pcs GT
(-PPN)]],0)</f>
        <v>7.4099999999999888E-2</v>
      </c>
      <c r="AY176" s="103">
        <v>46044</v>
      </c>
      <c r="AZ176" s="92"/>
      <c r="BA176" s="92" t="str">
        <f ca="1">IF(TODAY()-Table43[[#This Row],[Efektif
Pembuatan]]&gt;60,"Lama","Baru")</f>
        <v>Lama</v>
      </c>
      <c r="BB176" s="92" t="str">
        <f ca="1">IF(TODAY()-Table43[[#This Row],[Efektif Naik Harga]]&lt;30,"Naik","Sama")</f>
        <v>Sama</v>
      </c>
      <c r="BC176" s="92"/>
      <c r="BD176" s="92" t="str">
        <f>IF(Table43[[#This Row],[Kode BARANG Win2]]&lt;&gt;"","IDR","")</f>
        <v>IDR</v>
      </c>
      <c r="BE176" s="92" t="str">
        <f>CONCATENATE(Table43[[#This Row],[kode  1 Digit
(Nomor)]],Table43[[#This Row],[kode  4 Digit                (Nomor)]])</f>
        <v>20400</v>
      </c>
      <c r="BF176" s="92" t="str">
        <f>Table43[[#This Row],[Nama            Gramasi atau Jumlah Pack per CTN]]</f>
        <v>380/400ML</v>
      </c>
      <c r="BG176" s="92"/>
      <c r="BH176" s="92"/>
      <c r="BI176" s="91" t="str">
        <f>IF(Table43[[#This Row],[SATUAN Fix Win]]&lt;&gt;"","KRT")</f>
        <v>KRT</v>
      </c>
      <c r="BJ176" s="91" t="str">
        <f>IF(Table43[[#This Row],[SATUAN Fix Win]]&lt;&gt;"","GD01")</f>
        <v>GD01</v>
      </c>
      <c r="BK176" s="91">
        <f>IF(Table43[[#This Row],[SATUAN Fix Win]]&lt;&gt;"",11611)</f>
        <v>11611</v>
      </c>
      <c r="BL176" s="91">
        <f>IF(Table43[[#This Row],[SATUAN Fix Win]]&lt;&gt;"",11612)</f>
        <v>11612</v>
      </c>
      <c r="BM176" s="104"/>
      <c r="BN176" s="91">
        <f>IF(Table43[[#This Row],[SATUAN Fix Win]]&lt;&gt;"",1)</f>
        <v>1</v>
      </c>
      <c r="BO176" s="91"/>
    </row>
    <row r="177" spans="1:70">
      <c r="A177" s="4" t="str">
        <f>CONCATENATE(Table43[[#This Row],[Kode BARANG Win2]],Table43[[#This Row],[No. Urut
Item Sama]])</f>
        <v>F40720010480201</v>
      </c>
      <c r="B177" s="7">
        <v>1</v>
      </c>
      <c r="C177" s="4">
        <v>139</v>
      </c>
      <c r="D177" s="27" t="s">
        <v>454</v>
      </c>
      <c r="E177" s="27" t="s">
        <v>629</v>
      </c>
      <c r="F177" s="27" t="s">
        <v>575</v>
      </c>
      <c r="G177" s="27">
        <v>24</v>
      </c>
      <c r="H177" s="54" t="s">
        <v>656</v>
      </c>
      <c r="I177" s="27" t="str">
        <f>Table43[[#This Row],[Nama Jenis Kemasan]]</f>
        <v>PUMP</v>
      </c>
      <c r="J177" s="4" t="str">
        <f>TRIM(CONCATENATE(Table43[[#This Row],[Nama            KLP]]," ",Table43[[#This Row],[Nama            Sub KLP]]))</f>
        <v>ZEN BODY WSH</v>
      </c>
      <c r="K177" s="4" t="str">
        <f>CONCATENATE(Table43[[#This Row],[kode  2 Digit                (hrf+No)]],Table43[[#This Row],[kode  2 Digit                (Nomor)]],Table43[[#This Row],[kode  1 Digit                (Nomor)]])</f>
        <v>F4072</v>
      </c>
      <c r="L177" s="4" t="str">
        <f>IF(AG177="",CONCATENATE(Q177,S177,U177,W177,Y177,AA177,AC177,AE177,Table43[[#This Row],[Tanda Kode Revisi]]),CONCATENATE(Q177,S177,U177,W177,Y177,AA177,AC177,AG177))</f>
        <v>F4072001048020</v>
      </c>
      <c r="M177" s="11">
        <f t="shared" si="16"/>
        <v>14</v>
      </c>
      <c r="N177" s="14" t="str">
        <f>IF(AF177&lt;&gt;"",TRIM(UPPER(CONCATENATE(P177," ",R177," ",T177," ",V177," ",X177," ",Z177," ","X"," ",Table43[[#This Row],[ISI/CTN]]," ",AF177," ",AB177," ",AD177," ",AH177))),TRIM(UPPER(CONCATENATE(P177," ",R177," ",T177," ",V177," ",X177," ",Z177," ","X"," ",Table43[[#This Row],[ISI/CTN]]," ",AB177," ",AD177," ",AH177))))</f>
        <v>ZEN BODY WSH SHISO &amp; SANDALWOOD 480ML X 24 PUMP</v>
      </c>
      <c r="O177" s="11">
        <f t="shared" si="17"/>
        <v>47</v>
      </c>
      <c r="Q177" s="7" t="s">
        <v>662</v>
      </c>
      <c r="R177" s="4" t="s">
        <v>629</v>
      </c>
      <c r="S177" s="48" t="s">
        <v>756</v>
      </c>
      <c r="T177" s="49" t="s">
        <v>785</v>
      </c>
      <c r="U177" s="7">
        <v>2</v>
      </c>
      <c r="V177" s="49"/>
      <c r="W177" s="48" t="s">
        <v>370</v>
      </c>
      <c r="X177" s="4" t="s">
        <v>721</v>
      </c>
      <c r="Y177" s="50" t="s">
        <v>749</v>
      </c>
      <c r="Z177" s="4" t="s">
        <v>673</v>
      </c>
      <c r="AA177" s="50" t="s">
        <v>740</v>
      </c>
      <c r="AB177" s="4" t="s">
        <v>730</v>
      </c>
      <c r="AC177" s="7">
        <v>2</v>
      </c>
      <c r="AE177" s="7">
        <v>0</v>
      </c>
      <c r="AI177" s="7" t="s">
        <v>178</v>
      </c>
      <c r="AJ177" s="7">
        <v>2</v>
      </c>
      <c r="AL177" s="38">
        <v>31697.477477477474</v>
      </c>
      <c r="AM177" s="39">
        <f>Table43[[#This Row],[Harga Beli Pcs
(-PPN)]]*Table43[[#This Row],[ISI/CTN]]</f>
        <v>760739.45945945941</v>
      </c>
      <c r="AN177" s="39">
        <f>Table43[[#This Row],[Harga Beli Pcs
(-PPN)]]*1.11</f>
        <v>35184.199999999997</v>
      </c>
      <c r="AO177" s="39">
        <f>Table43[[#This Row],[Harga Beli Krt
(- PPN)]]*1.11</f>
        <v>844420.8</v>
      </c>
      <c r="AP177" s="39">
        <v>34234.234234234231</v>
      </c>
      <c r="AQ177" s="39">
        <f>Table43[[#This Row],[Harga Jual Pcs GT
(-PPN)]]*Table43[[#This Row],[ISI/CTN]]</f>
        <v>821621.62162162154</v>
      </c>
      <c r="AR177" s="39">
        <f>Table43[[#This Row],[Harga Jual Pcs GT
(-PPN)]]*1.11</f>
        <v>38000</v>
      </c>
      <c r="AS177" s="39">
        <f>Table43[[#This Row],[Harga Jual Krt GT
(- PPN)]]*1.11</f>
        <v>912000</v>
      </c>
      <c r="AT177" s="39"/>
      <c r="AU177" s="39">
        <f>Table43[[#This Row],[Harga Jual Pcs MT
(-PPN)]]*Table43[[#This Row],[ISI/CTN]]</f>
        <v>0</v>
      </c>
      <c r="AV177" s="39">
        <f>Table43[[#This Row],[Harga Jual Pcs MT
(-PPN)]]*1.11</f>
        <v>0</v>
      </c>
      <c r="AW177" s="39">
        <f>Table43[[#This Row],[Harga Jual Pcs MT
(+PPN)]]*Table43[[#This Row],[ISI/CTN]]</f>
        <v>0</v>
      </c>
      <c r="AX177" s="47">
        <f>IFERROR((Table43[[#This Row],[Harga Jual Pcs GT
(-PPN)]]-Table43[[#This Row],[Harga Beli Pcs
(-PPN)]])/Table43[[#This Row],[Harga Jual Pcs GT
(-PPN)]],0)</f>
        <v>7.4099999999999999E-2</v>
      </c>
      <c r="AY177" s="51">
        <v>45848</v>
      </c>
      <c r="AZ177" s="7"/>
      <c r="BA177" s="7" t="str">
        <f ca="1">IF(TODAY()-Table43[[#This Row],[Efektif
Pembuatan]]&gt;60,"Lama","Baru")</f>
        <v>Lama</v>
      </c>
      <c r="BB177" s="7" t="str">
        <f ca="1">IF(TODAY()-Table43[[#This Row],[Efektif Naik Harga]]&lt;30,"Naik","Sama")</f>
        <v>Sama</v>
      </c>
      <c r="BC177" s="7" t="s">
        <v>185</v>
      </c>
      <c r="BD177" s="7" t="str">
        <f>IF(Table43[[#This Row],[Kode BARANG Win2]]&lt;&gt;"","IDR","")</f>
        <v>IDR</v>
      </c>
      <c r="BE177" s="7" t="str">
        <f>CONCATENATE(Table43[[#This Row],[kode  1 Digit
(Nomor)]],Table43[[#This Row],[kode  4 Digit                (Nomor)]])</f>
        <v>20480</v>
      </c>
      <c r="BF177" s="7" t="str">
        <f>Table43[[#This Row],[Nama            Gramasi atau Jumlah Pack per CTN]]</f>
        <v>480ML</v>
      </c>
      <c r="BG177" s="7" t="s">
        <v>1060</v>
      </c>
      <c r="BH177" s="7" t="s">
        <v>377</v>
      </c>
      <c r="BI177" s="4" t="str">
        <f>IF(Table43[[#This Row],[SATUAN Fix Win]]&lt;&gt;"","KRT")</f>
        <v>KRT</v>
      </c>
      <c r="BJ177" s="4" t="str">
        <f>IF(Table43[[#This Row],[SATUAN Fix Win]]&lt;&gt;"","GD01")</f>
        <v>GD01</v>
      </c>
      <c r="BK177" s="4">
        <f>IF(Table43[[#This Row],[SATUAN Fix Win]]&lt;&gt;"",11611)</f>
        <v>11611</v>
      </c>
      <c r="BL177" s="4">
        <f>IF(Table43[[#This Row],[SATUAN Fix Win]]&lt;&gt;"",11612)</f>
        <v>11612</v>
      </c>
      <c r="BM177" s="52" t="s">
        <v>378</v>
      </c>
      <c r="BN177" s="4">
        <f>IF(Table43[[#This Row],[SATUAN Fix Win]]&lt;&gt;"",1)</f>
        <v>1</v>
      </c>
      <c r="BO177" s="4" t="s">
        <v>637</v>
      </c>
    </row>
    <row r="178" spans="1:70">
      <c r="A178" s="4" t="str">
        <f>CONCATENATE(Table43[[#This Row],[Kode BARANG Win2]],Table43[[#This Row],[No. Urut
Item Sama]])</f>
        <v>F40720020480201</v>
      </c>
      <c r="B178" s="7">
        <v>1</v>
      </c>
      <c r="C178" s="4">
        <v>140</v>
      </c>
      <c r="D178" s="27" t="s">
        <v>461</v>
      </c>
      <c r="E178" s="27" t="s">
        <v>629</v>
      </c>
      <c r="F178" s="27" t="s">
        <v>582</v>
      </c>
      <c r="G178" s="27">
        <v>24</v>
      </c>
      <c r="H178" s="54">
        <v>8992946532085</v>
      </c>
      <c r="I178" s="27" t="str">
        <f>Table43[[#This Row],[Nama Jenis Kemasan]]</f>
        <v>PUMP</v>
      </c>
      <c r="J178" s="4" t="str">
        <f>TRIM(CONCATENATE(Table43[[#This Row],[Nama            KLP]]," ",Table43[[#This Row],[Nama            Sub KLP]]))</f>
        <v>ZEN BODY WSH</v>
      </c>
      <c r="K178" s="4" t="str">
        <f>CONCATENATE(Table43[[#This Row],[kode  2 Digit                (hrf+No)]],Table43[[#This Row],[kode  2 Digit                (Nomor)]],Table43[[#This Row],[kode  1 Digit                (Nomor)]])</f>
        <v>F4072</v>
      </c>
      <c r="L178" s="4" t="str">
        <f>IF(AG178="",CONCATENATE(Q178,S178,U178,W178,Y178,AA178,AC178,AE178,Table43[[#This Row],[Tanda Kode Revisi]]),CONCATENATE(Q178,S178,U178,W178,Y178,AA178,AC178,AG178))</f>
        <v>F4072002048020</v>
      </c>
      <c r="M178" s="11">
        <f t="shared" si="16"/>
        <v>14</v>
      </c>
      <c r="N178" s="14" t="str">
        <f>IF(AF178&lt;&gt;"",TRIM(UPPER(CONCATENATE(P178," ",R178," ",T178," ",V178," ",X178," ",Z178," ","X"," ",Table43[[#This Row],[ISI/CTN]]," ",AF178," ",AB178," ",AD178," ",AH178))),TRIM(UPPER(CONCATENATE(P178," ",R178," ",T178," ",V178," ",X178," ",Z178," ","X"," ",Table43[[#This Row],[ISI/CTN]]," ",AB178," ",AD178," ",AH178))))</f>
        <v>ZEN BODY WSH SHISO &amp; SEA SALT 480ML X 24 PUMP</v>
      </c>
      <c r="O178" s="11">
        <f t="shared" si="17"/>
        <v>45</v>
      </c>
      <c r="Q178" s="7" t="s">
        <v>662</v>
      </c>
      <c r="R178" s="4" t="s">
        <v>629</v>
      </c>
      <c r="S178" s="48" t="s">
        <v>756</v>
      </c>
      <c r="T178" s="49" t="s">
        <v>785</v>
      </c>
      <c r="U178" s="7">
        <v>2</v>
      </c>
      <c r="V178" s="49"/>
      <c r="W178" s="48" t="s">
        <v>370</v>
      </c>
      <c r="X178" s="4" t="s">
        <v>722</v>
      </c>
      <c r="Y178" s="50" t="s">
        <v>751</v>
      </c>
      <c r="Z178" s="4" t="s">
        <v>673</v>
      </c>
      <c r="AA178" s="50" t="s">
        <v>740</v>
      </c>
      <c r="AB178" s="4" t="s">
        <v>730</v>
      </c>
      <c r="AC178" s="7">
        <v>2</v>
      </c>
      <c r="AE178" s="7">
        <v>0</v>
      </c>
      <c r="AI178" s="7" t="s">
        <v>178</v>
      </c>
      <c r="AJ178" s="7">
        <v>2</v>
      </c>
      <c r="AL178" s="38">
        <v>31697.477477477474</v>
      </c>
      <c r="AM178" s="39">
        <f>Table43[[#This Row],[Harga Beli Pcs
(-PPN)]]*Table43[[#This Row],[ISI/CTN]]</f>
        <v>760739.45945945941</v>
      </c>
      <c r="AN178" s="39">
        <f>Table43[[#This Row],[Harga Beli Pcs
(-PPN)]]*1.11</f>
        <v>35184.199999999997</v>
      </c>
      <c r="AO178" s="39">
        <f>Table43[[#This Row],[Harga Beli Krt
(- PPN)]]*1.11</f>
        <v>844420.8</v>
      </c>
      <c r="AP178" s="39">
        <v>34234.234234234231</v>
      </c>
      <c r="AQ178" s="39">
        <f>Table43[[#This Row],[Harga Jual Pcs GT
(-PPN)]]*Table43[[#This Row],[ISI/CTN]]</f>
        <v>821621.62162162154</v>
      </c>
      <c r="AR178" s="39">
        <f>Table43[[#This Row],[Harga Jual Pcs GT
(-PPN)]]*1.11</f>
        <v>38000</v>
      </c>
      <c r="AS178" s="39">
        <f>Table43[[#This Row],[Harga Jual Krt GT
(- PPN)]]*1.11</f>
        <v>912000</v>
      </c>
      <c r="AT178" s="39"/>
      <c r="AU178" s="39">
        <f>Table43[[#This Row],[Harga Jual Pcs MT
(-PPN)]]*Table43[[#This Row],[ISI/CTN]]</f>
        <v>0</v>
      </c>
      <c r="AV178" s="39">
        <f>Table43[[#This Row],[Harga Jual Pcs MT
(-PPN)]]*1.11</f>
        <v>0</v>
      </c>
      <c r="AW178" s="39">
        <f>Table43[[#This Row],[Harga Jual Pcs MT
(+PPN)]]*Table43[[#This Row],[ISI/CTN]]</f>
        <v>0</v>
      </c>
      <c r="AX178" s="47">
        <f>IFERROR((Table43[[#This Row],[Harga Jual Pcs GT
(-PPN)]]-Table43[[#This Row],[Harga Beli Pcs
(-PPN)]])/Table43[[#This Row],[Harga Jual Pcs GT
(-PPN)]],0)</f>
        <v>7.4099999999999999E-2</v>
      </c>
      <c r="AY178" s="51">
        <v>45848</v>
      </c>
      <c r="AZ178" s="7"/>
      <c r="BA178" s="7" t="str">
        <f ca="1">IF(TODAY()-Table43[[#This Row],[Efektif
Pembuatan]]&gt;60,"Lama","Baru")</f>
        <v>Lama</v>
      </c>
      <c r="BB178" s="7" t="str">
        <f ca="1">IF(TODAY()-Table43[[#This Row],[Efektif Naik Harga]]&lt;30,"Naik","Sama")</f>
        <v>Sama</v>
      </c>
      <c r="BC178" s="7" t="s">
        <v>185</v>
      </c>
      <c r="BD178" s="7" t="str">
        <f>IF(Table43[[#This Row],[Kode BARANG Win2]]&lt;&gt;"","IDR","")</f>
        <v>IDR</v>
      </c>
      <c r="BE178" s="7" t="str">
        <f>CONCATENATE(Table43[[#This Row],[kode  1 Digit
(Nomor)]],Table43[[#This Row],[kode  4 Digit                (Nomor)]])</f>
        <v>20480</v>
      </c>
      <c r="BF178" s="7" t="str">
        <f>Table43[[#This Row],[Nama            Gramasi atau Jumlah Pack per CTN]]</f>
        <v>480ML</v>
      </c>
      <c r="BG178" s="7" t="s">
        <v>1060</v>
      </c>
      <c r="BH178" s="7" t="s">
        <v>377</v>
      </c>
      <c r="BI178" s="4" t="str">
        <f>IF(Table43[[#This Row],[SATUAN Fix Win]]&lt;&gt;"","KRT")</f>
        <v>KRT</v>
      </c>
      <c r="BJ178" s="4" t="str">
        <f>IF(Table43[[#This Row],[SATUAN Fix Win]]&lt;&gt;"","GD01")</f>
        <v>GD01</v>
      </c>
      <c r="BK178" s="4">
        <f>IF(Table43[[#This Row],[SATUAN Fix Win]]&lt;&gt;"",11611)</f>
        <v>11611</v>
      </c>
      <c r="BL178" s="4">
        <f>IF(Table43[[#This Row],[SATUAN Fix Win]]&lt;&gt;"",11612)</f>
        <v>11612</v>
      </c>
      <c r="BM178" s="52" t="s">
        <v>378</v>
      </c>
      <c r="BN178" s="4">
        <f>IF(Table43[[#This Row],[SATUAN Fix Win]]&lt;&gt;"",1)</f>
        <v>1</v>
      </c>
      <c r="BO178" s="4" t="s">
        <v>637</v>
      </c>
    </row>
    <row r="179" spans="1:70">
      <c r="A179" s="4" t="str">
        <f>CONCATENATE(Table43[[#This Row],[Kode BARANG Win2]],Table43[[#This Row],[No. Urut
Item Sama]])</f>
        <v>F40720030480201</v>
      </c>
      <c r="B179" s="7">
        <v>1</v>
      </c>
      <c r="C179" s="4">
        <v>141</v>
      </c>
      <c r="D179" s="27" t="s">
        <v>466</v>
      </c>
      <c r="E179" s="27" t="s">
        <v>629</v>
      </c>
      <c r="F179" s="27" t="s">
        <v>587</v>
      </c>
      <c r="G179" s="27">
        <v>24</v>
      </c>
      <c r="H179" s="54">
        <v>8992946532102</v>
      </c>
      <c r="I179" s="27" t="str">
        <f>Table43[[#This Row],[Nama Jenis Kemasan]]</f>
        <v>PUMP</v>
      </c>
      <c r="J179" s="4" t="str">
        <f>TRIM(CONCATENATE(Table43[[#This Row],[Nama            KLP]]," ",Table43[[#This Row],[Nama            Sub KLP]]))</f>
        <v>ZEN BODY WSH</v>
      </c>
      <c r="K179" s="4" t="str">
        <f>CONCATENATE(Table43[[#This Row],[kode  2 Digit                (hrf+No)]],Table43[[#This Row],[kode  2 Digit                (Nomor)]],Table43[[#This Row],[kode  1 Digit                (Nomor)]])</f>
        <v>F4072</v>
      </c>
      <c r="L179" s="4" t="str">
        <f>IF(AG179="",CONCATENATE(Q179,S179,U179,W179,Y179,AA179,AC179,AE179,Table43[[#This Row],[Tanda Kode Revisi]]),CONCATENATE(Q179,S179,U179,W179,Y179,AA179,AC179,AG179))</f>
        <v>F4072003048020</v>
      </c>
      <c r="M179" s="11">
        <f t="shared" si="16"/>
        <v>14</v>
      </c>
      <c r="N179" s="14" t="str">
        <f>IF(AF179&lt;&gt;"",TRIM(UPPER(CONCATENATE(P179," ",R179," ",T179," ",V179," ",X179," ",Z179," ","X"," ",Table43[[#This Row],[ISI/CTN]]," ",AF179," ",AB179," ",AD179," ",AH179))),TRIM(UPPER(CONCATENATE(P179," ",R179," ",T179," ",V179," ",X179," ",Z179," ","X"," ",Table43[[#This Row],[ISI/CTN]]," ",AB179," ",AD179," ",AH179))))</f>
        <v>ZEN BODY WSH SHISO &amp; SULPHUR 480ML X 24 PUMP</v>
      </c>
      <c r="O179" s="11">
        <f t="shared" si="17"/>
        <v>44</v>
      </c>
      <c r="Q179" s="7" t="s">
        <v>662</v>
      </c>
      <c r="R179" s="4" t="s">
        <v>629</v>
      </c>
      <c r="S179" s="48" t="s">
        <v>756</v>
      </c>
      <c r="T179" s="49" t="s">
        <v>785</v>
      </c>
      <c r="U179" s="7">
        <v>2</v>
      </c>
      <c r="V179" s="49"/>
      <c r="W179" s="48" t="s">
        <v>370</v>
      </c>
      <c r="X179" s="4" t="s">
        <v>723</v>
      </c>
      <c r="Y179" s="50" t="s">
        <v>752</v>
      </c>
      <c r="Z179" s="4" t="s">
        <v>673</v>
      </c>
      <c r="AA179" s="50" t="s">
        <v>740</v>
      </c>
      <c r="AB179" s="4" t="s">
        <v>730</v>
      </c>
      <c r="AC179" s="7">
        <v>2</v>
      </c>
      <c r="AE179" s="7">
        <v>0</v>
      </c>
      <c r="AI179" s="7" t="s">
        <v>178</v>
      </c>
      <c r="AJ179" s="7">
        <v>2</v>
      </c>
      <c r="AL179" s="38">
        <v>31697.477477477474</v>
      </c>
      <c r="AM179" s="39">
        <f>Table43[[#This Row],[Harga Beli Pcs
(-PPN)]]*Table43[[#This Row],[ISI/CTN]]</f>
        <v>760739.45945945941</v>
      </c>
      <c r="AN179" s="39">
        <f>Table43[[#This Row],[Harga Beli Pcs
(-PPN)]]*1.11</f>
        <v>35184.199999999997</v>
      </c>
      <c r="AO179" s="39">
        <f>Table43[[#This Row],[Harga Beli Krt
(- PPN)]]*1.11</f>
        <v>844420.8</v>
      </c>
      <c r="AP179" s="39">
        <v>34234.234234234231</v>
      </c>
      <c r="AQ179" s="39">
        <f>Table43[[#This Row],[Harga Jual Pcs GT
(-PPN)]]*Table43[[#This Row],[ISI/CTN]]</f>
        <v>821621.62162162154</v>
      </c>
      <c r="AR179" s="39">
        <f>Table43[[#This Row],[Harga Jual Pcs GT
(-PPN)]]*1.11</f>
        <v>38000</v>
      </c>
      <c r="AS179" s="39">
        <f>Table43[[#This Row],[Harga Jual Krt GT
(- PPN)]]*1.11</f>
        <v>912000</v>
      </c>
      <c r="AT179" s="39"/>
      <c r="AU179" s="39">
        <f>Table43[[#This Row],[Harga Jual Pcs MT
(-PPN)]]*Table43[[#This Row],[ISI/CTN]]</f>
        <v>0</v>
      </c>
      <c r="AV179" s="39">
        <f>Table43[[#This Row],[Harga Jual Pcs MT
(-PPN)]]*1.11</f>
        <v>0</v>
      </c>
      <c r="AW179" s="39">
        <f>Table43[[#This Row],[Harga Jual Pcs MT
(+PPN)]]*Table43[[#This Row],[ISI/CTN]]</f>
        <v>0</v>
      </c>
      <c r="AX179" s="47">
        <f>IFERROR((Table43[[#This Row],[Harga Jual Pcs GT
(-PPN)]]-Table43[[#This Row],[Harga Beli Pcs
(-PPN)]])/Table43[[#This Row],[Harga Jual Pcs GT
(-PPN)]],0)</f>
        <v>7.4099999999999999E-2</v>
      </c>
      <c r="AY179" s="51">
        <v>45848</v>
      </c>
      <c r="AZ179" s="7"/>
      <c r="BA179" s="7" t="str">
        <f ca="1">IF(TODAY()-Table43[[#This Row],[Efektif
Pembuatan]]&gt;60,"Lama","Baru")</f>
        <v>Lama</v>
      </c>
      <c r="BB179" s="7" t="str">
        <f ca="1">IF(TODAY()-Table43[[#This Row],[Efektif Naik Harga]]&lt;30,"Naik","Sama")</f>
        <v>Sama</v>
      </c>
      <c r="BC179" s="7" t="s">
        <v>185</v>
      </c>
      <c r="BD179" s="7" t="str">
        <f>IF(Table43[[#This Row],[Kode BARANG Win2]]&lt;&gt;"","IDR","")</f>
        <v>IDR</v>
      </c>
      <c r="BE179" s="7" t="str">
        <f>CONCATENATE(Table43[[#This Row],[kode  1 Digit
(Nomor)]],Table43[[#This Row],[kode  4 Digit                (Nomor)]])</f>
        <v>20480</v>
      </c>
      <c r="BF179" s="7" t="str">
        <f>Table43[[#This Row],[Nama            Gramasi atau Jumlah Pack per CTN]]</f>
        <v>480ML</v>
      </c>
      <c r="BG179" s="7" t="s">
        <v>1060</v>
      </c>
      <c r="BH179" s="7" t="s">
        <v>377</v>
      </c>
      <c r="BI179" s="4" t="str">
        <f>IF(Table43[[#This Row],[SATUAN Fix Win]]&lt;&gt;"","KRT")</f>
        <v>KRT</v>
      </c>
      <c r="BJ179" s="4" t="str">
        <f>IF(Table43[[#This Row],[SATUAN Fix Win]]&lt;&gt;"","GD01")</f>
        <v>GD01</v>
      </c>
      <c r="BK179" s="4">
        <f>IF(Table43[[#This Row],[SATUAN Fix Win]]&lt;&gt;"",11611)</f>
        <v>11611</v>
      </c>
      <c r="BL179" s="4">
        <f>IF(Table43[[#This Row],[SATUAN Fix Win]]&lt;&gt;"",11612)</f>
        <v>11612</v>
      </c>
      <c r="BM179" s="52" t="s">
        <v>378</v>
      </c>
      <c r="BN179" s="4">
        <f>IF(Table43[[#This Row],[SATUAN Fix Win]]&lt;&gt;"",1)</f>
        <v>1</v>
      </c>
      <c r="BO179" s="4" t="s">
        <v>637</v>
      </c>
    </row>
    <row r="180" spans="1:70">
      <c r="A180" s="4" t="str">
        <f>CONCATENATE(Table43[[#This Row],[Kode BARANG Win2]],Table43[[#This Row],[No. Urut
Item Sama]])</f>
        <v>F40731010070101</v>
      </c>
      <c r="B180" s="7">
        <v>1</v>
      </c>
      <c r="C180" s="4">
        <v>142</v>
      </c>
      <c r="D180" s="73" t="s">
        <v>1089</v>
      </c>
      <c r="E180" s="27" t="s">
        <v>629</v>
      </c>
      <c r="F180" s="27" t="s">
        <v>520</v>
      </c>
      <c r="G180" s="27">
        <v>6</v>
      </c>
      <c r="H180" s="54">
        <v>8992946534188</v>
      </c>
      <c r="I180" s="27" t="str">
        <f>Table43[[#This Row],[Nama Jenis Kemasan]]</f>
        <v>BOX</v>
      </c>
      <c r="J180" s="4" t="str">
        <f>TRIM(CONCATENATE(Table43[[#This Row],[Nama            KLP]]," ",Table43[[#This Row],[Nama            Sub KLP]]))</f>
        <v>ZEN SABUN</v>
      </c>
      <c r="K180" s="4" t="str">
        <f>CONCATENATE(Table43[[#This Row],[kode  2 Digit                (hrf+No)]],Table43[[#This Row],[kode  2 Digit                (Nomor)]],Table43[[#This Row],[kode  1 Digit                (Nomor)]])</f>
        <v>F4073</v>
      </c>
      <c r="L180" s="4" t="str">
        <f>IF(AG180="",CONCATENATE(Q180,S180,U180,W180,Y180,AA180,AC180,AE180,Table43[[#This Row],[Tanda Kode Revisi]]),CONCATENATE(Q180,S180,U180,W180,Y180,AA180,AC180,AG180))</f>
        <v>F4073101007010</v>
      </c>
      <c r="M180" s="11">
        <f>LEN(L180)</f>
        <v>14</v>
      </c>
      <c r="N180" s="14" t="str">
        <f>IF(AF180&lt;&gt;"",TRIM(UPPER(CONCATENATE(P180," ",R180," ",T180," ",V180," ",X180," ",Z180," ","X"," ",Table43[[#This Row],[ISI/CTN]]," ",AF180," ",AB180," ",AD180," ",AH180))),TRIM(UPPER(CONCATENATE(P180," ",R180," ",T180," ",V180," ",X180," ",Z180," ","X"," ",Table43[[#This Row],[ISI/CTN]]," ",AB180," ",AD180," ",AH180))))</f>
        <v>ZEN SABUN LUNCH MIX 70G X 6 BOX</v>
      </c>
      <c r="O180" s="11">
        <f>LEN(N180)</f>
        <v>31</v>
      </c>
      <c r="Q180" s="7" t="s">
        <v>662</v>
      </c>
      <c r="R180" s="4" t="s">
        <v>629</v>
      </c>
      <c r="S180" s="48" t="s">
        <v>756</v>
      </c>
      <c r="T180" s="49" t="s">
        <v>665</v>
      </c>
      <c r="U180" s="7">
        <v>3</v>
      </c>
      <c r="V180" s="49" t="s">
        <v>664</v>
      </c>
      <c r="W180" s="48" t="s">
        <v>750</v>
      </c>
      <c r="X180" s="4" t="s">
        <v>704</v>
      </c>
      <c r="Y180" s="50" t="s">
        <v>749</v>
      </c>
      <c r="Z180" s="4" t="s">
        <v>771</v>
      </c>
      <c r="AA180" s="50" t="s">
        <v>738</v>
      </c>
      <c r="AB180" s="4" t="s">
        <v>735</v>
      </c>
      <c r="AC180" s="7">
        <v>1</v>
      </c>
      <c r="AE180" s="7">
        <v>0</v>
      </c>
      <c r="AI180" s="7" t="s">
        <v>179</v>
      </c>
      <c r="AJ180" s="7">
        <v>1</v>
      </c>
      <c r="AL180" s="38"/>
      <c r="AM180" s="39">
        <f>Table43[[#This Row],[Harga Beli Pcs
(-PPN)]]*Table43[[#This Row],[ISI/CTN]]</f>
        <v>0</v>
      </c>
      <c r="AN180" s="39">
        <f>Table43[[#This Row],[Harga Beli Pcs
(-PPN)]]*1.11</f>
        <v>0</v>
      </c>
      <c r="AO180" s="39">
        <f>Table43[[#This Row],[Harga Beli Krt
(- PPN)]]*1.11</f>
        <v>0</v>
      </c>
      <c r="AP180" s="39"/>
      <c r="AQ180" s="39">
        <f>Table43[[#This Row],[Harga Jual Pcs GT
(-PPN)]]*Table43[[#This Row],[ISI/CTN]]</f>
        <v>0</v>
      </c>
      <c r="AR180" s="39">
        <f>Table43[[#This Row],[Harga Jual Pcs GT
(-PPN)]]*1.11</f>
        <v>0</v>
      </c>
      <c r="AS180" s="39">
        <f>Table43[[#This Row],[Harga Jual Krt GT
(- PPN)]]*1.11</f>
        <v>0</v>
      </c>
      <c r="AT180" s="39"/>
      <c r="AU180" s="39">
        <f>Table43[[#This Row],[Harga Jual Pcs MT
(-PPN)]]*Table43[[#This Row],[ISI/CTN]]</f>
        <v>0</v>
      </c>
      <c r="AV180" s="39">
        <f>Table43[[#This Row],[Harga Jual Pcs MT
(-PPN)]]*1.11</f>
        <v>0</v>
      </c>
      <c r="AW180" s="39">
        <f>Table43[[#This Row],[Harga Jual Pcs MT
(+PPN)]]*Table43[[#This Row],[ISI/CTN]]</f>
        <v>0</v>
      </c>
      <c r="AX180" s="47">
        <f>IFERROR((Table43[[#This Row],[Harga Jual Pcs GT
(-PPN)]]-Table43[[#This Row],[Harga Beli Pcs
(-PPN)]])/Table43[[#This Row],[Harga Jual Pcs GT
(-PPN)]],0)</f>
        <v>0</v>
      </c>
      <c r="AY180" s="51"/>
      <c r="AZ180" s="7"/>
      <c r="BA180" s="7" t="str">
        <f ca="1">IF(TODAY()-Table43[[#This Row],[Efektif
Pembuatan]]&gt;60,"Lama","Baru")</f>
        <v>Lama</v>
      </c>
      <c r="BB180" s="7" t="str">
        <f ca="1">IF(TODAY()-Table43[[#This Row],[Efektif Naik Harga]]&lt;30,"Naik","Sama")</f>
        <v>Sama</v>
      </c>
      <c r="BC180" s="7" t="s">
        <v>185</v>
      </c>
      <c r="BD180" s="7" t="str">
        <f>IF(Table43[[#This Row],[Kode BARANG Win2]]&lt;&gt;"","IDR","")</f>
        <v>IDR</v>
      </c>
      <c r="BE180" s="7" t="str">
        <f>CONCATENATE(Table43[[#This Row],[kode  1 Digit
(Nomor)]],Table43[[#This Row],[kode  4 Digit                (Nomor)]])</f>
        <v>10070</v>
      </c>
      <c r="BF180" s="7" t="str">
        <f>Table43[[#This Row],[Nama            Gramasi atau Jumlah Pack per CTN]]</f>
        <v>70G</v>
      </c>
      <c r="BG180" s="7"/>
      <c r="BH180" s="7"/>
      <c r="BI180" s="4" t="str">
        <f>IF(Table43[[#This Row],[SATUAN Fix Win]]&lt;&gt;"","KRT")</f>
        <v>KRT</v>
      </c>
      <c r="BJ180" s="4" t="str">
        <f>IF(Table43[[#This Row],[SATUAN Fix Win]]&lt;&gt;"","GD01")</f>
        <v>GD01</v>
      </c>
      <c r="BK180" s="4">
        <f>IF(Table43[[#This Row],[SATUAN Fix Win]]&lt;&gt;"",11611)</f>
        <v>11611</v>
      </c>
      <c r="BL180" s="4">
        <f>IF(Table43[[#This Row],[SATUAN Fix Win]]&lt;&gt;"",11612)</f>
        <v>11612</v>
      </c>
      <c r="BM180" s="52"/>
      <c r="BN180" s="4">
        <f>IF(Table43[[#This Row],[SATUAN Fix Win]]&lt;&gt;"",1)</f>
        <v>1</v>
      </c>
    </row>
    <row r="181" spans="1:70">
      <c r="A181" s="4" t="str">
        <f>CONCATENATE(Table43[[#This Row],[Kode BARANG Win2]],Table43[[#This Row],[No. Urut
Item Sama]])</f>
        <v>F40731010080102</v>
      </c>
      <c r="B181" s="7">
        <v>2</v>
      </c>
      <c r="C181" s="4">
        <v>143</v>
      </c>
      <c r="D181" s="27"/>
      <c r="E181" s="27" t="s">
        <v>629</v>
      </c>
      <c r="F181" s="27" t="s">
        <v>520</v>
      </c>
      <c r="G181" s="27">
        <v>6</v>
      </c>
      <c r="H181" s="54">
        <v>8992946534188</v>
      </c>
      <c r="I181" s="27" t="str">
        <f>Table43[[#This Row],[Nama Jenis Kemasan]]</f>
        <v>BOX</v>
      </c>
      <c r="J181" s="4" t="str">
        <f>TRIM(CONCATENATE(Table43[[#This Row],[Nama            KLP]]," ",Table43[[#This Row],[Nama            Sub KLP]]))</f>
        <v>ZEN SABUN</v>
      </c>
      <c r="K181" s="4" t="str">
        <f>CONCATENATE(Table43[[#This Row],[kode  2 Digit                (hrf+No)]],Table43[[#This Row],[kode  2 Digit                (Nomor)]],Table43[[#This Row],[kode  1 Digit                (Nomor)]])</f>
        <v>F4073</v>
      </c>
      <c r="L181" s="4" t="str">
        <f>IF(AG181="",CONCATENATE(Q181,S181,U181,W181,Y181,AA181,AC181,AE181,Table43[[#This Row],[Tanda Kode Revisi]]),CONCATENATE(Q181,S181,U181,W181,Y181,AA181,AC181,AG181))</f>
        <v>F4073101008010</v>
      </c>
      <c r="M181" s="11">
        <f t="shared" si="16"/>
        <v>14</v>
      </c>
      <c r="N181" s="14" t="str">
        <f>IF(AF181&lt;&gt;"",TRIM(UPPER(CONCATENATE(P181," ",R181," ",T181," ",V181," ",X181," ",Z181," ","X"," ",Table43[[#This Row],[ISI/CTN]]," ",AF181," ",AB181," ",AD181," ",AH181))),TRIM(UPPER(CONCATENATE(P181," ",R181," ",T181," ",V181," ",X181," ",Z181," ","X"," ",Table43[[#This Row],[ISI/CTN]]," ",AB181," ",AD181," ",AH181))))</f>
        <v>ZEN SABUN LUNCH MIX 80G X 6 BOX</v>
      </c>
      <c r="O181" s="11">
        <f t="shared" si="17"/>
        <v>31</v>
      </c>
      <c r="Q181" s="7" t="s">
        <v>662</v>
      </c>
      <c r="R181" s="4" t="s">
        <v>629</v>
      </c>
      <c r="S181" s="48" t="s">
        <v>756</v>
      </c>
      <c r="T181" s="49" t="s">
        <v>665</v>
      </c>
      <c r="U181" s="7">
        <v>3</v>
      </c>
      <c r="V181" s="49" t="s">
        <v>664</v>
      </c>
      <c r="W181" s="48" t="s">
        <v>750</v>
      </c>
      <c r="X181" s="4" t="s">
        <v>704</v>
      </c>
      <c r="Y181" s="50" t="s">
        <v>749</v>
      </c>
      <c r="Z181" s="4" t="s">
        <v>770</v>
      </c>
      <c r="AA181" s="50" t="s">
        <v>765</v>
      </c>
      <c r="AB181" s="4" t="s">
        <v>735</v>
      </c>
      <c r="AC181" s="7">
        <v>1</v>
      </c>
      <c r="AE181" s="7">
        <v>0</v>
      </c>
      <c r="AI181" s="7" t="s">
        <v>179</v>
      </c>
      <c r="AJ181" s="7">
        <v>1</v>
      </c>
      <c r="AL181" s="38">
        <v>34033.08108108108</v>
      </c>
      <c r="AM181" s="39">
        <f>Table43[[#This Row],[Harga Beli Pcs
(-PPN)]]*Table43[[#This Row],[ISI/CTN]]</f>
        <v>204198.48648648648</v>
      </c>
      <c r="AN181" s="39">
        <f>Table43[[#This Row],[Harga Beli Pcs
(-PPN)]]*1.11</f>
        <v>37776.720000000001</v>
      </c>
      <c r="AO181" s="39">
        <f>Table43[[#This Row],[Harga Beli Krt
(- PPN)]]*1.11</f>
        <v>226660.32</v>
      </c>
      <c r="AP181" s="39">
        <v>36756.756756756753</v>
      </c>
      <c r="AQ181" s="39">
        <f>Table43[[#This Row],[Harga Jual Pcs GT
(-PPN)]]*Table43[[#This Row],[ISI/CTN]]</f>
        <v>220540.54054054053</v>
      </c>
      <c r="AR181" s="39">
        <f>Table43[[#This Row],[Harga Jual Pcs GT
(-PPN)]]*1.11</f>
        <v>40800</v>
      </c>
      <c r="AS181" s="39">
        <f>Table43[[#This Row],[Harga Jual Krt GT
(- PPN)]]*1.11</f>
        <v>244800</v>
      </c>
      <c r="AT181" s="39"/>
      <c r="AU181" s="39">
        <f>Table43[[#This Row],[Harga Jual Pcs MT
(-PPN)]]*Table43[[#This Row],[ISI/CTN]]</f>
        <v>0</v>
      </c>
      <c r="AV181" s="39">
        <f>Table43[[#This Row],[Harga Jual Pcs MT
(-PPN)]]*1.11</f>
        <v>0</v>
      </c>
      <c r="AW181" s="39">
        <f>Table43[[#This Row],[Harga Jual Pcs MT
(+PPN)]]*Table43[[#This Row],[ISI/CTN]]</f>
        <v>0</v>
      </c>
      <c r="AX181" s="47">
        <f>IFERROR((Table43[[#This Row],[Harga Jual Pcs GT
(-PPN)]]-Table43[[#This Row],[Harga Beli Pcs
(-PPN)]])/Table43[[#This Row],[Harga Jual Pcs GT
(-PPN)]],0)</f>
        <v>7.4099999999999944E-2</v>
      </c>
      <c r="AY181" s="51">
        <v>45848</v>
      </c>
      <c r="AZ181" s="7"/>
      <c r="BA181" s="7" t="str">
        <f ca="1">IF(TODAY()-Table43[[#This Row],[Efektif
Pembuatan]]&gt;60,"Lama","Baru")</f>
        <v>Lama</v>
      </c>
      <c r="BB181" s="7" t="str">
        <f ca="1">IF(TODAY()-Table43[[#This Row],[Efektif Naik Harga]]&lt;30,"Naik","Sama")</f>
        <v>Sama</v>
      </c>
      <c r="BC181" s="7" t="s">
        <v>1094</v>
      </c>
      <c r="BD181" s="7" t="str">
        <f>IF(Table43[[#This Row],[Kode BARANG Win2]]&lt;&gt;"","IDR","")</f>
        <v>IDR</v>
      </c>
      <c r="BE181" s="7" t="str">
        <f>CONCATENATE(Table43[[#This Row],[kode  1 Digit
(Nomor)]],Table43[[#This Row],[kode  4 Digit                (Nomor)]])</f>
        <v>10080</v>
      </c>
      <c r="BF181" s="7" t="str">
        <f>Table43[[#This Row],[Nama            Gramasi atau Jumlah Pack per CTN]]</f>
        <v>80G</v>
      </c>
      <c r="BG181" s="7" t="s">
        <v>1060</v>
      </c>
      <c r="BH181" s="7" t="s">
        <v>377</v>
      </c>
      <c r="BI181" s="4" t="str">
        <f>IF(Table43[[#This Row],[SATUAN Fix Win]]&lt;&gt;"","KRT")</f>
        <v>KRT</v>
      </c>
      <c r="BJ181" s="4" t="str">
        <f>IF(Table43[[#This Row],[SATUAN Fix Win]]&lt;&gt;"","GD01")</f>
        <v>GD01</v>
      </c>
      <c r="BK181" s="4">
        <f>IF(Table43[[#This Row],[SATUAN Fix Win]]&lt;&gt;"",11611)</f>
        <v>11611</v>
      </c>
      <c r="BL181" s="4">
        <f>IF(Table43[[#This Row],[SATUAN Fix Win]]&lt;&gt;"",11612)</f>
        <v>11612</v>
      </c>
      <c r="BM181" s="52" t="s">
        <v>378</v>
      </c>
      <c r="BN181" s="4">
        <f>IF(Table43[[#This Row],[SATUAN Fix Win]]&lt;&gt;"",1)</f>
        <v>1</v>
      </c>
      <c r="BO181" s="4" t="s">
        <v>637</v>
      </c>
    </row>
    <row r="182" spans="1:70">
      <c r="A182" s="4" t="str">
        <f>CONCATENATE(Table43[[#This Row],[Kode BARANG Win2]],Table43[[#This Row],[No. Urut
Item Sama]])</f>
        <v>F40730020060101</v>
      </c>
      <c r="B182" s="7">
        <v>1</v>
      </c>
      <c r="C182" s="4">
        <v>144</v>
      </c>
      <c r="D182" s="27" t="s">
        <v>404</v>
      </c>
      <c r="E182" s="27" t="s">
        <v>629</v>
      </c>
      <c r="F182" s="27" t="s">
        <v>525</v>
      </c>
      <c r="G182" s="27">
        <v>72</v>
      </c>
      <c r="H182" s="54">
        <v>8992946534188</v>
      </c>
      <c r="I182" s="27" t="str">
        <f>Table43[[#This Row],[Nama Jenis Kemasan]]</f>
        <v>PCS</v>
      </c>
      <c r="J182" s="4" t="str">
        <f>TRIM(CONCATENATE(Table43[[#This Row],[Nama            KLP]]," ",Table43[[#This Row],[Nama            Sub KLP]]))</f>
        <v>ZEN SABUN</v>
      </c>
      <c r="K182" s="4" t="str">
        <f>CONCATENATE(Table43[[#This Row],[kode  2 Digit                (hrf+No)]],Table43[[#This Row],[kode  2 Digit                (Nomor)]],Table43[[#This Row],[kode  1 Digit                (Nomor)]])</f>
        <v>F4073</v>
      </c>
      <c r="L182" s="4" t="str">
        <f>IF(AG182="",CONCATENATE(Q182,S182,U182,W182,Y182,AA182,AC182,AE182,Table43[[#This Row],[Tanda Kode Revisi]]),CONCATENATE(Q182,S182,U182,W182,Y182,AA182,AC182,AG182))</f>
        <v>F4073002006010</v>
      </c>
      <c r="M182" s="11">
        <f t="shared" si="16"/>
        <v>14</v>
      </c>
      <c r="N182" s="14" t="str">
        <f>IF(AF182&lt;&gt;"",TRIM(UPPER(CONCATENATE(P182," ",R182," ",T182," ",V182," ",X182," ",Z182," ","X"," ",Table43[[#This Row],[ISI/CTN]]," ",AF182," ",AB182," ",AD182," ",AH182))),TRIM(UPPER(CONCATENATE(P182," ",R182," ",T182," ",V182," ",X182," ",Z182," ","X"," ",Table43[[#This Row],[ISI/CTN]]," ",AB182," ",AD182," ",AH182))))</f>
        <v>ZEN SABUN SHINSO &amp; SULPHUR 60G X 72 PCS</v>
      </c>
      <c r="O182" s="11">
        <f t="shared" si="17"/>
        <v>39</v>
      </c>
      <c r="Q182" s="7" t="s">
        <v>662</v>
      </c>
      <c r="R182" s="4" t="s">
        <v>629</v>
      </c>
      <c r="S182" s="48" t="s">
        <v>756</v>
      </c>
      <c r="T182" s="49" t="s">
        <v>665</v>
      </c>
      <c r="U182" s="7">
        <v>3</v>
      </c>
      <c r="V182" s="49"/>
      <c r="W182" s="48" t="s">
        <v>370</v>
      </c>
      <c r="X182" s="4" t="s">
        <v>725</v>
      </c>
      <c r="Y182" s="50" t="s">
        <v>751</v>
      </c>
      <c r="Z182" s="4" t="s">
        <v>772</v>
      </c>
      <c r="AA182" s="50" t="s">
        <v>762</v>
      </c>
      <c r="AB182" s="4" t="s">
        <v>187</v>
      </c>
      <c r="AC182" s="7">
        <v>1</v>
      </c>
      <c r="AE182" s="7">
        <v>0</v>
      </c>
      <c r="AI182" s="7" t="s">
        <v>179</v>
      </c>
      <c r="AJ182" s="7">
        <v>1</v>
      </c>
      <c r="AL182" s="38">
        <v>2836.0900900900901</v>
      </c>
      <c r="AM182" s="39">
        <f>Table43[[#This Row],[Harga Beli Pcs
(-PPN)]]*Table43[[#This Row],[ISI/CTN]]</f>
        <v>204198.48648648648</v>
      </c>
      <c r="AN182" s="39">
        <f>Table43[[#This Row],[Harga Beli Pcs
(-PPN)]]*1.11</f>
        <v>3148.0600000000004</v>
      </c>
      <c r="AO182" s="39">
        <f>Table43[[#This Row],[Harga Beli Krt
(- PPN)]]*1.11</f>
        <v>226660.32</v>
      </c>
      <c r="AP182" s="39">
        <v>3063.0630630630631</v>
      </c>
      <c r="AQ182" s="39">
        <f>Table43[[#This Row],[Harga Jual Pcs GT
(-PPN)]]*Table43[[#This Row],[ISI/CTN]]</f>
        <v>220540.54054054053</v>
      </c>
      <c r="AR182" s="39">
        <f>Table43[[#This Row],[Harga Jual Pcs GT
(-PPN)]]*1.11</f>
        <v>3400.0000000000005</v>
      </c>
      <c r="AS182" s="39">
        <f>Table43[[#This Row],[Harga Jual Krt GT
(- PPN)]]*1.11</f>
        <v>244800</v>
      </c>
      <c r="AT182" s="39"/>
      <c r="AU182" s="39">
        <f>Table43[[#This Row],[Harga Jual Pcs MT
(-PPN)]]*Table43[[#This Row],[ISI/CTN]]</f>
        <v>0</v>
      </c>
      <c r="AV182" s="39">
        <f>Table43[[#This Row],[Harga Jual Pcs MT
(-PPN)]]*1.11</f>
        <v>0</v>
      </c>
      <c r="AW182" s="39">
        <f>Table43[[#This Row],[Harga Jual Pcs MT
(+PPN)]]*Table43[[#This Row],[ISI/CTN]]</f>
        <v>0</v>
      </c>
      <c r="AX182" s="47">
        <f>IFERROR((Table43[[#This Row],[Harga Jual Pcs GT
(-PPN)]]-Table43[[#This Row],[Harga Beli Pcs
(-PPN)]])/Table43[[#This Row],[Harga Jual Pcs GT
(-PPN)]],0)</f>
        <v>7.4099999999999985E-2</v>
      </c>
      <c r="AY182" s="51">
        <v>45848</v>
      </c>
      <c r="AZ182" s="7"/>
      <c r="BA182" s="7" t="str">
        <f ca="1">IF(TODAY()-Table43[[#This Row],[Efektif
Pembuatan]]&gt;60,"Lama","Baru")</f>
        <v>Lama</v>
      </c>
      <c r="BB182" s="7" t="str">
        <f ca="1">IF(TODAY()-Table43[[#This Row],[Efektif Naik Harga]]&lt;30,"Naik","Sama")</f>
        <v>Sama</v>
      </c>
      <c r="BC182" s="7" t="s">
        <v>185</v>
      </c>
      <c r="BD182" s="7" t="str">
        <f>IF(Table43[[#This Row],[Kode BARANG Win2]]&lt;&gt;"","IDR","")</f>
        <v>IDR</v>
      </c>
      <c r="BE182" s="7" t="str">
        <f>CONCATENATE(Table43[[#This Row],[kode  1 Digit
(Nomor)]],Table43[[#This Row],[kode  4 Digit                (Nomor)]])</f>
        <v>10060</v>
      </c>
      <c r="BF182" s="7" t="str">
        <f>Table43[[#This Row],[Nama            Gramasi atau Jumlah Pack per CTN]]</f>
        <v>60G</v>
      </c>
      <c r="BG182" s="7" t="s">
        <v>1060</v>
      </c>
      <c r="BH182" s="7" t="s">
        <v>377</v>
      </c>
      <c r="BI182" s="4" t="str">
        <f>IF(Table43[[#This Row],[SATUAN Fix Win]]&lt;&gt;"","KRT")</f>
        <v>KRT</v>
      </c>
      <c r="BJ182" s="4" t="str">
        <f>IF(Table43[[#This Row],[SATUAN Fix Win]]&lt;&gt;"","GD01")</f>
        <v>GD01</v>
      </c>
      <c r="BK182" s="4">
        <f>IF(Table43[[#This Row],[SATUAN Fix Win]]&lt;&gt;"",11611)</f>
        <v>11611</v>
      </c>
      <c r="BL182" s="4">
        <f>IF(Table43[[#This Row],[SATUAN Fix Win]]&lt;&gt;"",11612)</f>
        <v>11612</v>
      </c>
      <c r="BM182" s="52" t="s">
        <v>378</v>
      </c>
      <c r="BN182" s="4">
        <f>IF(Table43[[#This Row],[SATUAN Fix Win]]&lt;&gt;"",1)</f>
        <v>1</v>
      </c>
      <c r="BO182" s="4" t="s">
        <v>637</v>
      </c>
    </row>
    <row r="183" spans="1:70">
      <c r="A183" s="4" t="str">
        <f>CONCATENATE(Table43[[#This Row],[Kode BARANG Win2]],Table43[[#This Row],[No. Urut
Item Sama]])</f>
        <v>F40730030070201</v>
      </c>
      <c r="B183" s="7">
        <v>1</v>
      </c>
      <c r="C183" s="4">
        <v>145</v>
      </c>
      <c r="D183" s="27" t="s">
        <v>405</v>
      </c>
      <c r="E183" s="27" t="s">
        <v>629</v>
      </c>
      <c r="F183" s="27" t="s">
        <v>526</v>
      </c>
      <c r="G183" s="27">
        <v>24</v>
      </c>
      <c r="H183" s="54">
        <v>8992946534921</v>
      </c>
      <c r="I183" s="27" t="str">
        <f>Table43[[#This Row],[Nama Jenis Kemasan]]</f>
        <v>PACK</v>
      </c>
      <c r="J183" s="4" t="str">
        <f>TRIM(CONCATENATE(Table43[[#This Row],[Nama            KLP]]," ",Table43[[#This Row],[Nama            Sub KLP]]))</f>
        <v>ZEN SABUN</v>
      </c>
      <c r="K183" s="4" t="str">
        <f>CONCATENATE(Table43[[#This Row],[kode  2 Digit                (hrf+No)]],Table43[[#This Row],[kode  2 Digit                (Nomor)]],Table43[[#This Row],[kode  1 Digit                (Nomor)]])</f>
        <v>F4073</v>
      </c>
      <c r="L183" s="4" t="str">
        <f>IF(AG183="",CONCATENATE(Q183,S183,U183,W183,Y183,AA183,AC183,AE183,Table43[[#This Row],[Tanda Kode Revisi]]),CONCATENATE(Q183,S183,U183,W183,Y183,AA183,AC183,AG183))</f>
        <v>F4073003007020</v>
      </c>
      <c r="M183" s="11">
        <f t="shared" si="16"/>
        <v>14</v>
      </c>
      <c r="N183" s="14" t="str">
        <f>IF(AF183&lt;&gt;"",TRIM(UPPER(CONCATENATE(P183," ",R183," ",T183," ",V183," ",X183," ",Z183," ","X"," ",Table43[[#This Row],[ISI/CTN]]," ",AF183," ",AB183," ",AD183," ",AH183))),TRIM(UPPER(CONCATENATE(P183," ",R183," ",T183," ",V183," ",X183," ",Z183," ","X"," ",Table43[[#This Row],[ISI/CTN]]," ",AB183," ",AD183," ",AH183))))</f>
        <v>ZEN SABUN SHISO &amp; ECHINACEA 70G X 24 PACK</v>
      </c>
      <c r="O183" s="11">
        <f t="shared" si="17"/>
        <v>41</v>
      </c>
      <c r="Q183" s="7" t="s">
        <v>662</v>
      </c>
      <c r="R183" s="4" t="s">
        <v>629</v>
      </c>
      <c r="S183" s="48" t="s">
        <v>756</v>
      </c>
      <c r="T183" s="49" t="s">
        <v>665</v>
      </c>
      <c r="U183" s="7">
        <v>3</v>
      </c>
      <c r="V183" s="49"/>
      <c r="W183" s="48" t="s">
        <v>370</v>
      </c>
      <c r="X183" s="4" t="s">
        <v>726</v>
      </c>
      <c r="Y183" s="50" t="s">
        <v>752</v>
      </c>
      <c r="Z183" s="4" t="s">
        <v>771</v>
      </c>
      <c r="AA183" s="50" t="s">
        <v>738</v>
      </c>
      <c r="AB183" s="4" t="s">
        <v>736</v>
      </c>
      <c r="AC183" s="7">
        <v>2</v>
      </c>
      <c r="AE183" s="7">
        <v>0</v>
      </c>
      <c r="AI183" s="7" t="s">
        <v>179</v>
      </c>
      <c r="AJ183" s="7">
        <v>1</v>
      </c>
      <c r="AL183" s="38">
        <v>7340.468468468468</v>
      </c>
      <c r="AM183" s="39">
        <f>Table43[[#This Row],[Harga Beli Pcs
(-PPN)]]*Table43[[#This Row],[ISI/CTN]]</f>
        <v>176171.24324324323</v>
      </c>
      <c r="AN183" s="39">
        <f>Table43[[#This Row],[Harga Beli Pcs
(-PPN)]]*1.11</f>
        <v>8147.92</v>
      </c>
      <c r="AO183" s="39">
        <f>Table43[[#This Row],[Harga Beli Krt
(- PPN)]]*1.11</f>
        <v>195550.07999999999</v>
      </c>
      <c r="AP183" s="39">
        <v>7927.9279279279281</v>
      </c>
      <c r="AQ183" s="39">
        <f>Table43[[#This Row],[Harga Jual Pcs GT
(-PPN)]]*Table43[[#This Row],[ISI/CTN]]</f>
        <v>190270.27027027027</v>
      </c>
      <c r="AR183" s="39">
        <f>Table43[[#This Row],[Harga Jual Pcs GT
(-PPN)]]*1.11</f>
        <v>8800.0000000000018</v>
      </c>
      <c r="AS183" s="39">
        <f>Table43[[#This Row],[Harga Jual Krt GT
(- PPN)]]*1.11</f>
        <v>211200</v>
      </c>
      <c r="AT183" s="39"/>
      <c r="AU183" s="39">
        <f>Table43[[#This Row],[Harga Jual Pcs MT
(-PPN)]]*Table43[[#This Row],[ISI/CTN]]</f>
        <v>0</v>
      </c>
      <c r="AV183" s="39">
        <f>Table43[[#This Row],[Harga Jual Pcs MT
(-PPN)]]*1.11</f>
        <v>0</v>
      </c>
      <c r="AW183" s="39">
        <f>Table43[[#This Row],[Harga Jual Pcs MT
(+PPN)]]*Table43[[#This Row],[ISI/CTN]]</f>
        <v>0</v>
      </c>
      <c r="AX183" s="47">
        <f>IFERROR((Table43[[#This Row],[Harga Jual Pcs GT
(-PPN)]]-Table43[[#This Row],[Harga Beli Pcs
(-PPN)]])/Table43[[#This Row],[Harga Jual Pcs GT
(-PPN)]],0)</f>
        <v>7.4100000000000069E-2</v>
      </c>
      <c r="AY183" s="51">
        <v>45848</v>
      </c>
      <c r="AZ183" s="7"/>
      <c r="BA183" s="7" t="str">
        <f ca="1">IF(TODAY()-Table43[[#This Row],[Efektif
Pembuatan]]&gt;60,"Lama","Baru")</f>
        <v>Lama</v>
      </c>
      <c r="BB183" s="7" t="str">
        <f ca="1">IF(TODAY()-Table43[[#This Row],[Efektif Naik Harga]]&lt;30,"Naik","Sama")</f>
        <v>Sama</v>
      </c>
      <c r="BC183" s="7" t="s">
        <v>185</v>
      </c>
      <c r="BD183" s="7" t="str">
        <f>IF(Table43[[#This Row],[Kode BARANG Win2]]&lt;&gt;"","IDR","")</f>
        <v>IDR</v>
      </c>
      <c r="BE183" s="7" t="str">
        <f>CONCATENATE(Table43[[#This Row],[kode  1 Digit
(Nomor)]],Table43[[#This Row],[kode  4 Digit                (Nomor)]])</f>
        <v>10070</v>
      </c>
      <c r="BF183" s="7" t="str">
        <f>Table43[[#This Row],[Nama            Gramasi atau Jumlah Pack per CTN]]</f>
        <v>70G</v>
      </c>
      <c r="BG183" s="7" t="s">
        <v>1060</v>
      </c>
      <c r="BH183" s="7" t="s">
        <v>377</v>
      </c>
      <c r="BI183" s="4" t="str">
        <f>IF(Table43[[#This Row],[SATUAN Fix Win]]&lt;&gt;"","KRT")</f>
        <v>KRT</v>
      </c>
      <c r="BJ183" s="4" t="str">
        <f>IF(Table43[[#This Row],[SATUAN Fix Win]]&lt;&gt;"","GD01")</f>
        <v>GD01</v>
      </c>
      <c r="BK183" s="4">
        <f>IF(Table43[[#This Row],[SATUAN Fix Win]]&lt;&gt;"",11611)</f>
        <v>11611</v>
      </c>
      <c r="BL183" s="4">
        <f>IF(Table43[[#This Row],[SATUAN Fix Win]]&lt;&gt;"",11612)</f>
        <v>11612</v>
      </c>
      <c r="BM183" s="52" t="s">
        <v>378</v>
      </c>
      <c r="BN183" s="4">
        <f>IF(Table43[[#This Row],[SATUAN Fix Win]]&lt;&gt;"",1)</f>
        <v>1</v>
      </c>
      <c r="BO183" s="4" t="s">
        <v>637</v>
      </c>
    </row>
    <row r="184" spans="1:70">
      <c r="A184" s="4" t="str">
        <f>CONCATENATE(Table43[[#This Row],[Kode BARANG Win2]],Table43[[#This Row],[No. Urut
Item Sama]])</f>
        <v>F40730030070202</v>
      </c>
      <c r="B184" s="7">
        <v>2</v>
      </c>
      <c r="D184" s="73" t="s">
        <v>1217</v>
      </c>
      <c r="E184" s="27" t="s">
        <v>629</v>
      </c>
      <c r="F184" s="27" t="s">
        <v>1218</v>
      </c>
      <c r="G184" s="27">
        <v>24</v>
      </c>
      <c r="H184" s="54">
        <v>8992946534921</v>
      </c>
      <c r="I184" s="27" t="str">
        <f>Table43[[#This Row],[Nama Jenis Kemasan]]</f>
        <v>PACK</v>
      </c>
      <c r="J184" s="4" t="str">
        <f>TRIM(CONCATENATE(Table43[[#This Row],[Nama            KLP]]," ",Table43[[#This Row],[Nama            Sub KLP]]))</f>
        <v>ZEN SABUN</v>
      </c>
      <c r="K184" s="4" t="str">
        <f>CONCATENATE(Table43[[#This Row],[kode  2 Digit                (hrf+No)]],Table43[[#This Row],[kode  2 Digit                (Nomor)]],Table43[[#This Row],[kode  1 Digit                (Nomor)]])</f>
        <v>F4073</v>
      </c>
      <c r="L184" s="4" t="str">
        <f>IF(AG184="",CONCATENATE(Q184,S184,U184,W184,Y184,AA184,AC184,AE184,Table43[[#This Row],[Tanda Kode Revisi]]),CONCATENATE(Q184,S184,U184,W184,Y184,AA184,AC184,AG184))</f>
        <v>F4073003007020</v>
      </c>
      <c r="M184" s="11">
        <f>LEN(L184)</f>
        <v>14</v>
      </c>
      <c r="N184" s="14" t="str">
        <f>IF(AF184&lt;&gt;"",TRIM(UPPER(CONCATENATE(P184," ",R184," ",T184," ",V184," ",X184," ",Z184," ","X"," ",Table43[[#This Row],[ISI/CTN]]," ",AF184," ",AB184," ",AD184," ",AH184))),TRIM(UPPER(CONCATENATE(P184," ",R184," ",T184," ",V184," ",X184," ",Z184," ","X"," ",Table43[[#This Row],[ISI/CTN]]," ",AB184," ",AD184," ",AH184))))</f>
        <v>ZEN SABUN SHISO &amp; ECHINACEA 70G X 24 PACK</v>
      </c>
      <c r="O184" s="11">
        <f>LEN(N184)</f>
        <v>41</v>
      </c>
      <c r="Q184" s="7" t="s">
        <v>662</v>
      </c>
      <c r="R184" s="4" t="s">
        <v>629</v>
      </c>
      <c r="S184" s="48" t="s">
        <v>756</v>
      </c>
      <c r="T184" s="49" t="s">
        <v>665</v>
      </c>
      <c r="U184" s="7">
        <v>3</v>
      </c>
      <c r="V184" s="49"/>
      <c r="W184" s="48" t="s">
        <v>370</v>
      </c>
      <c r="X184" s="4" t="s">
        <v>726</v>
      </c>
      <c r="Y184" s="50" t="s">
        <v>752</v>
      </c>
      <c r="Z184" s="4" t="s">
        <v>771</v>
      </c>
      <c r="AA184" s="50" t="s">
        <v>738</v>
      </c>
      <c r="AB184" s="4" t="s">
        <v>736</v>
      </c>
      <c r="AC184" s="7">
        <v>2</v>
      </c>
      <c r="AE184" s="7">
        <v>0</v>
      </c>
      <c r="AL184" s="38"/>
      <c r="AM184" s="39">
        <f>Table43[[#This Row],[Harga Beli Pcs
(-PPN)]]*Table43[[#This Row],[ISI/CTN]]</f>
        <v>0</v>
      </c>
      <c r="AN184" s="39">
        <f>Table43[[#This Row],[Harga Beli Pcs
(-PPN)]]*1.11</f>
        <v>0</v>
      </c>
      <c r="AO184" s="39">
        <f>Table43[[#This Row],[Harga Beli Krt
(- PPN)]]*1.11</f>
        <v>0</v>
      </c>
      <c r="AP184" s="39"/>
      <c r="AQ184" s="39">
        <f>Table43[[#This Row],[Harga Jual Pcs GT
(-PPN)]]*Table43[[#This Row],[ISI/CTN]]</f>
        <v>0</v>
      </c>
      <c r="AR184" s="39">
        <f>Table43[[#This Row],[Harga Jual Pcs GT
(-PPN)]]*1.11</f>
        <v>0</v>
      </c>
      <c r="AS184" s="39">
        <f>Table43[[#This Row],[Harga Jual Krt GT
(- PPN)]]*1.11</f>
        <v>0</v>
      </c>
      <c r="AT184" s="39"/>
      <c r="AU184" s="39">
        <f>Table43[[#This Row],[Harga Jual Pcs MT
(-PPN)]]*Table43[[#This Row],[ISI/CTN]]</f>
        <v>0</v>
      </c>
      <c r="AV184" s="39">
        <f>Table43[[#This Row],[Harga Jual Pcs MT
(-PPN)]]*1.11</f>
        <v>0</v>
      </c>
      <c r="AW184" s="39">
        <f>Table43[[#This Row],[Harga Jual Pcs MT
(+PPN)]]*Table43[[#This Row],[ISI/CTN]]</f>
        <v>0</v>
      </c>
      <c r="AX184" s="47">
        <f>IFERROR((Table43[[#This Row],[Harga Jual Pcs GT
(-PPN)]]-Table43[[#This Row],[Harga Beli Pcs
(-PPN)]])/Table43[[#This Row],[Harga Jual Pcs GT
(-PPN)]],0)</f>
        <v>0</v>
      </c>
      <c r="AY184" s="51"/>
      <c r="AZ184" s="7"/>
      <c r="BA184" s="7" t="str">
        <f ca="1">IF(TODAY()-Table43[[#This Row],[Efektif
Pembuatan]]&gt;60,"Lama","Baru")</f>
        <v>Lama</v>
      </c>
      <c r="BB184" s="7" t="str">
        <f ca="1">IF(TODAY()-Table43[[#This Row],[Efektif Naik Harga]]&lt;30,"Naik","Sama")</f>
        <v>Sama</v>
      </c>
      <c r="BC184" s="7" t="s">
        <v>185</v>
      </c>
      <c r="BD184" s="7" t="str">
        <f>IF(Table43[[#This Row],[Kode BARANG Win2]]&lt;&gt;"","IDR","")</f>
        <v>IDR</v>
      </c>
      <c r="BE184" s="7" t="str">
        <f>CONCATENATE(Table43[[#This Row],[kode  1 Digit
(Nomor)]],Table43[[#This Row],[kode  4 Digit                (Nomor)]])</f>
        <v>0070</v>
      </c>
      <c r="BF184" s="7" t="str">
        <f>Table43[[#This Row],[Nama            Gramasi atau Jumlah Pack per CTN]]</f>
        <v>70G</v>
      </c>
      <c r="BG184" s="7"/>
      <c r="BH184" s="7"/>
      <c r="BI184" s="4" t="str">
        <f>IF(Table43[[#This Row],[SATUAN Fix Win]]&lt;&gt;"","KRT")</f>
        <v>KRT</v>
      </c>
      <c r="BJ184" s="4" t="str">
        <f>IF(Table43[[#This Row],[SATUAN Fix Win]]&lt;&gt;"","GD01")</f>
        <v>GD01</v>
      </c>
      <c r="BK184" s="4">
        <f>IF(Table43[[#This Row],[SATUAN Fix Win]]&lt;&gt;"",11611)</f>
        <v>11611</v>
      </c>
      <c r="BL184" s="4">
        <f>IF(Table43[[#This Row],[SATUAN Fix Win]]&lt;&gt;"",11612)</f>
        <v>11612</v>
      </c>
      <c r="BM184" s="52"/>
      <c r="BN184" s="4">
        <f>IF(Table43[[#This Row],[SATUAN Fix Win]]&lt;&gt;"",1)</f>
        <v>1</v>
      </c>
    </row>
    <row r="185" spans="1:70">
      <c r="A185" s="4" t="str">
        <f>CONCATENATE(Table43[[#This Row],[Kode BARANG Win2]],Table43[[#This Row],[No. Urut
Item Sama]])</f>
        <v>F40730040070201</v>
      </c>
      <c r="B185" s="7">
        <v>1</v>
      </c>
      <c r="C185" s="4">
        <v>146</v>
      </c>
      <c r="D185" s="27" t="s">
        <v>406</v>
      </c>
      <c r="E185" s="27" t="s">
        <v>629</v>
      </c>
      <c r="F185" s="27" t="s">
        <v>527</v>
      </c>
      <c r="G185" s="27">
        <v>24</v>
      </c>
      <c r="H185" s="54" t="s">
        <v>655</v>
      </c>
      <c r="I185" s="27" t="str">
        <f>Table43[[#This Row],[Nama Jenis Kemasan]]</f>
        <v>PACK</v>
      </c>
      <c r="J185" s="4" t="str">
        <f>TRIM(CONCATENATE(Table43[[#This Row],[Nama            KLP]]," ",Table43[[#This Row],[Nama            Sub KLP]]))</f>
        <v>ZEN SABUN</v>
      </c>
      <c r="K185" s="4" t="str">
        <f>CONCATENATE(Table43[[#This Row],[kode  2 Digit                (hrf+No)]],Table43[[#This Row],[kode  2 Digit                (Nomor)]],Table43[[#This Row],[kode  1 Digit                (Nomor)]])</f>
        <v>F4073</v>
      </c>
      <c r="L185" s="4" t="str">
        <f>IF(AG185="",CONCATENATE(Q185,S185,U185,W185,Y185,AA185,AC185,AE185,Table43[[#This Row],[Tanda Kode Revisi]]),CONCATENATE(Q185,S185,U185,W185,Y185,AA185,AC185,AG185))</f>
        <v>F4073004007020</v>
      </c>
      <c r="M185" s="11">
        <f t="shared" si="16"/>
        <v>14</v>
      </c>
      <c r="N185" s="14" t="str">
        <f>IF(AF185&lt;&gt;"",TRIM(UPPER(CONCATENATE(P185," ",R185," ",T185," ",V185," ",X185," ",Z185," ","X"," ",Table43[[#This Row],[ISI/CTN]]," ",AF185," ",AB185," ",AD185," ",AH185))),TRIM(UPPER(CONCATENATE(P185," ",R185," ",T185," ",V185," ",X185," ",Z185," ","X"," ",Table43[[#This Row],[ISI/CTN]]," ",AB185," ",AD185," ",AH185))))</f>
        <v>ZEN SABUN SHISO &amp; JUNIPER BERRIES 70G X 24 PACK</v>
      </c>
      <c r="O185" s="11">
        <f t="shared" si="17"/>
        <v>47</v>
      </c>
      <c r="Q185" s="7" t="s">
        <v>662</v>
      </c>
      <c r="R185" s="4" t="s">
        <v>629</v>
      </c>
      <c r="S185" s="48" t="s">
        <v>756</v>
      </c>
      <c r="T185" s="49" t="s">
        <v>665</v>
      </c>
      <c r="U185" s="7">
        <v>3</v>
      </c>
      <c r="V185" s="49"/>
      <c r="W185" s="48" t="s">
        <v>370</v>
      </c>
      <c r="X185" s="4" t="s">
        <v>727</v>
      </c>
      <c r="Y185" s="50" t="s">
        <v>753</v>
      </c>
      <c r="Z185" s="4" t="s">
        <v>771</v>
      </c>
      <c r="AA185" s="50" t="s">
        <v>738</v>
      </c>
      <c r="AB185" s="4" t="s">
        <v>736</v>
      </c>
      <c r="AC185" s="7">
        <v>2</v>
      </c>
      <c r="AE185" s="7">
        <v>0</v>
      </c>
      <c r="AI185" s="7" t="s">
        <v>179</v>
      </c>
      <c r="AJ185" s="7">
        <v>1</v>
      </c>
      <c r="AL185" s="38">
        <v>7340.468468468468</v>
      </c>
      <c r="AM185" s="39">
        <f>Table43[[#This Row],[Harga Beli Pcs
(-PPN)]]*Table43[[#This Row],[ISI/CTN]]</f>
        <v>176171.24324324323</v>
      </c>
      <c r="AN185" s="39">
        <f>Table43[[#This Row],[Harga Beli Pcs
(-PPN)]]*1.11</f>
        <v>8147.92</v>
      </c>
      <c r="AO185" s="39">
        <f>Table43[[#This Row],[Harga Beli Krt
(- PPN)]]*1.11</f>
        <v>195550.07999999999</v>
      </c>
      <c r="AP185" s="39">
        <v>7927.9279279279281</v>
      </c>
      <c r="AQ185" s="39">
        <f>Table43[[#This Row],[Harga Jual Pcs GT
(-PPN)]]*Table43[[#This Row],[ISI/CTN]]</f>
        <v>190270.27027027027</v>
      </c>
      <c r="AR185" s="39">
        <f>Table43[[#This Row],[Harga Jual Pcs GT
(-PPN)]]*1.11</f>
        <v>8800.0000000000018</v>
      </c>
      <c r="AS185" s="39">
        <f>Table43[[#This Row],[Harga Jual Krt GT
(- PPN)]]*1.11</f>
        <v>211200</v>
      </c>
      <c r="AT185" s="39"/>
      <c r="AU185" s="39">
        <f>Table43[[#This Row],[Harga Jual Pcs MT
(-PPN)]]*Table43[[#This Row],[ISI/CTN]]</f>
        <v>0</v>
      </c>
      <c r="AV185" s="39">
        <f>Table43[[#This Row],[Harga Jual Pcs MT
(-PPN)]]*1.11</f>
        <v>0</v>
      </c>
      <c r="AW185" s="39">
        <f>Table43[[#This Row],[Harga Jual Pcs MT
(+PPN)]]*Table43[[#This Row],[ISI/CTN]]</f>
        <v>0</v>
      </c>
      <c r="AX185" s="47">
        <f>IFERROR((Table43[[#This Row],[Harga Jual Pcs GT
(-PPN)]]-Table43[[#This Row],[Harga Beli Pcs
(-PPN)]])/Table43[[#This Row],[Harga Jual Pcs GT
(-PPN)]],0)</f>
        <v>7.4100000000000069E-2</v>
      </c>
      <c r="AY185" s="51">
        <v>45848</v>
      </c>
      <c r="AZ185" s="7"/>
      <c r="BA185" s="7" t="str">
        <f ca="1">IF(TODAY()-Table43[[#This Row],[Efektif
Pembuatan]]&gt;60,"Lama","Baru")</f>
        <v>Lama</v>
      </c>
      <c r="BB185" s="7" t="str">
        <f ca="1">IF(TODAY()-Table43[[#This Row],[Efektif Naik Harga]]&lt;30,"Naik","Sama")</f>
        <v>Sama</v>
      </c>
      <c r="BC185" s="7" t="s">
        <v>185</v>
      </c>
      <c r="BD185" s="7" t="str">
        <f>IF(Table43[[#This Row],[Kode BARANG Win2]]&lt;&gt;"","IDR","")</f>
        <v>IDR</v>
      </c>
      <c r="BE185" s="7" t="str">
        <f>CONCATENATE(Table43[[#This Row],[kode  1 Digit
(Nomor)]],Table43[[#This Row],[kode  4 Digit                (Nomor)]])</f>
        <v>10070</v>
      </c>
      <c r="BF185" s="7" t="str">
        <f>Table43[[#This Row],[Nama            Gramasi atau Jumlah Pack per CTN]]</f>
        <v>70G</v>
      </c>
      <c r="BG185" s="7" t="s">
        <v>1060</v>
      </c>
      <c r="BH185" s="7" t="s">
        <v>377</v>
      </c>
      <c r="BI185" s="4" t="str">
        <f>IF(Table43[[#This Row],[SATUAN Fix Win]]&lt;&gt;"","KRT")</f>
        <v>KRT</v>
      </c>
      <c r="BJ185" s="4" t="str">
        <f>IF(Table43[[#This Row],[SATUAN Fix Win]]&lt;&gt;"","GD01")</f>
        <v>GD01</v>
      </c>
      <c r="BK185" s="4">
        <f>IF(Table43[[#This Row],[SATUAN Fix Win]]&lt;&gt;"",11611)</f>
        <v>11611</v>
      </c>
      <c r="BL185" s="4">
        <f>IF(Table43[[#This Row],[SATUAN Fix Win]]&lt;&gt;"",11612)</f>
        <v>11612</v>
      </c>
      <c r="BM185" s="52" t="s">
        <v>378</v>
      </c>
      <c r="BN185" s="4">
        <f>IF(Table43[[#This Row],[SATUAN Fix Win]]&lt;&gt;"",1)</f>
        <v>1</v>
      </c>
      <c r="BO185" s="4" t="s">
        <v>637</v>
      </c>
    </row>
    <row r="186" spans="1:70">
      <c r="A186" s="4" t="str">
        <f>CONCATENATE(Table43[[#This Row],[Kode BARANG Win2]],Table43[[#This Row],[No. Urut
Item Sama]])</f>
        <v>F40730040070202</v>
      </c>
      <c r="B186" s="7">
        <v>2</v>
      </c>
      <c r="C186" s="4">
        <v>147</v>
      </c>
      <c r="D186" s="73" t="s">
        <v>1131</v>
      </c>
      <c r="E186" s="27" t="s">
        <v>629</v>
      </c>
      <c r="F186" s="27" t="s">
        <v>1132</v>
      </c>
      <c r="G186" s="27">
        <v>24</v>
      </c>
      <c r="H186" s="54" t="s">
        <v>655</v>
      </c>
      <c r="I186" s="27" t="str">
        <f>Table43[[#This Row],[Nama Jenis Kemasan]]</f>
        <v>PACK</v>
      </c>
      <c r="J186" s="4" t="str">
        <f>TRIM(CONCATENATE(Table43[[#This Row],[Nama            KLP]]," ",Table43[[#This Row],[Nama            Sub KLP]]))</f>
        <v>ZEN SABUN</v>
      </c>
      <c r="K186" s="4" t="str">
        <f>CONCATENATE(Table43[[#This Row],[kode  2 Digit                (hrf+No)]],Table43[[#This Row],[kode  2 Digit                (Nomor)]],Table43[[#This Row],[kode  1 Digit                (Nomor)]])</f>
        <v>F4073</v>
      </c>
      <c r="L186" s="4" t="str">
        <f>IF(AG186="",CONCATENATE(Q186,S186,U186,W186,Y186,AA186,AC186,AE186,Table43[[#This Row],[Tanda Kode Revisi]]),CONCATENATE(Q186,S186,U186,W186,Y186,AA186,AC186,AG186))</f>
        <v>F4073004007020</v>
      </c>
      <c r="M186" s="11">
        <f>LEN(L186)</f>
        <v>14</v>
      </c>
      <c r="N186" s="14" t="str">
        <f>IF(AF186&lt;&gt;"",TRIM(UPPER(CONCATENATE(P186," ",R186," ",T186," ",V186," ",X186," ",Z186," ","X"," ",Table43[[#This Row],[ISI/CTN]]," ",AF186," ",AB186," ",AD186," ",AH186))),TRIM(UPPER(CONCATENATE(P186," ",R186," ",T186," ",V186," ",X186," ",Z186," ","X"," ",Table43[[#This Row],[ISI/CTN]]," ",AB186," ",AD186," ",AH186))))</f>
        <v>ZEN SABUN SHISO &amp; JUNIPER BERRIES 70G X 24 PACK</v>
      </c>
      <c r="O186" s="11">
        <f>LEN(N186)</f>
        <v>47</v>
      </c>
      <c r="Q186" s="7" t="s">
        <v>662</v>
      </c>
      <c r="R186" s="4" t="s">
        <v>629</v>
      </c>
      <c r="S186" s="48" t="s">
        <v>756</v>
      </c>
      <c r="T186" s="49" t="s">
        <v>665</v>
      </c>
      <c r="U186" s="7">
        <v>3</v>
      </c>
      <c r="V186" s="49"/>
      <c r="W186" s="48" t="s">
        <v>370</v>
      </c>
      <c r="X186" s="4" t="s">
        <v>727</v>
      </c>
      <c r="Y186" s="50" t="s">
        <v>753</v>
      </c>
      <c r="Z186" s="4" t="s">
        <v>771</v>
      </c>
      <c r="AA186" s="50" t="s">
        <v>738</v>
      </c>
      <c r="AB186" s="4" t="s">
        <v>736</v>
      </c>
      <c r="AC186" s="7">
        <v>2</v>
      </c>
      <c r="AE186" s="7">
        <v>0</v>
      </c>
      <c r="AL186" s="38">
        <v>58723.747747747744</v>
      </c>
      <c r="AM186" s="39">
        <f>Table43[[#This Row],[Harga Beli Pcs
(-PPN)]]*Table43[[#This Row],[ISI/CTN]]</f>
        <v>1409369.9459459458</v>
      </c>
      <c r="AN186" s="39">
        <f>Table43[[#This Row],[Harga Beli Pcs
(-PPN)]]*1.11</f>
        <v>65183.360000000001</v>
      </c>
      <c r="AO186" s="39">
        <f>Table43[[#This Row],[Harga Beli Krt
(- PPN)]]*1.11</f>
        <v>1564400.6399999999</v>
      </c>
      <c r="AP186" s="39">
        <v>63423.423423423425</v>
      </c>
      <c r="AQ186" s="39">
        <f>Table43[[#This Row],[Harga Jual Pcs GT
(-PPN)]]*Table43[[#This Row],[ISI/CTN]]</f>
        <v>1522162.1621621621</v>
      </c>
      <c r="AR186" s="39">
        <f>Table43[[#This Row],[Harga Jual Pcs GT
(-PPN)]]*1.11</f>
        <v>70400.000000000015</v>
      </c>
      <c r="AS186" s="39">
        <f>Table43[[#This Row],[Harga Jual Krt GT
(- PPN)]]*1.11</f>
        <v>1689600</v>
      </c>
      <c r="AT186" s="39"/>
      <c r="AU186" s="39">
        <f>Table43[[#This Row],[Harga Jual Pcs MT
(-PPN)]]*Table43[[#This Row],[ISI/CTN]]</f>
        <v>0</v>
      </c>
      <c r="AV186" s="39">
        <f>Table43[[#This Row],[Harga Jual Pcs MT
(-PPN)]]*1.11</f>
        <v>0</v>
      </c>
      <c r="AW186" s="39">
        <f>Table43[[#This Row],[Harga Jual Pcs MT
(+PPN)]]*Table43[[#This Row],[ISI/CTN]]</f>
        <v>0</v>
      </c>
      <c r="AX186" s="47">
        <f>IFERROR((Table43[[#This Row],[Harga Jual Pcs GT
(-PPN)]]-Table43[[#This Row],[Harga Beli Pcs
(-PPN)]])/Table43[[#This Row],[Harga Jual Pcs GT
(-PPN)]],0)</f>
        <v>7.4100000000000069E-2</v>
      </c>
      <c r="AY186" s="51"/>
      <c r="AZ186" s="7"/>
      <c r="BA186" s="7" t="str">
        <f ca="1">IF(TODAY()-Table43[[#This Row],[Efektif
Pembuatan]]&gt;60,"Lama","Baru")</f>
        <v>Lama</v>
      </c>
      <c r="BB186" s="7" t="str">
        <f ca="1">IF(TODAY()-Table43[[#This Row],[Efektif Naik Harga]]&lt;30,"Naik","Sama")</f>
        <v>Sama</v>
      </c>
      <c r="BC186" s="7"/>
      <c r="BD186" s="7" t="str">
        <f>IF(Table43[[#This Row],[Kode BARANG Win2]]&lt;&gt;"","IDR","")</f>
        <v>IDR</v>
      </c>
      <c r="BE186" s="7" t="str">
        <f>CONCATENATE(Table43[[#This Row],[kode  1 Digit
(Nomor)]],Table43[[#This Row],[kode  4 Digit                (Nomor)]])</f>
        <v>0070</v>
      </c>
      <c r="BF186" s="7" t="str">
        <f>Table43[[#This Row],[Nama            Gramasi atau Jumlah Pack per CTN]]</f>
        <v>70G</v>
      </c>
      <c r="BG186" s="7"/>
      <c r="BH186" s="7"/>
      <c r="BI186" s="4" t="str">
        <f>IF(Table43[[#This Row],[SATUAN Fix Win]]&lt;&gt;"","KRT")</f>
        <v>KRT</v>
      </c>
      <c r="BJ186" s="4" t="str">
        <f>IF(Table43[[#This Row],[SATUAN Fix Win]]&lt;&gt;"","GD01")</f>
        <v>GD01</v>
      </c>
      <c r="BK186" s="4">
        <f>IF(Table43[[#This Row],[SATUAN Fix Win]]&lt;&gt;"",11611)</f>
        <v>11611</v>
      </c>
      <c r="BL186" s="4">
        <f>IF(Table43[[#This Row],[SATUAN Fix Win]]&lt;&gt;"",11612)</f>
        <v>11612</v>
      </c>
      <c r="BM186" s="52"/>
      <c r="BN186" s="4">
        <f>IF(Table43[[#This Row],[SATUAN Fix Win]]&lt;&gt;"",1)</f>
        <v>1</v>
      </c>
    </row>
    <row r="187" spans="1:70" s="130" customFormat="1">
      <c r="A187" s="111" t="str">
        <f>CONCATENATE(Table43[[#This Row],[Kode BARANG Win2]],Table43[[#This Row],[No. Urut
Item Sama]])</f>
        <v>F40730040070203</v>
      </c>
      <c r="B187" s="112">
        <v>3</v>
      </c>
      <c r="C187" s="111">
        <v>171</v>
      </c>
      <c r="D187" s="128" t="s">
        <v>1341</v>
      </c>
      <c r="E187" s="113" t="s">
        <v>629</v>
      </c>
      <c r="F187" s="113" t="s">
        <v>1342</v>
      </c>
      <c r="G187" s="113">
        <v>24</v>
      </c>
      <c r="H187" s="127"/>
      <c r="I187" s="113" t="str">
        <f>Table43[[#This Row],[Nama Jenis Kemasan]]</f>
        <v>PACK</v>
      </c>
      <c r="J187" s="111" t="str">
        <f>TRIM(CONCATENATE(Table43[[#This Row],[Nama            KLP]]," ",Table43[[#This Row],[Nama            Sub KLP]]))</f>
        <v>ZEN SABUN</v>
      </c>
      <c r="K187" s="111" t="str">
        <f>CONCATENATE(Table43[[#This Row],[kode  2 Digit                (hrf+No)]],Table43[[#This Row],[kode  2 Digit                (Nomor)]],Table43[[#This Row],[kode  1 Digit                (Nomor)]])</f>
        <v>F4073</v>
      </c>
      <c r="L187" s="111" t="str">
        <f>IF(AG187="",CONCATENATE(Q187,S187,U187,W187,Y187,AA187,AC187,AE187,Table43[[#This Row],[Tanda Kode Revisi]]),CONCATENATE(Q187,S187,U187,W187,Y187,AA187,AC187,AG187))</f>
        <v>F4073004007020</v>
      </c>
      <c r="M187" s="116">
        <f>LEN(L187)</f>
        <v>14</v>
      </c>
      <c r="N187" s="131" t="str">
        <f>IF(AF187&lt;&gt;"",TRIM(UPPER(CONCATENATE(P187," ",R187," ",T187," ",V187," ",X187," ",Z187," ","X"," ",Table43[[#This Row],[ISI/CTN]]," ",AF187," ",AB187," ",AD187," ",AH187))),TRIM(UPPER(CONCATENATE(P187," ",R187," ",T187," ",V187," ",X187," ",Z187," ","X"," ",Table43[[#This Row],[ISI/CTN]]," ",AB187," ",AD187," ",AH187))))</f>
        <v>ZEN SABUN SHISO &amp; JUNIPER BERRIES 60+15G X 24 PACK</v>
      </c>
      <c r="O187" s="116">
        <f>LEN(N187)</f>
        <v>50</v>
      </c>
      <c r="P187" s="111"/>
      <c r="Q187" s="112" t="s">
        <v>662</v>
      </c>
      <c r="R187" s="111" t="s">
        <v>629</v>
      </c>
      <c r="S187" s="118" t="s">
        <v>756</v>
      </c>
      <c r="T187" s="119" t="s">
        <v>665</v>
      </c>
      <c r="U187" s="112">
        <v>3</v>
      </c>
      <c r="V187" s="119"/>
      <c r="W187" s="118" t="s">
        <v>370</v>
      </c>
      <c r="X187" s="111" t="s">
        <v>727</v>
      </c>
      <c r="Y187" s="120" t="s">
        <v>753</v>
      </c>
      <c r="Z187" s="111" t="s">
        <v>1343</v>
      </c>
      <c r="AA187" s="120" t="s">
        <v>738</v>
      </c>
      <c r="AB187" s="111" t="s">
        <v>736</v>
      </c>
      <c r="AC187" s="112">
        <v>2</v>
      </c>
      <c r="AD187" s="111"/>
      <c r="AE187" s="112">
        <v>0</v>
      </c>
      <c r="AF187" s="112"/>
      <c r="AG187" s="112"/>
      <c r="AH187" s="112"/>
      <c r="AI187" s="112"/>
      <c r="AJ187" s="112"/>
      <c r="AK187" s="112"/>
      <c r="AL187" s="121"/>
      <c r="AM187" s="122">
        <f>Table43[[#This Row],[Harga Beli Pcs
(-PPN)]]*Table43[[#This Row],[ISI/CTN]]</f>
        <v>0</v>
      </c>
      <c r="AN187" s="122">
        <f>Table43[[#This Row],[Harga Beli Pcs
(-PPN)]]*1.11</f>
        <v>0</v>
      </c>
      <c r="AO187" s="122">
        <f>Table43[[#This Row],[Harga Beli Krt
(- PPN)]]*1.11</f>
        <v>0</v>
      </c>
      <c r="AP187" s="122"/>
      <c r="AQ187" s="122">
        <f>Table43[[#This Row],[Harga Jual Pcs GT
(-PPN)]]*Table43[[#This Row],[ISI/CTN]]</f>
        <v>0</v>
      </c>
      <c r="AR187" s="122">
        <f>Table43[[#This Row],[Harga Jual Pcs GT
(-PPN)]]*1.11</f>
        <v>0</v>
      </c>
      <c r="AS187" s="122">
        <f>Table43[[#This Row],[Harga Jual Krt GT
(- PPN)]]*1.11</f>
        <v>0</v>
      </c>
      <c r="AT187" s="122"/>
      <c r="AU187" s="122">
        <f>Table43[[#This Row],[Harga Jual Pcs MT
(-PPN)]]*Table43[[#This Row],[ISI/CTN]]</f>
        <v>0</v>
      </c>
      <c r="AV187" s="122">
        <f>Table43[[#This Row],[Harga Jual Pcs MT
(-PPN)]]*1.11</f>
        <v>0</v>
      </c>
      <c r="AW187" s="122">
        <f>Table43[[#This Row],[Harga Jual Pcs MT
(+PPN)]]*Table43[[#This Row],[ISI/CTN]]</f>
        <v>0</v>
      </c>
      <c r="AX187" s="123">
        <f>IFERROR((Table43[[#This Row],[Harga Jual Pcs GT
(-PPN)]]-Table43[[#This Row],[Harga Beli Pcs
(-PPN)]])/Table43[[#This Row],[Harga Jual Pcs GT
(-PPN)]],0)</f>
        <v>0</v>
      </c>
      <c r="AY187" s="124"/>
      <c r="AZ187" s="112"/>
      <c r="BA187" s="112" t="str">
        <f ca="1">IF(TODAY()-Table43[[#This Row],[Efektif
Pembuatan]]&gt;60,"Lama","Baru")</f>
        <v>Lama</v>
      </c>
      <c r="BB187" s="112" t="str">
        <f ca="1">IF(TODAY()-Table43[[#This Row],[Efektif Naik Harga]]&lt;30,"Naik","Sama")</f>
        <v>Sama</v>
      </c>
      <c r="BC187" s="112"/>
      <c r="BD187" s="112" t="str">
        <f>IF(Table43[[#This Row],[Kode BARANG Win2]]&lt;&gt;"","IDR","")</f>
        <v>IDR</v>
      </c>
      <c r="BE187" s="112" t="str">
        <f>CONCATENATE(Table43[[#This Row],[kode  1 Digit
(Nomor)]],Table43[[#This Row],[kode  4 Digit                (Nomor)]])</f>
        <v>0070</v>
      </c>
      <c r="BF187" s="112" t="str">
        <f>Table43[[#This Row],[Nama            Gramasi atau Jumlah Pack per CTN]]</f>
        <v>60+15G</v>
      </c>
      <c r="BG187" s="112"/>
      <c r="BH187" s="112"/>
      <c r="BI187" s="111" t="str">
        <f>IF(Table43[[#This Row],[SATUAN Fix Win]]&lt;&gt;"","KRT")</f>
        <v>KRT</v>
      </c>
      <c r="BJ187" s="111" t="str">
        <f>IF(Table43[[#This Row],[SATUAN Fix Win]]&lt;&gt;"","GD01")</f>
        <v>GD01</v>
      </c>
      <c r="BK187" s="111">
        <f>IF(Table43[[#This Row],[SATUAN Fix Win]]&lt;&gt;"",11611)</f>
        <v>11611</v>
      </c>
      <c r="BL187" s="111">
        <f>IF(Table43[[#This Row],[SATUAN Fix Win]]&lt;&gt;"",11612)</f>
        <v>11612</v>
      </c>
      <c r="BM187" s="125"/>
      <c r="BN187" s="111">
        <f>IF(Table43[[#This Row],[SATUAN Fix Win]]&lt;&gt;"",1)</f>
        <v>1</v>
      </c>
      <c r="BO187" s="111"/>
      <c r="BP187" s="111"/>
      <c r="BQ187" s="111"/>
      <c r="BR187" s="111"/>
    </row>
    <row r="188" spans="1:70">
      <c r="A188" s="4" t="str">
        <f>CONCATENATE(Table43[[#This Row],[Kode BARANG Win2]],Table43[[#This Row],[No. Urut
Item Sama]])</f>
        <v>F40730050070201</v>
      </c>
      <c r="B188" s="7">
        <v>1</v>
      </c>
      <c r="C188" s="4">
        <v>148</v>
      </c>
      <c r="D188" s="27" t="s">
        <v>400</v>
      </c>
      <c r="E188" s="27" t="s">
        <v>629</v>
      </c>
      <c r="F188" s="27" t="s">
        <v>521</v>
      </c>
      <c r="G188" s="27">
        <v>24</v>
      </c>
      <c r="H188" s="54">
        <v>8992946534874</v>
      </c>
      <c r="I188" s="27" t="str">
        <f>Table43[[#This Row],[Nama Jenis Kemasan]]</f>
        <v>PACK</v>
      </c>
      <c r="J188" s="4" t="str">
        <f>TRIM(CONCATENATE(Table43[[#This Row],[Nama            KLP]]," ",Table43[[#This Row],[Nama            Sub KLP]]))</f>
        <v>ZEN SABUN</v>
      </c>
      <c r="K188" s="4" t="str">
        <f>CONCATENATE(Table43[[#This Row],[kode  2 Digit                (hrf+No)]],Table43[[#This Row],[kode  2 Digit                (Nomor)]],Table43[[#This Row],[kode  1 Digit                (Nomor)]])</f>
        <v>F4073</v>
      </c>
      <c r="L188" s="4" t="str">
        <f>IF(AG188="",CONCATENATE(Q188,S188,U188,W188,Y188,AA188,AC188,AE188,Table43[[#This Row],[Tanda Kode Revisi]]),CONCATENATE(Q188,S188,U188,W188,Y188,AA188,AC188,AG188))</f>
        <v>F4073005007020</v>
      </c>
      <c r="M188" s="11">
        <f t="shared" si="16"/>
        <v>14</v>
      </c>
      <c r="N188" s="14" t="str">
        <f>IF(AF188&lt;&gt;"",TRIM(UPPER(CONCATENATE(P188," ",R188," ",T188," ",V188," ",X188," ",Z188," ","X"," ",Table43[[#This Row],[ISI/CTN]]," ",AF188," ",AB188," ",AD188," ",AH188))),TRIM(UPPER(CONCATENATE(P188," ",R188," ",T188," ",V188," ",X188," ",Z188," ","X"," ",Table43[[#This Row],[ISI/CTN]]," ",AB188," ",AD188," ",AH188))))</f>
        <v>ZEN SABUN SHISO &amp; SANDALWOOD 70G X 24 PACK</v>
      </c>
      <c r="O188" s="11">
        <f t="shared" si="17"/>
        <v>42</v>
      </c>
      <c r="Q188" s="7" t="s">
        <v>662</v>
      </c>
      <c r="R188" s="4" t="s">
        <v>629</v>
      </c>
      <c r="S188" s="48" t="s">
        <v>756</v>
      </c>
      <c r="T188" s="49" t="s">
        <v>665</v>
      </c>
      <c r="U188" s="7">
        <v>3</v>
      </c>
      <c r="V188" s="49"/>
      <c r="W188" s="48" t="s">
        <v>370</v>
      </c>
      <c r="X188" s="4" t="s">
        <v>721</v>
      </c>
      <c r="Y188" s="50" t="s">
        <v>754</v>
      </c>
      <c r="Z188" s="4" t="s">
        <v>771</v>
      </c>
      <c r="AA188" s="50" t="s">
        <v>738</v>
      </c>
      <c r="AB188" s="4" t="s">
        <v>736</v>
      </c>
      <c r="AC188" s="7">
        <v>2</v>
      </c>
      <c r="AE188" s="7">
        <v>0</v>
      </c>
      <c r="AI188" s="7" t="s">
        <v>179</v>
      </c>
      <c r="AJ188" s="7">
        <v>1</v>
      </c>
      <c r="AL188" s="38">
        <v>7340.468468468468</v>
      </c>
      <c r="AM188" s="39">
        <f>Table43[[#This Row],[Harga Beli Pcs
(-PPN)]]*Table43[[#This Row],[ISI/CTN]]</f>
        <v>176171.24324324323</v>
      </c>
      <c r="AN188" s="39">
        <f>Table43[[#This Row],[Harga Beli Pcs
(-PPN)]]*1.11</f>
        <v>8147.92</v>
      </c>
      <c r="AO188" s="39">
        <f>Table43[[#This Row],[Harga Beli Krt
(- PPN)]]*1.11</f>
        <v>195550.07999999999</v>
      </c>
      <c r="AP188" s="39">
        <v>7927.9279279279281</v>
      </c>
      <c r="AQ188" s="39">
        <f>Table43[[#This Row],[Harga Jual Pcs GT
(-PPN)]]*Table43[[#This Row],[ISI/CTN]]</f>
        <v>190270.27027027027</v>
      </c>
      <c r="AR188" s="39">
        <f>Table43[[#This Row],[Harga Jual Pcs GT
(-PPN)]]*1.11</f>
        <v>8800.0000000000018</v>
      </c>
      <c r="AS188" s="39">
        <f>Table43[[#This Row],[Harga Jual Krt GT
(- PPN)]]*1.11</f>
        <v>211200</v>
      </c>
      <c r="AT188" s="39"/>
      <c r="AU188" s="39">
        <f>Table43[[#This Row],[Harga Jual Pcs MT
(-PPN)]]*Table43[[#This Row],[ISI/CTN]]</f>
        <v>0</v>
      </c>
      <c r="AV188" s="39">
        <f>Table43[[#This Row],[Harga Jual Pcs MT
(-PPN)]]*1.11</f>
        <v>0</v>
      </c>
      <c r="AW188" s="39">
        <f>Table43[[#This Row],[Harga Jual Pcs MT
(+PPN)]]*Table43[[#This Row],[ISI/CTN]]</f>
        <v>0</v>
      </c>
      <c r="AX188" s="47">
        <f>IFERROR((Table43[[#This Row],[Harga Jual Pcs GT
(-PPN)]]-Table43[[#This Row],[Harga Beli Pcs
(-PPN)]])/Table43[[#This Row],[Harga Jual Pcs GT
(-PPN)]],0)</f>
        <v>7.4100000000000069E-2</v>
      </c>
      <c r="AY188" s="51">
        <v>45848</v>
      </c>
      <c r="AZ188" s="7"/>
      <c r="BA188" s="7" t="str">
        <f ca="1">IF(TODAY()-Table43[[#This Row],[Efektif
Pembuatan]]&gt;60,"Lama","Baru")</f>
        <v>Lama</v>
      </c>
      <c r="BB188" s="7" t="str">
        <f ca="1">IF(TODAY()-Table43[[#This Row],[Efektif Naik Harga]]&lt;30,"Naik","Sama")</f>
        <v>Sama</v>
      </c>
      <c r="BC188" s="7" t="s">
        <v>185</v>
      </c>
      <c r="BD188" s="7" t="str">
        <f>IF(Table43[[#This Row],[Kode BARANG Win2]]&lt;&gt;"","IDR","")</f>
        <v>IDR</v>
      </c>
      <c r="BE188" s="7" t="str">
        <f>CONCATENATE(Table43[[#This Row],[kode  1 Digit
(Nomor)]],Table43[[#This Row],[kode  4 Digit                (Nomor)]])</f>
        <v>10070</v>
      </c>
      <c r="BF188" s="7" t="str">
        <f>Table43[[#This Row],[Nama            Gramasi atau Jumlah Pack per CTN]]</f>
        <v>70G</v>
      </c>
      <c r="BG188" s="7" t="s">
        <v>1060</v>
      </c>
      <c r="BH188" s="7" t="s">
        <v>377</v>
      </c>
      <c r="BI188" s="4" t="str">
        <f>IF(Table43[[#This Row],[SATUAN Fix Win]]&lt;&gt;"","KRT")</f>
        <v>KRT</v>
      </c>
      <c r="BJ188" s="4" t="str">
        <f>IF(Table43[[#This Row],[SATUAN Fix Win]]&lt;&gt;"","GD01")</f>
        <v>GD01</v>
      </c>
      <c r="BK188" s="4">
        <f>IF(Table43[[#This Row],[SATUAN Fix Win]]&lt;&gt;"",11611)</f>
        <v>11611</v>
      </c>
      <c r="BL188" s="4">
        <f>IF(Table43[[#This Row],[SATUAN Fix Win]]&lt;&gt;"",11612)</f>
        <v>11612</v>
      </c>
      <c r="BM188" s="52" t="s">
        <v>378</v>
      </c>
      <c r="BN188" s="4">
        <f>IF(Table43[[#This Row],[SATUAN Fix Win]]&lt;&gt;"",1)</f>
        <v>1</v>
      </c>
      <c r="BO188" s="4" t="s">
        <v>637</v>
      </c>
    </row>
    <row r="189" spans="1:70">
      <c r="A189" s="4" t="str">
        <f>CONCATENATE(Table43[[#This Row],[Kode BARANG Win2]],Table43[[#This Row],[No. Urut
Item Sama]])</f>
        <v>F40730050070202</v>
      </c>
      <c r="B189" s="7">
        <v>2</v>
      </c>
      <c r="C189" s="4">
        <v>149</v>
      </c>
      <c r="D189" s="73" t="s">
        <v>1123</v>
      </c>
      <c r="E189" s="27" t="s">
        <v>629</v>
      </c>
      <c r="F189" s="27" t="s">
        <v>1124</v>
      </c>
      <c r="G189" s="27">
        <v>24</v>
      </c>
      <c r="H189" s="54">
        <v>8992946534874</v>
      </c>
      <c r="I189" s="27" t="str">
        <f>Table43[[#This Row],[Nama Jenis Kemasan]]</f>
        <v>PACK</v>
      </c>
      <c r="J189" s="4" t="str">
        <f>TRIM(CONCATENATE(Table43[[#This Row],[Nama            KLP]]," ",Table43[[#This Row],[Nama            Sub KLP]]))</f>
        <v>ZEN SABUN</v>
      </c>
      <c r="K189" s="4" t="str">
        <f>CONCATENATE(Table43[[#This Row],[kode  2 Digit                (hrf+No)]],Table43[[#This Row],[kode  2 Digit                (Nomor)]],Table43[[#This Row],[kode  1 Digit                (Nomor)]])</f>
        <v>F4073</v>
      </c>
      <c r="L189" s="4" t="str">
        <f>IF(AG189="",CONCATENATE(Q189,S189,U189,W189,Y189,AA189,AC189,AE189,Table43[[#This Row],[Tanda Kode Revisi]]),CONCATENATE(Q189,S189,U189,W189,Y189,AA189,AC189,AG189))</f>
        <v>F4073005007020</v>
      </c>
      <c r="M189" s="11">
        <f>LEN(L189)</f>
        <v>14</v>
      </c>
      <c r="N189" s="14" t="str">
        <f>IF(AF189&lt;&gt;"",TRIM(UPPER(CONCATENATE(P189," ",R189," ",T189," ",V189," ",X189," ",Z189," ","X"," ",Table43[[#This Row],[ISI/CTN]]," ",AF189," ",AB189," ",AD189," ",AH189))),TRIM(UPPER(CONCATENATE(P189," ",R189," ",T189," ",V189," ",X189," ",Z189," ","X"," ",Table43[[#This Row],[ISI/CTN]]," ",AB189," ",AD189," ",AH189))))</f>
        <v>ZEN SABUN SHISO &amp; SANDALWOOD 70G X 24 PACK</v>
      </c>
      <c r="O189" s="11">
        <f>LEN(N189)</f>
        <v>42</v>
      </c>
      <c r="Q189" s="7" t="s">
        <v>662</v>
      </c>
      <c r="R189" s="4" t="s">
        <v>629</v>
      </c>
      <c r="S189" s="48" t="s">
        <v>756</v>
      </c>
      <c r="T189" s="49" t="s">
        <v>665</v>
      </c>
      <c r="U189" s="7">
        <v>3</v>
      </c>
      <c r="V189" s="49"/>
      <c r="W189" s="48" t="s">
        <v>370</v>
      </c>
      <c r="X189" s="4" t="s">
        <v>721</v>
      </c>
      <c r="Y189" s="50" t="s">
        <v>754</v>
      </c>
      <c r="Z189" s="4" t="s">
        <v>771</v>
      </c>
      <c r="AA189" s="50" t="s">
        <v>738</v>
      </c>
      <c r="AB189" s="4" t="s">
        <v>736</v>
      </c>
      <c r="AC189" s="7">
        <v>2</v>
      </c>
      <c r="AE189" s="7">
        <v>0</v>
      </c>
      <c r="AL189" s="38">
        <v>58723.747747747744</v>
      </c>
      <c r="AM189" s="39">
        <f>Table43[[#This Row],[Harga Beli Pcs
(-PPN)]]*Table43[[#This Row],[ISI/CTN]]</f>
        <v>1409369.9459459458</v>
      </c>
      <c r="AN189" s="39">
        <f>Table43[[#This Row],[Harga Beli Pcs
(-PPN)]]*1.11</f>
        <v>65183.360000000001</v>
      </c>
      <c r="AO189" s="39">
        <f>Table43[[#This Row],[Harga Beli Krt
(- PPN)]]*1.11</f>
        <v>1564400.6399999999</v>
      </c>
      <c r="AP189" s="39">
        <v>63423.423423423425</v>
      </c>
      <c r="AQ189" s="39">
        <f>Table43[[#This Row],[Harga Jual Pcs GT
(-PPN)]]*Table43[[#This Row],[ISI/CTN]]</f>
        <v>1522162.1621621621</v>
      </c>
      <c r="AR189" s="39">
        <f>Table43[[#This Row],[Harga Jual Pcs GT
(-PPN)]]*1.11</f>
        <v>70400.000000000015</v>
      </c>
      <c r="AS189" s="39">
        <f>Table43[[#This Row],[Harga Jual Krt GT
(- PPN)]]*1.11</f>
        <v>1689600</v>
      </c>
      <c r="AT189" s="39"/>
      <c r="AU189" s="39">
        <f>Table43[[#This Row],[Harga Jual Pcs MT
(-PPN)]]*Table43[[#This Row],[ISI/CTN]]</f>
        <v>0</v>
      </c>
      <c r="AV189" s="39">
        <f>Table43[[#This Row],[Harga Jual Pcs MT
(-PPN)]]*1.11</f>
        <v>0</v>
      </c>
      <c r="AW189" s="39">
        <f>Table43[[#This Row],[Harga Jual Pcs MT
(+PPN)]]*Table43[[#This Row],[ISI/CTN]]</f>
        <v>0</v>
      </c>
      <c r="AX189" s="47">
        <f>IFERROR((Table43[[#This Row],[Harga Jual Pcs GT
(-PPN)]]-Table43[[#This Row],[Harga Beli Pcs
(-PPN)]])/Table43[[#This Row],[Harga Jual Pcs GT
(-PPN)]],0)</f>
        <v>7.4100000000000069E-2</v>
      </c>
      <c r="AY189" s="51"/>
      <c r="AZ189" s="7"/>
      <c r="BA189" s="7" t="str">
        <f ca="1">IF(TODAY()-Table43[[#This Row],[Efektif
Pembuatan]]&gt;60,"Lama","Baru")</f>
        <v>Lama</v>
      </c>
      <c r="BB189" s="7" t="str">
        <f ca="1">IF(TODAY()-Table43[[#This Row],[Efektif Naik Harga]]&lt;30,"Naik","Sama")</f>
        <v>Sama</v>
      </c>
      <c r="BC189" s="7"/>
      <c r="BD189" s="7" t="str">
        <f>IF(Table43[[#This Row],[Kode BARANG Win2]]&lt;&gt;"","IDR","")</f>
        <v>IDR</v>
      </c>
      <c r="BE189" s="7" t="str">
        <f>CONCATENATE(Table43[[#This Row],[kode  1 Digit
(Nomor)]],Table43[[#This Row],[kode  4 Digit                (Nomor)]])</f>
        <v>0070</v>
      </c>
      <c r="BF189" s="7" t="str">
        <f>Table43[[#This Row],[Nama            Gramasi atau Jumlah Pack per CTN]]</f>
        <v>70G</v>
      </c>
      <c r="BG189" s="7"/>
      <c r="BH189" s="7"/>
      <c r="BI189" s="4" t="str">
        <f>IF(Table43[[#This Row],[SATUAN Fix Win]]&lt;&gt;"","KRT")</f>
        <v>KRT</v>
      </c>
      <c r="BJ189" s="4" t="str">
        <f>IF(Table43[[#This Row],[SATUAN Fix Win]]&lt;&gt;"","GD01")</f>
        <v>GD01</v>
      </c>
      <c r="BK189" s="4">
        <f>IF(Table43[[#This Row],[SATUAN Fix Win]]&lt;&gt;"",11611)</f>
        <v>11611</v>
      </c>
      <c r="BL189" s="4">
        <f>IF(Table43[[#This Row],[SATUAN Fix Win]]&lt;&gt;"",11612)</f>
        <v>11612</v>
      </c>
      <c r="BM189" s="52"/>
      <c r="BN189" s="4">
        <f>IF(Table43[[#This Row],[SATUAN Fix Win]]&lt;&gt;"",1)</f>
        <v>1</v>
      </c>
    </row>
    <row r="190" spans="1:70" s="126" customFormat="1">
      <c r="A190" s="111" t="str">
        <f>CONCATENATE(Table43[[#This Row],[Kode BARANG Win2]],Table43[[#This Row],[No. Urut
Item Sama]])</f>
        <v>F40730050070203</v>
      </c>
      <c r="B190" s="112">
        <v>3</v>
      </c>
      <c r="C190" s="111">
        <v>170</v>
      </c>
      <c r="D190" s="128" t="s">
        <v>1340</v>
      </c>
      <c r="E190" s="113" t="s">
        <v>629</v>
      </c>
      <c r="F190" s="113" t="s">
        <v>1339</v>
      </c>
      <c r="G190" s="113">
        <v>24</v>
      </c>
      <c r="H190" s="127"/>
      <c r="I190" s="113" t="str">
        <f>Table43[[#This Row],[Nama Jenis Kemasan]]</f>
        <v>PACK</v>
      </c>
      <c r="J190" s="111" t="str">
        <f>TRIM(CONCATENATE(Table43[[#This Row],[Nama            KLP]]," ",Table43[[#This Row],[Nama            Sub KLP]]))</f>
        <v>ZEN SABUN</v>
      </c>
      <c r="K190" s="111" t="str">
        <f>CONCATENATE(Table43[[#This Row],[kode  2 Digit                (hrf+No)]],Table43[[#This Row],[kode  2 Digit                (Nomor)]],Table43[[#This Row],[kode  1 Digit                (Nomor)]])</f>
        <v>F4073</v>
      </c>
      <c r="L190" s="111" t="str">
        <f>IF(AG190="",CONCATENATE(Q190,S190,U190,W190,Y190,AA190,AC190,AE190,Table43[[#This Row],[Tanda Kode Revisi]]),CONCATENATE(Q190,S190,U190,W190,Y190,AA190,AC190,AG190))</f>
        <v>F4073005007020</v>
      </c>
      <c r="M190" s="116">
        <f>LEN(L190)</f>
        <v>14</v>
      </c>
      <c r="N190" s="117" t="str">
        <f>IF(AF190&lt;&gt;"",TRIM(UPPER(CONCATENATE(P190," ",R190," ",T190," ",V190," ",X190," ",Z190," ","X"," ",Table43[[#This Row],[ISI/CTN]]," ",AF190," ",AB190," ",AD190," ",AH190))),TRIM(UPPER(CONCATENATE(P190," ",R190," ",T190," ",V190," ",X190," ",Z190," ","X"," ",Table43[[#This Row],[ISI/CTN]]," ",AB190," ",AD190," ",AH190))))</f>
        <v>ZEN SABUN SHISO &amp; SANDALWOOD 60+15G X 24 PACK</v>
      </c>
      <c r="O190" s="116">
        <f>LEN(N190)</f>
        <v>45</v>
      </c>
      <c r="P190" s="111"/>
      <c r="Q190" s="112" t="s">
        <v>662</v>
      </c>
      <c r="R190" s="111" t="s">
        <v>629</v>
      </c>
      <c r="S190" s="118" t="s">
        <v>756</v>
      </c>
      <c r="T190" s="119" t="s">
        <v>665</v>
      </c>
      <c r="U190" s="112">
        <v>3</v>
      </c>
      <c r="V190" s="119"/>
      <c r="W190" s="118" t="s">
        <v>370</v>
      </c>
      <c r="X190" s="111" t="s">
        <v>721</v>
      </c>
      <c r="Y190" s="120" t="s">
        <v>754</v>
      </c>
      <c r="Z190" s="111" t="s">
        <v>1343</v>
      </c>
      <c r="AA190" s="120" t="s">
        <v>738</v>
      </c>
      <c r="AB190" s="111" t="s">
        <v>736</v>
      </c>
      <c r="AC190" s="112">
        <v>2</v>
      </c>
      <c r="AD190" s="125"/>
      <c r="AE190" s="112">
        <v>0</v>
      </c>
      <c r="AF190" s="112"/>
      <c r="AG190" s="112"/>
      <c r="AH190" s="112"/>
      <c r="AI190" s="112"/>
      <c r="AJ190" s="112"/>
      <c r="AK190" s="112"/>
      <c r="AL190" s="121"/>
      <c r="AM190" s="122">
        <f>Table43[[#This Row],[Harga Beli Pcs
(-PPN)]]*Table43[[#This Row],[ISI/CTN]]</f>
        <v>0</v>
      </c>
      <c r="AN190" s="122">
        <f>Table43[[#This Row],[Harga Beli Pcs
(-PPN)]]*1.11</f>
        <v>0</v>
      </c>
      <c r="AO190" s="122">
        <f>Table43[[#This Row],[Harga Beli Krt
(- PPN)]]*1.11</f>
        <v>0</v>
      </c>
      <c r="AP190" s="122"/>
      <c r="AQ190" s="122">
        <f>Table43[[#This Row],[Harga Jual Pcs GT
(-PPN)]]*Table43[[#This Row],[ISI/CTN]]</f>
        <v>0</v>
      </c>
      <c r="AR190" s="122">
        <f>Table43[[#This Row],[Harga Jual Pcs GT
(-PPN)]]*1.11</f>
        <v>0</v>
      </c>
      <c r="AS190" s="122">
        <f>Table43[[#This Row],[Harga Jual Krt GT
(- PPN)]]*1.11</f>
        <v>0</v>
      </c>
      <c r="AT190" s="122"/>
      <c r="AU190" s="122">
        <f>Table43[[#This Row],[Harga Jual Pcs MT
(-PPN)]]*Table43[[#This Row],[ISI/CTN]]</f>
        <v>0</v>
      </c>
      <c r="AV190" s="122">
        <f>Table43[[#This Row],[Harga Jual Pcs MT
(-PPN)]]*1.11</f>
        <v>0</v>
      </c>
      <c r="AW190" s="122">
        <f>Table43[[#This Row],[Harga Jual Pcs MT
(+PPN)]]*Table43[[#This Row],[ISI/CTN]]</f>
        <v>0</v>
      </c>
      <c r="AX190" s="123">
        <f>IFERROR((Table43[[#This Row],[Harga Jual Pcs GT
(-PPN)]]-Table43[[#This Row],[Harga Beli Pcs
(-PPN)]])/Table43[[#This Row],[Harga Jual Pcs GT
(-PPN)]],0)</f>
        <v>0</v>
      </c>
      <c r="AY190" s="124"/>
      <c r="AZ190" s="112"/>
      <c r="BA190" s="112" t="str">
        <f ca="1">IF(TODAY()-Table43[[#This Row],[Efektif
Pembuatan]]&gt;60,"Lama","Baru")</f>
        <v>Lama</v>
      </c>
      <c r="BB190" s="112" t="str">
        <f ca="1">IF(TODAY()-Table43[[#This Row],[Efektif Naik Harga]]&lt;30,"Naik","Sama")</f>
        <v>Sama</v>
      </c>
      <c r="BC190" s="112"/>
      <c r="BD190" s="112" t="str">
        <f>IF(Table43[[#This Row],[Kode BARANG Win2]]&lt;&gt;"","IDR","")</f>
        <v>IDR</v>
      </c>
      <c r="BE190" s="112" t="str">
        <f>CONCATENATE(Table43[[#This Row],[kode  1 Digit
(Nomor)]],Table43[[#This Row],[kode  4 Digit                (Nomor)]])</f>
        <v>0070</v>
      </c>
      <c r="BF190" s="112" t="str">
        <f>Table43[[#This Row],[Nama            Gramasi atau Jumlah Pack per CTN]]</f>
        <v>60+15G</v>
      </c>
      <c r="BG190" s="112"/>
      <c r="BH190" s="112"/>
      <c r="BI190" s="111" t="str">
        <f>IF(Table43[[#This Row],[SATUAN Fix Win]]&lt;&gt;"","KRT")</f>
        <v>KRT</v>
      </c>
      <c r="BJ190" s="111" t="str">
        <f>IF(Table43[[#This Row],[SATUAN Fix Win]]&lt;&gt;"","GD01")</f>
        <v>GD01</v>
      </c>
      <c r="BK190" s="111">
        <f>IF(Table43[[#This Row],[SATUAN Fix Win]]&lt;&gt;"",11611)</f>
        <v>11611</v>
      </c>
      <c r="BL190" s="111">
        <f>IF(Table43[[#This Row],[SATUAN Fix Win]]&lt;&gt;"",11612)</f>
        <v>11612</v>
      </c>
      <c r="BM190" s="125"/>
      <c r="BN190" s="111">
        <f>IF(Table43[[#This Row],[SATUAN Fix Win]]&lt;&gt;"",1)</f>
        <v>1</v>
      </c>
      <c r="BO190" s="111"/>
      <c r="BP190" s="111"/>
      <c r="BQ190" s="111"/>
      <c r="BR190" s="111"/>
    </row>
    <row r="191" spans="1:70" s="89" customFormat="1">
      <c r="A191" s="75" t="str">
        <f>CONCATENATE(Table43[[#This Row],[Kode BARANG Win2]],Table43[[#This Row],[No. Urut
Item Sama]])</f>
        <v>F40730050080101</v>
      </c>
      <c r="B191" s="76">
        <v>1</v>
      </c>
      <c r="C191" s="4">
        <v>150</v>
      </c>
      <c r="D191" s="90" t="s">
        <v>1122</v>
      </c>
      <c r="E191" s="77" t="s">
        <v>629</v>
      </c>
      <c r="F191" s="77" t="s">
        <v>1095</v>
      </c>
      <c r="G191" s="77">
        <v>72</v>
      </c>
      <c r="H191" s="78">
        <v>8992946532228</v>
      </c>
      <c r="I191" s="77" t="str">
        <f>Table43[[#This Row],[Nama Jenis Kemasan]]</f>
        <v>PCS</v>
      </c>
      <c r="J191" s="75" t="str">
        <f>TRIM(CONCATENATE(Table43[[#This Row],[Nama            KLP]]," ",Table43[[#This Row],[Nama            Sub KLP]]))</f>
        <v>ZEN SABUN</v>
      </c>
      <c r="K191" s="75" t="str">
        <f>CONCATENATE(Table43[[#This Row],[kode  2 Digit                (hrf+No)]],Table43[[#This Row],[kode  2 Digit                (Nomor)]],Table43[[#This Row],[kode  1 Digit                (Nomor)]])</f>
        <v>F4073</v>
      </c>
      <c r="L191" s="75" t="str">
        <f>IF(AG191="",CONCATENATE(Q191,S191,U191,W191,Y191,AA191,AC191,AE191,Table43[[#This Row],[Tanda Kode Revisi]]),CONCATENATE(Q191,S191,U191,W191,Y191,AA191,AC191,AG191))</f>
        <v>F4073005008010</v>
      </c>
      <c r="M191" s="79">
        <f>LEN(L191)</f>
        <v>14</v>
      </c>
      <c r="N191" s="80" t="str">
        <f>IF(AF191&lt;&gt;"",TRIM(UPPER(CONCATENATE(P191," ",R191," ",T191," ",V191," ",X191," ",Z191," ","X"," ",Table43[[#This Row],[ISI/CTN]]," ",AF191," ",AB191," ",AD191," ",AH191))),TRIM(UPPER(CONCATENATE(P191," ",R191," ",T191," ",V191," ",X191," ",Z191," ","X"," ",Table43[[#This Row],[ISI/CTN]]," ",AB191," ",AD191," ",AH191))))</f>
        <v>ZEN SABUN SHISO &amp; SANDALWOOD 80G X 72 PCS</v>
      </c>
      <c r="O191" s="79">
        <f>LEN(N191)</f>
        <v>41</v>
      </c>
      <c r="P191" s="75"/>
      <c r="Q191" s="76" t="s">
        <v>662</v>
      </c>
      <c r="R191" s="75" t="s">
        <v>629</v>
      </c>
      <c r="S191" s="81" t="s">
        <v>756</v>
      </c>
      <c r="T191" s="82" t="s">
        <v>665</v>
      </c>
      <c r="U191" s="76">
        <v>3</v>
      </c>
      <c r="V191" s="82"/>
      <c r="W191" s="81" t="s">
        <v>370</v>
      </c>
      <c r="X191" s="75" t="s">
        <v>721</v>
      </c>
      <c r="Y191" s="83" t="s">
        <v>754</v>
      </c>
      <c r="Z191" s="75" t="s">
        <v>770</v>
      </c>
      <c r="AA191" s="83" t="s">
        <v>765</v>
      </c>
      <c r="AB191" s="75" t="s">
        <v>187</v>
      </c>
      <c r="AC191" s="76">
        <v>1</v>
      </c>
      <c r="AD191" s="75"/>
      <c r="AE191" s="76">
        <v>0</v>
      </c>
      <c r="AF191" s="76"/>
      <c r="AG191" s="76"/>
      <c r="AH191" s="76"/>
      <c r="AI191" s="76" t="s">
        <v>179</v>
      </c>
      <c r="AJ191" s="76">
        <v>1</v>
      </c>
      <c r="AK191" s="76"/>
      <c r="AL191" s="84"/>
      <c r="AM191" s="85">
        <f>Table43[[#This Row],[Harga Beli Pcs
(-PPN)]]*Table43[[#This Row],[ISI/CTN]]</f>
        <v>0</v>
      </c>
      <c r="AN191" s="85">
        <f>Table43[[#This Row],[Harga Beli Pcs
(-PPN)]]*1.11</f>
        <v>0</v>
      </c>
      <c r="AO191" s="85">
        <f>Table43[[#This Row],[Harga Beli Krt
(- PPN)]]*1.11</f>
        <v>0</v>
      </c>
      <c r="AP191" s="85"/>
      <c r="AQ191" s="85">
        <f>Table43[[#This Row],[Harga Jual Pcs GT
(-PPN)]]*Table43[[#This Row],[ISI/CTN]]</f>
        <v>0</v>
      </c>
      <c r="AR191" s="85">
        <f>Table43[[#This Row],[Harga Jual Pcs GT
(-PPN)]]*1.11</f>
        <v>0</v>
      </c>
      <c r="AS191" s="85">
        <f>Table43[[#This Row],[Harga Jual Krt GT
(- PPN)]]*1.11</f>
        <v>0</v>
      </c>
      <c r="AT191" s="85"/>
      <c r="AU191" s="85">
        <f>Table43[[#This Row],[Harga Jual Pcs MT
(-PPN)]]*Table43[[#This Row],[ISI/CTN]]</f>
        <v>0</v>
      </c>
      <c r="AV191" s="85">
        <f>Table43[[#This Row],[Harga Jual Pcs MT
(-PPN)]]*1.11</f>
        <v>0</v>
      </c>
      <c r="AW191" s="85">
        <f>Table43[[#This Row],[Harga Jual Pcs MT
(+PPN)]]*Table43[[#This Row],[ISI/CTN]]</f>
        <v>0</v>
      </c>
      <c r="AX191" s="86">
        <f>IFERROR((Table43[[#This Row],[Harga Jual Pcs GT
(-PPN)]]-Table43[[#This Row],[Harga Beli Pcs
(-PPN)]])/Table43[[#This Row],[Harga Jual Pcs GT
(-PPN)]],0)</f>
        <v>0</v>
      </c>
      <c r="AY191" s="87"/>
      <c r="AZ191" s="76"/>
      <c r="BA191" s="76" t="str">
        <f ca="1">IF(TODAY()-Table43[[#This Row],[Efektif
Pembuatan]]&gt;60,"Lama","Baru")</f>
        <v>Lama</v>
      </c>
      <c r="BB191" s="76" t="str">
        <f ca="1">IF(TODAY()-Table43[[#This Row],[Efektif Naik Harga]]&lt;30,"Naik","Sama")</f>
        <v>Sama</v>
      </c>
      <c r="BC191" s="76"/>
      <c r="BD191" s="76" t="str">
        <f>IF(Table43[[#This Row],[Kode BARANG Win2]]&lt;&gt;"","IDR","")</f>
        <v>IDR</v>
      </c>
      <c r="BE191" s="76" t="str">
        <f>CONCATENATE(Table43[[#This Row],[kode  1 Digit
(Nomor)]],Table43[[#This Row],[kode  4 Digit                (Nomor)]])</f>
        <v>10080</v>
      </c>
      <c r="BF191" s="76" t="str">
        <f>Table43[[#This Row],[Nama            Gramasi atau Jumlah Pack per CTN]]</f>
        <v>80G</v>
      </c>
      <c r="BG191" s="76"/>
      <c r="BH191" s="76"/>
      <c r="BI191" s="75" t="str">
        <f>IF(Table43[[#This Row],[SATUAN Fix Win]]&lt;&gt;"","KRT")</f>
        <v>KRT</v>
      </c>
      <c r="BJ191" s="75" t="str">
        <f>IF(Table43[[#This Row],[SATUAN Fix Win]]&lt;&gt;"","GD01")</f>
        <v>GD01</v>
      </c>
      <c r="BK191" s="75">
        <f>IF(Table43[[#This Row],[SATUAN Fix Win]]&lt;&gt;"",11611)</f>
        <v>11611</v>
      </c>
      <c r="BL191" s="75">
        <f>IF(Table43[[#This Row],[SATUAN Fix Win]]&lt;&gt;"",11612)</f>
        <v>11612</v>
      </c>
      <c r="BM191" s="88"/>
      <c r="BN191" s="75">
        <f>IF(Table43[[#This Row],[SATUAN Fix Win]]&lt;&gt;"",1)</f>
        <v>1</v>
      </c>
      <c r="BO191" s="75"/>
      <c r="BP191" s="75"/>
      <c r="BQ191" s="75"/>
      <c r="BR191" s="75"/>
    </row>
    <row r="192" spans="1:70">
      <c r="A192" s="4" t="str">
        <f>CONCATENATE(Table43[[#This Row],[Kode BARANG Win2]],Table43[[#This Row],[No. Urut
Item Sama]])</f>
        <v>F40730060070201</v>
      </c>
      <c r="B192" s="7">
        <v>1</v>
      </c>
      <c r="C192" s="4">
        <v>151</v>
      </c>
      <c r="D192" s="27" t="s">
        <v>401</v>
      </c>
      <c r="E192" s="27" t="s">
        <v>629</v>
      </c>
      <c r="F192" s="27" t="s">
        <v>522</v>
      </c>
      <c r="G192" s="27">
        <v>24</v>
      </c>
      <c r="H192" s="54">
        <v>8992946534891</v>
      </c>
      <c r="I192" s="27" t="str">
        <f>Table43[[#This Row],[Nama Jenis Kemasan]]</f>
        <v>PACK</v>
      </c>
      <c r="J192" s="4" t="str">
        <f>TRIM(CONCATENATE(Table43[[#This Row],[Nama            KLP]]," ",Table43[[#This Row],[Nama            Sub KLP]]))</f>
        <v>ZEN SABUN</v>
      </c>
      <c r="K192" s="4" t="str">
        <f>CONCATENATE(Table43[[#This Row],[kode  2 Digit                (hrf+No)]],Table43[[#This Row],[kode  2 Digit                (Nomor)]],Table43[[#This Row],[kode  1 Digit                (Nomor)]])</f>
        <v>F4073</v>
      </c>
      <c r="L192" s="4" t="str">
        <f>IF(AG192="",CONCATENATE(Q192,S192,U192,W192,Y192,AA192,AC192,AE192,Table43[[#This Row],[Tanda Kode Revisi]]),CONCATENATE(Q192,S192,U192,W192,Y192,AA192,AC192,AG192))</f>
        <v>F4073006007020</v>
      </c>
      <c r="M192" s="11">
        <f t="shared" si="16"/>
        <v>14</v>
      </c>
      <c r="N192" s="14" t="str">
        <f>IF(AF192&lt;&gt;"",TRIM(UPPER(CONCATENATE(P192," ",R192," ",T192," ",V192," ",X192," ",Z192," ","X"," ",Table43[[#This Row],[ISI/CTN]]," ",AF192," ",AB192," ",AD192," ",AH192))),TRIM(UPPER(CONCATENATE(P192," ",R192," ",T192," ",V192," ",X192," ",Z192," ","X"," ",Table43[[#This Row],[ISI/CTN]]," ",AB192," ",AD192," ",AH192))))</f>
        <v>ZEN SABUN SHISO &amp; SEA SALT 70G X 24 PACK</v>
      </c>
      <c r="O192" s="11">
        <f t="shared" si="17"/>
        <v>40</v>
      </c>
      <c r="Q192" s="7" t="s">
        <v>662</v>
      </c>
      <c r="R192" s="4" t="s">
        <v>629</v>
      </c>
      <c r="S192" s="48" t="s">
        <v>756</v>
      </c>
      <c r="T192" s="49" t="s">
        <v>665</v>
      </c>
      <c r="U192" s="7">
        <v>3</v>
      </c>
      <c r="V192" s="49"/>
      <c r="W192" s="48" t="s">
        <v>370</v>
      </c>
      <c r="X192" s="4" t="s">
        <v>722</v>
      </c>
      <c r="Y192" s="50" t="s">
        <v>755</v>
      </c>
      <c r="Z192" s="4" t="s">
        <v>771</v>
      </c>
      <c r="AA192" s="50" t="s">
        <v>738</v>
      </c>
      <c r="AB192" s="4" t="s">
        <v>736</v>
      </c>
      <c r="AC192" s="7">
        <v>2</v>
      </c>
      <c r="AE192" s="7">
        <v>0</v>
      </c>
      <c r="AI192" s="7" t="s">
        <v>179</v>
      </c>
      <c r="AJ192" s="7">
        <v>1</v>
      </c>
      <c r="AL192" s="38">
        <v>7340.468468468468</v>
      </c>
      <c r="AM192" s="39">
        <f>Table43[[#This Row],[Harga Beli Pcs
(-PPN)]]*Table43[[#This Row],[ISI/CTN]]</f>
        <v>176171.24324324323</v>
      </c>
      <c r="AN192" s="39">
        <f>Table43[[#This Row],[Harga Beli Pcs
(-PPN)]]*1.11</f>
        <v>8147.92</v>
      </c>
      <c r="AO192" s="39">
        <f>Table43[[#This Row],[Harga Beli Krt
(- PPN)]]*1.11</f>
        <v>195550.07999999999</v>
      </c>
      <c r="AP192" s="39">
        <v>7927.9279279279281</v>
      </c>
      <c r="AQ192" s="39">
        <f>Table43[[#This Row],[Harga Jual Pcs GT
(-PPN)]]*Table43[[#This Row],[ISI/CTN]]</f>
        <v>190270.27027027027</v>
      </c>
      <c r="AR192" s="39">
        <f>Table43[[#This Row],[Harga Jual Pcs GT
(-PPN)]]*1.11</f>
        <v>8800.0000000000018</v>
      </c>
      <c r="AS192" s="39">
        <f>Table43[[#This Row],[Harga Jual Krt GT
(- PPN)]]*1.11</f>
        <v>211200</v>
      </c>
      <c r="AT192" s="39"/>
      <c r="AU192" s="39">
        <f>Table43[[#This Row],[Harga Jual Pcs MT
(-PPN)]]*Table43[[#This Row],[ISI/CTN]]</f>
        <v>0</v>
      </c>
      <c r="AV192" s="39">
        <f>Table43[[#This Row],[Harga Jual Pcs MT
(-PPN)]]*1.11</f>
        <v>0</v>
      </c>
      <c r="AW192" s="39">
        <f>Table43[[#This Row],[Harga Jual Pcs MT
(+PPN)]]*Table43[[#This Row],[ISI/CTN]]</f>
        <v>0</v>
      </c>
      <c r="AX192" s="47">
        <f>IFERROR((Table43[[#This Row],[Harga Jual Pcs GT
(-PPN)]]-Table43[[#This Row],[Harga Beli Pcs
(-PPN)]])/Table43[[#This Row],[Harga Jual Pcs GT
(-PPN)]],0)</f>
        <v>7.4100000000000069E-2</v>
      </c>
      <c r="AY192" s="51">
        <v>45848</v>
      </c>
      <c r="AZ192" s="7"/>
      <c r="BA192" s="7" t="str">
        <f ca="1">IF(TODAY()-Table43[[#This Row],[Efektif
Pembuatan]]&gt;60,"Lama","Baru")</f>
        <v>Lama</v>
      </c>
      <c r="BB192" s="7" t="str">
        <f ca="1">IF(TODAY()-Table43[[#This Row],[Efektif Naik Harga]]&lt;30,"Naik","Sama")</f>
        <v>Sama</v>
      </c>
      <c r="BC192" s="7" t="s">
        <v>185</v>
      </c>
      <c r="BD192" s="7" t="str">
        <f>IF(Table43[[#This Row],[Kode BARANG Win2]]&lt;&gt;"","IDR","")</f>
        <v>IDR</v>
      </c>
      <c r="BE192" s="7" t="str">
        <f>CONCATENATE(Table43[[#This Row],[kode  1 Digit
(Nomor)]],Table43[[#This Row],[kode  4 Digit                (Nomor)]])</f>
        <v>10070</v>
      </c>
      <c r="BF192" s="7" t="str">
        <f>Table43[[#This Row],[Nama            Gramasi atau Jumlah Pack per CTN]]</f>
        <v>70G</v>
      </c>
      <c r="BG192" s="7" t="s">
        <v>1060</v>
      </c>
      <c r="BH192" s="7" t="s">
        <v>377</v>
      </c>
      <c r="BI192" s="4" t="str">
        <f>IF(Table43[[#This Row],[SATUAN Fix Win]]&lt;&gt;"","KRT")</f>
        <v>KRT</v>
      </c>
      <c r="BJ192" s="4" t="str">
        <f>IF(Table43[[#This Row],[SATUAN Fix Win]]&lt;&gt;"","GD01")</f>
        <v>GD01</v>
      </c>
      <c r="BK192" s="4">
        <f>IF(Table43[[#This Row],[SATUAN Fix Win]]&lt;&gt;"",11611)</f>
        <v>11611</v>
      </c>
      <c r="BL192" s="4">
        <f>IF(Table43[[#This Row],[SATUAN Fix Win]]&lt;&gt;"",11612)</f>
        <v>11612</v>
      </c>
      <c r="BM192" s="52" t="s">
        <v>378</v>
      </c>
      <c r="BN192" s="4">
        <f>IF(Table43[[#This Row],[SATUAN Fix Win]]&lt;&gt;"",1)</f>
        <v>1</v>
      </c>
      <c r="BO192" s="4" t="s">
        <v>637</v>
      </c>
    </row>
    <row r="193" spans="1:70">
      <c r="A193" s="4" t="str">
        <f>CONCATENATE(Table43[[#This Row],[Kode BARANG Win2]],Table43[[#This Row],[No. Urut
Item Sama]])</f>
        <v>F40730060070202</v>
      </c>
      <c r="B193" s="7">
        <v>2</v>
      </c>
      <c r="C193" s="4">
        <v>152</v>
      </c>
      <c r="D193" s="73" t="s">
        <v>1126</v>
      </c>
      <c r="E193" s="27" t="s">
        <v>629</v>
      </c>
      <c r="F193" s="27" t="s">
        <v>1127</v>
      </c>
      <c r="G193" s="27">
        <v>24</v>
      </c>
      <c r="H193" s="54">
        <v>8992946534891</v>
      </c>
      <c r="I193" s="27" t="str">
        <f>Table43[[#This Row],[Nama Jenis Kemasan]]</f>
        <v>PACK</v>
      </c>
      <c r="J193" s="4" t="str">
        <f>TRIM(CONCATENATE(Table43[[#This Row],[Nama            KLP]]," ",Table43[[#This Row],[Nama            Sub KLP]]))</f>
        <v>ZEN SABUN</v>
      </c>
      <c r="K193" s="4" t="str">
        <f>CONCATENATE(Table43[[#This Row],[kode  2 Digit                (hrf+No)]],Table43[[#This Row],[kode  2 Digit                (Nomor)]],Table43[[#This Row],[kode  1 Digit                (Nomor)]])</f>
        <v>F4073</v>
      </c>
      <c r="L193" s="4" t="str">
        <f>IF(AG193="",CONCATENATE(Q193,S193,U193,W193,Y193,AA193,AC193,AE193,Table43[[#This Row],[Tanda Kode Revisi]]),CONCATENATE(Q193,S193,U193,W193,Y193,AA193,AC193,AG193))</f>
        <v>F4073006007020</v>
      </c>
      <c r="M193" s="11">
        <f>LEN(L193)</f>
        <v>14</v>
      </c>
      <c r="N193" s="14" t="str">
        <f>IF(AF193&lt;&gt;"",TRIM(UPPER(CONCATENATE(P193," ",R193," ",T193," ",V193," ",X193," ",Z193," ","X"," ",Table43[[#This Row],[ISI/CTN]]," ",AF193," ",AB193," ",AD193," ",AH193))),TRIM(UPPER(CONCATENATE(P193," ",R193," ",T193," ",V193," ",X193," ",Z193," ","X"," ",Table43[[#This Row],[ISI/CTN]]," ",AB193," ",AD193," ",AH193))))</f>
        <v>ZEN SABUN SHISO &amp; SEA SALT 70G X 24 PACK</v>
      </c>
      <c r="O193" s="11">
        <f>LEN(N193)</f>
        <v>40</v>
      </c>
      <c r="Q193" s="7" t="s">
        <v>662</v>
      </c>
      <c r="R193" s="4" t="s">
        <v>629</v>
      </c>
      <c r="S193" s="48" t="s">
        <v>756</v>
      </c>
      <c r="T193" s="49" t="s">
        <v>665</v>
      </c>
      <c r="U193" s="7">
        <v>3</v>
      </c>
      <c r="V193" s="49"/>
      <c r="W193" s="48" t="s">
        <v>370</v>
      </c>
      <c r="X193" s="4" t="s">
        <v>722</v>
      </c>
      <c r="Y193" s="50" t="s">
        <v>755</v>
      </c>
      <c r="Z193" s="4" t="s">
        <v>771</v>
      </c>
      <c r="AA193" s="50" t="s">
        <v>738</v>
      </c>
      <c r="AB193" s="4" t="s">
        <v>736</v>
      </c>
      <c r="AC193" s="7">
        <v>2</v>
      </c>
      <c r="AE193" s="7">
        <v>0</v>
      </c>
      <c r="AL193" s="38">
        <v>58723.747747747744</v>
      </c>
      <c r="AM193" s="39">
        <f>Table43[[#This Row],[Harga Beli Pcs
(-PPN)]]*Table43[[#This Row],[ISI/CTN]]</f>
        <v>1409369.9459459458</v>
      </c>
      <c r="AN193" s="39">
        <f>Table43[[#This Row],[Harga Beli Pcs
(-PPN)]]*1.11</f>
        <v>65183.360000000001</v>
      </c>
      <c r="AO193" s="39">
        <f>Table43[[#This Row],[Harga Beli Krt
(- PPN)]]*1.11</f>
        <v>1564400.6399999999</v>
      </c>
      <c r="AP193" s="39">
        <v>63423.423423423425</v>
      </c>
      <c r="AQ193" s="39">
        <f>Table43[[#This Row],[Harga Jual Pcs GT
(-PPN)]]*Table43[[#This Row],[ISI/CTN]]</f>
        <v>1522162.1621621621</v>
      </c>
      <c r="AR193" s="39">
        <f>Table43[[#This Row],[Harga Jual Pcs GT
(-PPN)]]*1.11</f>
        <v>70400.000000000015</v>
      </c>
      <c r="AS193" s="39">
        <f>Table43[[#This Row],[Harga Jual Krt GT
(- PPN)]]*1.11</f>
        <v>1689600</v>
      </c>
      <c r="AT193" s="39"/>
      <c r="AU193" s="39">
        <f>Table43[[#This Row],[Harga Jual Pcs MT
(-PPN)]]*Table43[[#This Row],[ISI/CTN]]</f>
        <v>0</v>
      </c>
      <c r="AV193" s="39">
        <f>Table43[[#This Row],[Harga Jual Pcs MT
(-PPN)]]*1.11</f>
        <v>0</v>
      </c>
      <c r="AW193" s="39">
        <f>Table43[[#This Row],[Harga Jual Pcs MT
(+PPN)]]*Table43[[#This Row],[ISI/CTN]]</f>
        <v>0</v>
      </c>
      <c r="AX193" s="47">
        <f>IFERROR((Table43[[#This Row],[Harga Jual Pcs GT
(-PPN)]]-Table43[[#This Row],[Harga Beli Pcs
(-PPN)]])/Table43[[#This Row],[Harga Jual Pcs GT
(-PPN)]],0)</f>
        <v>7.4100000000000069E-2</v>
      </c>
      <c r="AY193" s="51"/>
      <c r="AZ193" s="7"/>
      <c r="BA193" s="7" t="str">
        <f ca="1">IF(TODAY()-Table43[[#This Row],[Efektif
Pembuatan]]&gt;60,"Lama","Baru")</f>
        <v>Lama</v>
      </c>
      <c r="BB193" s="7" t="str">
        <f ca="1">IF(TODAY()-Table43[[#This Row],[Efektif Naik Harga]]&lt;30,"Naik","Sama")</f>
        <v>Sama</v>
      </c>
      <c r="BC193" s="7"/>
      <c r="BD193" s="7" t="str">
        <f>IF(Table43[[#This Row],[Kode BARANG Win2]]&lt;&gt;"","IDR","")</f>
        <v>IDR</v>
      </c>
      <c r="BE193" s="7" t="str">
        <f>CONCATENATE(Table43[[#This Row],[kode  1 Digit
(Nomor)]],Table43[[#This Row],[kode  4 Digit                (Nomor)]])</f>
        <v>0070</v>
      </c>
      <c r="BF193" s="7" t="str">
        <f>Table43[[#This Row],[Nama            Gramasi atau Jumlah Pack per CTN]]</f>
        <v>70G</v>
      </c>
      <c r="BG193" s="7"/>
      <c r="BH193" s="7"/>
      <c r="BI193" s="4" t="str">
        <f>IF(Table43[[#This Row],[SATUAN Fix Win]]&lt;&gt;"","KRT")</f>
        <v>KRT</v>
      </c>
      <c r="BJ193" s="4" t="str">
        <f>IF(Table43[[#This Row],[SATUAN Fix Win]]&lt;&gt;"","GD01")</f>
        <v>GD01</v>
      </c>
      <c r="BK193" s="4">
        <f>IF(Table43[[#This Row],[SATUAN Fix Win]]&lt;&gt;"",11611)</f>
        <v>11611</v>
      </c>
      <c r="BL193" s="4">
        <f>IF(Table43[[#This Row],[SATUAN Fix Win]]&lt;&gt;"",11612)</f>
        <v>11612</v>
      </c>
      <c r="BM193" s="52"/>
      <c r="BN193" s="4">
        <f>IF(Table43[[#This Row],[SATUAN Fix Win]]&lt;&gt;"",1)</f>
        <v>1</v>
      </c>
    </row>
    <row r="194" spans="1:70">
      <c r="A194" s="4" t="str">
        <f>CONCATENATE(Table43[[#This Row],[Kode BARANG Win2]],Table43[[#This Row],[No. Urut
Item Sama]])</f>
        <v>F40730070070201</v>
      </c>
      <c r="B194" s="7">
        <v>1</v>
      </c>
      <c r="C194" s="4">
        <v>153</v>
      </c>
      <c r="D194" s="27" t="s">
        <v>402</v>
      </c>
      <c r="E194" s="27" t="s">
        <v>629</v>
      </c>
      <c r="F194" s="27" t="s">
        <v>523</v>
      </c>
      <c r="G194" s="27">
        <v>24</v>
      </c>
      <c r="H194" s="54">
        <v>8992946534898</v>
      </c>
      <c r="I194" s="27" t="str">
        <f>Table43[[#This Row],[Nama Jenis Kemasan]]</f>
        <v>PACK</v>
      </c>
      <c r="J194" s="4" t="str">
        <f>TRIM(CONCATENATE(Table43[[#This Row],[Nama            KLP]]," ",Table43[[#This Row],[Nama            Sub KLP]]))</f>
        <v>ZEN SABUN</v>
      </c>
      <c r="K194" s="4" t="str">
        <f>CONCATENATE(Table43[[#This Row],[kode  2 Digit                (hrf+No)]],Table43[[#This Row],[kode  2 Digit                (Nomor)]],Table43[[#This Row],[kode  1 Digit                (Nomor)]])</f>
        <v>F4073</v>
      </c>
      <c r="L194" s="4" t="str">
        <f>IF(AG194="",CONCATENATE(Q194,S194,U194,W194,Y194,AA194,AC194,AE194,Table43[[#This Row],[Tanda Kode Revisi]]),CONCATENATE(Q194,S194,U194,W194,Y194,AA194,AC194,AG194))</f>
        <v>F4073007007020</v>
      </c>
      <c r="M194" s="11">
        <f t="shared" si="16"/>
        <v>14</v>
      </c>
      <c r="N194" s="14" t="str">
        <f>IF(AF194&lt;&gt;"",TRIM(UPPER(CONCATENATE(P194," ",R194," ",T194," ",V194," ",X194," ",Z194," ","X"," ",Table43[[#This Row],[ISI/CTN]]," ",AF194," ",AB194," ",AD194," ",AH194))),TRIM(UPPER(CONCATENATE(P194," ",R194," ",T194," ",V194," ",X194," ",Z194," ","X"," ",Table43[[#This Row],[ISI/CTN]]," ",AB194," ",AD194," ",AH194))))</f>
        <v>ZEN SABUN SHISO &amp; SULPHUR 70G X 24 PACK</v>
      </c>
      <c r="O194" s="11">
        <f t="shared" si="17"/>
        <v>39</v>
      </c>
      <c r="Q194" s="7" t="s">
        <v>662</v>
      </c>
      <c r="R194" s="4" t="s">
        <v>629</v>
      </c>
      <c r="S194" s="48" t="s">
        <v>756</v>
      </c>
      <c r="T194" s="49" t="s">
        <v>665</v>
      </c>
      <c r="U194" s="7">
        <v>3</v>
      </c>
      <c r="V194" s="49"/>
      <c r="W194" s="48" t="s">
        <v>370</v>
      </c>
      <c r="X194" s="4" t="s">
        <v>723</v>
      </c>
      <c r="Y194" s="50" t="s">
        <v>756</v>
      </c>
      <c r="Z194" s="4" t="s">
        <v>771</v>
      </c>
      <c r="AA194" s="50" t="s">
        <v>738</v>
      </c>
      <c r="AB194" s="4" t="s">
        <v>736</v>
      </c>
      <c r="AC194" s="7">
        <v>2</v>
      </c>
      <c r="AE194" s="7">
        <v>0</v>
      </c>
      <c r="AI194" s="7" t="s">
        <v>179</v>
      </c>
      <c r="AJ194" s="7">
        <v>1</v>
      </c>
      <c r="AL194" s="38">
        <v>7340.468468468468</v>
      </c>
      <c r="AM194" s="39">
        <f>Table43[[#This Row],[Harga Beli Pcs
(-PPN)]]*Table43[[#This Row],[ISI/CTN]]</f>
        <v>176171.24324324323</v>
      </c>
      <c r="AN194" s="39">
        <f>Table43[[#This Row],[Harga Beli Pcs
(-PPN)]]*1.11</f>
        <v>8147.92</v>
      </c>
      <c r="AO194" s="39">
        <f>Table43[[#This Row],[Harga Beli Krt
(- PPN)]]*1.11</f>
        <v>195550.07999999999</v>
      </c>
      <c r="AP194" s="39">
        <v>7927.9279279279281</v>
      </c>
      <c r="AQ194" s="39">
        <f>Table43[[#This Row],[Harga Jual Pcs GT
(-PPN)]]*Table43[[#This Row],[ISI/CTN]]</f>
        <v>190270.27027027027</v>
      </c>
      <c r="AR194" s="39">
        <f>Table43[[#This Row],[Harga Jual Pcs GT
(-PPN)]]*1.11</f>
        <v>8800.0000000000018</v>
      </c>
      <c r="AS194" s="39">
        <f>Table43[[#This Row],[Harga Jual Krt GT
(- PPN)]]*1.11</f>
        <v>211200</v>
      </c>
      <c r="AT194" s="39"/>
      <c r="AU194" s="39">
        <f>Table43[[#This Row],[Harga Jual Pcs MT
(-PPN)]]*Table43[[#This Row],[ISI/CTN]]</f>
        <v>0</v>
      </c>
      <c r="AV194" s="39">
        <f>Table43[[#This Row],[Harga Jual Pcs MT
(-PPN)]]*1.11</f>
        <v>0</v>
      </c>
      <c r="AW194" s="39">
        <f>Table43[[#This Row],[Harga Jual Pcs MT
(+PPN)]]*Table43[[#This Row],[ISI/CTN]]</f>
        <v>0</v>
      </c>
      <c r="AX194" s="47">
        <f>IFERROR((Table43[[#This Row],[Harga Jual Pcs GT
(-PPN)]]-Table43[[#This Row],[Harga Beli Pcs
(-PPN)]])/Table43[[#This Row],[Harga Jual Pcs GT
(-PPN)]],0)</f>
        <v>7.4100000000000069E-2</v>
      </c>
      <c r="AY194" s="51">
        <v>45848</v>
      </c>
      <c r="AZ194" s="7"/>
      <c r="BA194" s="7" t="str">
        <f ca="1">IF(TODAY()-Table43[[#This Row],[Efektif
Pembuatan]]&gt;60,"Lama","Baru")</f>
        <v>Lama</v>
      </c>
      <c r="BB194" s="7" t="str">
        <f ca="1">IF(TODAY()-Table43[[#This Row],[Efektif Naik Harga]]&lt;30,"Naik","Sama")</f>
        <v>Sama</v>
      </c>
      <c r="BC194" s="7" t="s">
        <v>185</v>
      </c>
      <c r="BD194" s="7" t="str">
        <f>IF(Table43[[#This Row],[Kode BARANG Win2]]&lt;&gt;"","IDR","")</f>
        <v>IDR</v>
      </c>
      <c r="BE194" s="7" t="str">
        <f>CONCATENATE(Table43[[#This Row],[kode  1 Digit
(Nomor)]],Table43[[#This Row],[kode  4 Digit                (Nomor)]])</f>
        <v>10070</v>
      </c>
      <c r="BF194" s="7" t="str">
        <f>Table43[[#This Row],[Nama            Gramasi atau Jumlah Pack per CTN]]</f>
        <v>70G</v>
      </c>
      <c r="BG194" s="7" t="s">
        <v>1060</v>
      </c>
      <c r="BH194" s="7" t="s">
        <v>377</v>
      </c>
      <c r="BI194" s="4" t="str">
        <f>IF(Table43[[#This Row],[SATUAN Fix Win]]&lt;&gt;"","KRT")</f>
        <v>KRT</v>
      </c>
      <c r="BJ194" s="4" t="str">
        <f>IF(Table43[[#This Row],[SATUAN Fix Win]]&lt;&gt;"","GD01")</f>
        <v>GD01</v>
      </c>
      <c r="BK194" s="4">
        <f>IF(Table43[[#This Row],[SATUAN Fix Win]]&lt;&gt;"",11611)</f>
        <v>11611</v>
      </c>
      <c r="BL194" s="4">
        <f>IF(Table43[[#This Row],[SATUAN Fix Win]]&lt;&gt;"",11612)</f>
        <v>11612</v>
      </c>
      <c r="BM194" s="52" t="s">
        <v>378</v>
      </c>
      <c r="BN194" s="4">
        <f>IF(Table43[[#This Row],[SATUAN Fix Win]]&lt;&gt;"",1)</f>
        <v>1</v>
      </c>
      <c r="BO194" s="4" t="s">
        <v>637</v>
      </c>
    </row>
    <row r="195" spans="1:70" s="126" customFormat="1">
      <c r="A195" s="132" t="str">
        <f>CONCATENATE(Table43[[#This Row],[Kode BARANG Win2]],Table43[[#This Row],[No. Urut
Item Sama]])</f>
        <v>F40730070070201</v>
      </c>
      <c r="B195" s="112">
        <v>1</v>
      </c>
      <c r="C195" s="111">
        <v>173</v>
      </c>
      <c r="D195" s="128" t="s">
        <v>1346</v>
      </c>
      <c r="E195" s="113" t="s">
        <v>629</v>
      </c>
      <c r="F195" s="113" t="s">
        <v>1347</v>
      </c>
      <c r="G195" s="113">
        <v>24</v>
      </c>
      <c r="H195" s="127"/>
      <c r="I195" s="133" t="str">
        <f>Table43[[#This Row],[Nama Jenis Kemasan]]</f>
        <v>PACK</v>
      </c>
      <c r="J195" s="132" t="str">
        <f>TRIM(CONCATENATE(Table43[[#This Row],[Nama            KLP]]," ",Table43[[#This Row],[Nama            Sub KLP]]))</f>
        <v>ZEN SABUN</v>
      </c>
      <c r="K195" s="132" t="str">
        <f>CONCATENATE(Table43[[#This Row],[kode  2 Digit                (hrf+No)]],Table43[[#This Row],[kode  2 Digit                (Nomor)]],Table43[[#This Row],[kode  1 Digit                (Nomor)]])</f>
        <v>F4073</v>
      </c>
      <c r="L195" s="132" t="str">
        <f>IF(AG195="",CONCATENATE(Q195,S195,U195,W195,Y195,AA195,AC195,AE195,Table43[[#This Row],[Tanda Kode Revisi]]),CONCATENATE(Q195,S195,U195,W195,Y195,AA195,AC195,AG195))</f>
        <v>F4073007007020</v>
      </c>
      <c r="M195" s="116">
        <f>LEN(L195)</f>
        <v>14</v>
      </c>
      <c r="N195" s="134" t="str">
        <f>IF(AF195&lt;&gt;"",TRIM(UPPER(CONCATENATE(P195," ",R195," ",T195," ",V195," ",X195," ",Z195," ","X"," ",Table43[[#This Row],[ISI/CTN]]," ",AF195," ",AB195," ",AD195," ",AH195))),TRIM(UPPER(CONCATENATE(P195," ",R195," ",T195," ",V195," ",X195," ",Z195," ","X"," ",Table43[[#This Row],[ISI/CTN]]," ",AB195," ",AD195," ",AH195))))</f>
        <v>ZEN SABUN SHISO &amp; SULPHUR 60+15G X 24 PACK</v>
      </c>
      <c r="O195" s="116">
        <f>LEN(N195)</f>
        <v>42</v>
      </c>
      <c r="P195" s="111"/>
      <c r="Q195" s="112" t="s">
        <v>662</v>
      </c>
      <c r="R195" s="111" t="s">
        <v>629</v>
      </c>
      <c r="S195" s="118" t="s">
        <v>756</v>
      </c>
      <c r="T195" s="119" t="s">
        <v>665</v>
      </c>
      <c r="U195" s="112">
        <v>3</v>
      </c>
      <c r="V195" s="119"/>
      <c r="W195" s="118" t="s">
        <v>370</v>
      </c>
      <c r="X195" s="111" t="s">
        <v>723</v>
      </c>
      <c r="Y195" s="120" t="s">
        <v>756</v>
      </c>
      <c r="Z195" s="111" t="s">
        <v>1343</v>
      </c>
      <c r="AA195" s="120" t="s">
        <v>738</v>
      </c>
      <c r="AB195" s="111" t="s">
        <v>736</v>
      </c>
      <c r="AC195" s="112">
        <v>2</v>
      </c>
      <c r="AD195" s="111"/>
      <c r="AE195" s="112">
        <v>0</v>
      </c>
      <c r="AF195" s="112"/>
      <c r="AG195" s="112"/>
      <c r="AH195" s="112"/>
      <c r="AI195" s="112"/>
      <c r="AJ195" s="112"/>
      <c r="AK195" s="112"/>
      <c r="AL195" s="135"/>
      <c r="AM195" s="122">
        <f>Table43[[#This Row],[Harga Beli Pcs
(-PPN)]]*Table43[[#This Row],[ISI/CTN]]</f>
        <v>0</v>
      </c>
      <c r="AN195" s="122">
        <f>Table43[[#This Row],[Harga Beli Pcs
(-PPN)]]*1.11</f>
        <v>0</v>
      </c>
      <c r="AO195" s="136">
        <f>Table43[[#This Row],[Harga Beli Krt
(- PPN)]]*1.11</f>
        <v>0</v>
      </c>
      <c r="AP195" s="136"/>
      <c r="AQ195" s="122">
        <f>Table43[[#This Row],[Harga Jual Pcs GT
(-PPN)]]*Table43[[#This Row],[ISI/CTN]]</f>
        <v>0</v>
      </c>
      <c r="AR195" s="122">
        <f>Table43[[#This Row],[Harga Jual Pcs GT
(-PPN)]]*1.11</f>
        <v>0</v>
      </c>
      <c r="AS195" s="122">
        <f>Table43[[#This Row],[Harga Jual Krt GT
(- PPN)]]*1.11</f>
        <v>0</v>
      </c>
      <c r="AT195" s="122"/>
      <c r="AU195" s="122">
        <f>Table43[[#This Row],[Harga Jual Pcs MT
(-PPN)]]*Table43[[#This Row],[ISI/CTN]]</f>
        <v>0</v>
      </c>
      <c r="AV195" s="122">
        <f>Table43[[#This Row],[Harga Jual Pcs MT
(-PPN)]]*1.11</f>
        <v>0</v>
      </c>
      <c r="AW195" s="122">
        <f>Table43[[#This Row],[Harga Jual Pcs MT
(+PPN)]]*Table43[[#This Row],[ISI/CTN]]</f>
        <v>0</v>
      </c>
      <c r="AX195" s="123">
        <f>IFERROR((Table43[[#This Row],[Harga Jual Pcs GT
(-PPN)]]-Table43[[#This Row],[Harga Beli Pcs
(-PPN)]])/Table43[[#This Row],[Harga Jual Pcs GT
(-PPN)]],0)</f>
        <v>0</v>
      </c>
      <c r="AY195" s="124"/>
      <c r="AZ195" s="112"/>
      <c r="BA195" s="137" t="str">
        <f ca="1">IF(TODAY()-Table43[[#This Row],[Efektif
Pembuatan]]&gt;60,"Lama","Baru")</f>
        <v>Lama</v>
      </c>
      <c r="BB195" s="137" t="str">
        <f ca="1">IF(TODAY()-Table43[[#This Row],[Efektif Naik Harga]]&lt;30,"Naik","Sama")</f>
        <v>Sama</v>
      </c>
      <c r="BC195" s="112"/>
      <c r="BD195" s="137" t="str">
        <f>IF(Table43[[#This Row],[Kode BARANG Win2]]&lt;&gt;"","IDR","")</f>
        <v>IDR</v>
      </c>
      <c r="BE195" s="137" t="str">
        <f>CONCATENATE(Table43[[#This Row],[kode  1 Digit
(Nomor)]],Table43[[#This Row],[kode  4 Digit                (Nomor)]])</f>
        <v>0070</v>
      </c>
      <c r="BF195" s="137" t="str">
        <f>Table43[[#This Row],[Nama            Gramasi atau Jumlah Pack per CTN]]</f>
        <v>60+15G</v>
      </c>
      <c r="BG195" s="137"/>
      <c r="BH195" s="112"/>
      <c r="BI195" s="132" t="str">
        <f>IF(Table43[[#This Row],[SATUAN Fix Win]]&lt;&gt;"","KRT")</f>
        <v>KRT</v>
      </c>
      <c r="BJ195" s="132" t="str">
        <f>IF(Table43[[#This Row],[SATUAN Fix Win]]&lt;&gt;"","GD01")</f>
        <v>GD01</v>
      </c>
      <c r="BK195" s="132">
        <f>IF(Table43[[#This Row],[SATUAN Fix Win]]&lt;&gt;"",11611)</f>
        <v>11611</v>
      </c>
      <c r="BL195" s="132">
        <f>IF(Table43[[#This Row],[SATUAN Fix Win]]&lt;&gt;"",11612)</f>
        <v>11612</v>
      </c>
      <c r="BM195" s="138"/>
      <c r="BN195" s="132">
        <f>IF(Table43[[#This Row],[SATUAN Fix Win]]&lt;&gt;"",1)</f>
        <v>1</v>
      </c>
      <c r="BO195" s="132"/>
      <c r="BP195" s="111"/>
      <c r="BQ195" s="111"/>
      <c r="BR195" s="111"/>
    </row>
    <row r="196" spans="1:70">
      <c r="A196" s="4" t="str">
        <f>CONCATENATE(Table43[[#This Row],[Kode BARANG Win2]],Table43[[#This Row],[No. Urut
Item Sama]])</f>
        <v>F40730070070202</v>
      </c>
      <c r="B196" s="7">
        <v>2</v>
      </c>
      <c r="C196" s="4">
        <v>154</v>
      </c>
      <c r="D196" s="73" t="s">
        <v>1129</v>
      </c>
      <c r="E196" s="27" t="s">
        <v>629</v>
      </c>
      <c r="F196" s="27" t="s">
        <v>1130</v>
      </c>
      <c r="G196" s="27">
        <v>24</v>
      </c>
      <c r="H196" s="54">
        <v>8992946534898</v>
      </c>
      <c r="I196" s="27" t="str">
        <f>Table43[[#This Row],[Nama Jenis Kemasan]]</f>
        <v>PACK</v>
      </c>
      <c r="J196" s="4" t="str">
        <f>TRIM(CONCATENATE(Table43[[#This Row],[Nama            KLP]]," ",Table43[[#This Row],[Nama            Sub KLP]]))</f>
        <v>ZEN SABUN</v>
      </c>
      <c r="K196" s="4" t="str">
        <f>CONCATENATE(Table43[[#This Row],[kode  2 Digit                (hrf+No)]],Table43[[#This Row],[kode  2 Digit                (Nomor)]],Table43[[#This Row],[kode  1 Digit                (Nomor)]])</f>
        <v>F4073</v>
      </c>
      <c r="L196" s="4" t="str">
        <f>IF(AG196="",CONCATENATE(Q196,S196,U196,W196,Y196,AA196,AC196,AE196,Table43[[#This Row],[Tanda Kode Revisi]]),CONCATENATE(Q196,S196,U196,W196,Y196,AA196,AC196,AG196))</f>
        <v>F4073007007020</v>
      </c>
      <c r="M196" s="11">
        <f>LEN(L196)</f>
        <v>14</v>
      </c>
      <c r="N196" s="14" t="str">
        <f>IF(AF196&lt;&gt;"",TRIM(UPPER(CONCATENATE(P196," ",R196," ",T196," ",V196," ",X196," ",Z196," ","X"," ",Table43[[#This Row],[ISI/CTN]]," ",AF196," ",AB196," ",AD196," ",AH196))),TRIM(UPPER(CONCATENATE(P196," ",R196," ",T196," ",V196," ",X196," ",Z196," ","X"," ",Table43[[#This Row],[ISI/CTN]]," ",AB196," ",AD196," ",AH196))))</f>
        <v>ZEN SABUN SHISO &amp; SULPHUR 70G X 24 PACK</v>
      </c>
      <c r="O196" s="11">
        <f>LEN(N196)</f>
        <v>39</v>
      </c>
      <c r="Q196" s="7" t="s">
        <v>662</v>
      </c>
      <c r="R196" s="4" t="s">
        <v>629</v>
      </c>
      <c r="S196" s="48" t="s">
        <v>756</v>
      </c>
      <c r="T196" s="49" t="s">
        <v>665</v>
      </c>
      <c r="U196" s="7">
        <v>3</v>
      </c>
      <c r="V196" s="49"/>
      <c r="W196" s="48" t="s">
        <v>370</v>
      </c>
      <c r="X196" s="4" t="s">
        <v>723</v>
      </c>
      <c r="Y196" s="50" t="s">
        <v>756</v>
      </c>
      <c r="Z196" s="4" t="s">
        <v>771</v>
      </c>
      <c r="AA196" s="50" t="s">
        <v>738</v>
      </c>
      <c r="AB196" s="4" t="s">
        <v>736</v>
      </c>
      <c r="AC196" s="7">
        <v>2</v>
      </c>
      <c r="AE196" s="7">
        <v>0</v>
      </c>
      <c r="AL196" s="38">
        <v>58723.747747747744</v>
      </c>
      <c r="AM196" s="39">
        <f>Table43[[#This Row],[Harga Beli Pcs
(-PPN)]]*Table43[[#This Row],[ISI/CTN]]</f>
        <v>1409369.9459459458</v>
      </c>
      <c r="AN196" s="39">
        <f>Table43[[#This Row],[Harga Beli Pcs
(-PPN)]]*1.11</f>
        <v>65183.360000000001</v>
      </c>
      <c r="AO196" s="39">
        <f>Table43[[#This Row],[Harga Beli Krt
(- PPN)]]*1.11</f>
        <v>1564400.6399999999</v>
      </c>
      <c r="AP196" s="39">
        <v>63423.423423423425</v>
      </c>
      <c r="AQ196" s="39">
        <f>Table43[[#This Row],[Harga Jual Pcs GT
(-PPN)]]*Table43[[#This Row],[ISI/CTN]]</f>
        <v>1522162.1621621621</v>
      </c>
      <c r="AR196" s="39">
        <f>Table43[[#This Row],[Harga Jual Pcs GT
(-PPN)]]*1.11</f>
        <v>70400.000000000015</v>
      </c>
      <c r="AS196" s="39">
        <f>Table43[[#This Row],[Harga Jual Krt GT
(- PPN)]]*1.11</f>
        <v>1689600</v>
      </c>
      <c r="AT196" s="39"/>
      <c r="AU196" s="39">
        <f>Table43[[#This Row],[Harga Jual Pcs MT
(-PPN)]]*Table43[[#This Row],[ISI/CTN]]</f>
        <v>0</v>
      </c>
      <c r="AV196" s="39">
        <f>Table43[[#This Row],[Harga Jual Pcs MT
(-PPN)]]*1.11</f>
        <v>0</v>
      </c>
      <c r="AW196" s="39">
        <f>Table43[[#This Row],[Harga Jual Pcs MT
(+PPN)]]*Table43[[#This Row],[ISI/CTN]]</f>
        <v>0</v>
      </c>
      <c r="AX196" s="47">
        <f>IFERROR((Table43[[#This Row],[Harga Jual Pcs GT
(-PPN)]]-Table43[[#This Row],[Harga Beli Pcs
(-PPN)]])/Table43[[#This Row],[Harga Jual Pcs GT
(-PPN)]],0)</f>
        <v>7.4100000000000069E-2</v>
      </c>
      <c r="AY196" s="51"/>
      <c r="AZ196" s="7"/>
      <c r="BA196" s="7" t="str">
        <f ca="1">IF(TODAY()-Table43[[#This Row],[Efektif
Pembuatan]]&gt;60,"Lama","Baru")</f>
        <v>Lama</v>
      </c>
      <c r="BB196" s="7" t="str">
        <f ca="1">IF(TODAY()-Table43[[#This Row],[Efektif Naik Harga]]&lt;30,"Naik","Sama")</f>
        <v>Sama</v>
      </c>
      <c r="BC196" s="7"/>
      <c r="BD196" s="7" t="str">
        <f>IF(Table43[[#This Row],[Kode BARANG Win2]]&lt;&gt;"","IDR","")</f>
        <v>IDR</v>
      </c>
      <c r="BE196" s="7" t="str">
        <f>CONCATENATE(Table43[[#This Row],[kode  1 Digit
(Nomor)]],Table43[[#This Row],[kode  4 Digit                (Nomor)]])</f>
        <v>0070</v>
      </c>
      <c r="BF196" s="7" t="str">
        <f>Table43[[#This Row],[Nama            Gramasi atau Jumlah Pack per CTN]]</f>
        <v>70G</v>
      </c>
      <c r="BG196" s="7"/>
      <c r="BH196" s="7"/>
      <c r="BI196" s="4" t="str">
        <f>IF(Table43[[#This Row],[SATUAN Fix Win]]&lt;&gt;"","KRT")</f>
        <v>KRT</v>
      </c>
      <c r="BJ196" s="4" t="str">
        <f>IF(Table43[[#This Row],[SATUAN Fix Win]]&lt;&gt;"","GD01")</f>
        <v>GD01</v>
      </c>
      <c r="BK196" s="4">
        <f>IF(Table43[[#This Row],[SATUAN Fix Win]]&lt;&gt;"",11611)</f>
        <v>11611</v>
      </c>
      <c r="BL196" s="4">
        <f>IF(Table43[[#This Row],[SATUAN Fix Win]]&lt;&gt;"",11612)</f>
        <v>11612</v>
      </c>
      <c r="BM196" s="52"/>
      <c r="BN196" s="4">
        <f>IF(Table43[[#This Row],[SATUAN Fix Win]]&lt;&gt;"",1)</f>
        <v>1</v>
      </c>
    </row>
    <row r="197" spans="1:70">
      <c r="A197" s="4" t="str">
        <f>CONCATENATE(Table43[[#This Row],[Kode BARANG Win2]],Table43[[#This Row],[No. Urut
Item Sama]])</f>
        <v>F40730080070201</v>
      </c>
      <c r="B197" s="7">
        <v>1</v>
      </c>
      <c r="C197" s="4">
        <v>155</v>
      </c>
      <c r="D197" s="27" t="s">
        <v>403</v>
      </c>
      <c r="E197" s="27" t="s">
        <v>629</v>
      </c>
      <c r="F197" s="27" t="s">
        <v>524</v>
      </c>
      <c r="G197" s="27">
        <v>24</v>
      </c>
      <c r="H197" s="54">
        <v>8992946534904</v>
      </c>
      <c r="I197" s="27" t="str">
        <f>Table43[[#This Row],[Nama Jenis Kemasan]]</f>
        <v>PACK</v>
      </c>
      <c r="J197" s="4" t="str">
        <f>TRIM(CONCATENATE(Table43[[#This Row],[Nama            KLP]]," ",Table43[[#This Row],[Nama            Sub KLP]]))</f>
        <v>ZEN SABUN</v>
      </c>
      <c r="K197" s="4" t="str">
        <f>CONCATENATE(Table43[[#This Row],[kode  2 Digit                (hrf+No)]],Table43[[#This Row],[kode  2 Digit                (Nomor)]],Table43[[#This Row],[kode  1 Digit                (Nomor)]])</f>
        <v>F4073</v>
      </c>
      <c r="L197" s="4" t="str">
        <f>IF(AG197="",CONCATENATE(Q197,S197,U197,W197,Y197,AA197,AC197,AE197,Table43[[#This Row],[Tanda Kode Revisi]]),CONCATENATE(Q197,S197,U197,W197,Y197,AA197,AC197,AG197))</f>
        <v>F4073008007020</v>
      </c>
      <c r="M197" s="11">
        <f t="shared" si="16"/>
        <v>14</v>
      </c>
      <c r="N197" s="14" t="str">
        <f>IF(AF197&lt;&gt;"",TRIM(UPPER(CONCATENATE(P197," ",R197," ",T197," ",V197," ",X197," ",Z197," ","X"," ",Table43[[#This Row],[ISI/CTN]]," ",AF197," ",AB197," ",AD197," ",AH197))),TRIM(UPPER(CONCATENATE(P197," ",R197," ",T197," ",V197," ",X197," ",Z197," ","X"," ",Table43[[#This Row],[ISI/CTN]]," ",AB197," ",AD197," ",AH197))))</f>
        <v>ZEN SABUN SHISO &amp; TEA TREE 70G X 24 PACK</v>
      </c>
      <c r="O197" s="11">
        <f t="shared" si="17"/>
        <v>40</v>
      </c>
      <c r="Q197" s="7" t="s">
        <v>662</v>
      </c>
      <c r="R197" s="4" t="s">
        <v>629</v>
      </c>
      <c r="S197" s="48" t="s">
        <v>756</v>
      </c>
      <c r="T197" s="49" t="s">
        <v>665</v>
      </c>
      <c r="U197" s="7">
        <v>3</v>
      </c>
      <c r="V197" s="49"/>
      <c r="W197" s="48" t="s">
        <v>370</v>
      </c>
      <c r="X197" s="4" t="s">
        <v>724</v>
      </c>
      <c r="Y197" s="50" t="s">
        <v>757</v>
      </c>
      <c r="Z197" s="4" t="s">
        <v>771</v>
      </c>
      <c r="AA197" s="50" t="s">
        <v>738</v>
      </c>
      <c r="AB197" s="4" t="s">
        <v>736</v>
      </c>
      <c r="AC197" s="7">
        <v>2</v>
      </c>
      <c r="AE197" s="7">
        <v>0</v>
      </c>
      <c r="AI197" s="7" t="s">
        <v>179</v>
      </c>
      <c r="AJ197" s="7">
        <v>1</v>
      </c>
      <c r="AL197" s="38">
        <v>7340.468468468468</v>
      </c>
      <c r="AM197" s="39">
        <f>Table43[[#This Row],[Harga Beli Pcs
(-PPN)]]*Table43[[#This Row],[ISI/CTN]]</f>
        <v>176171.24324324323</v>
      </c>
      <c r="AN197" s="39">
        <f>Table43[[#This Row],[Harga Beli Pcs
(-PPN)]]*1.11</f>
        <v>8147.92</v>
      </c>
      <c r="AO197" s="39">
        <f>Table43[[#This Row],[Harga Beli Krt
(- PPN)]]*1.11</f>
        <v>195550.07999999999</v>
      </c>
      <c r="AP197" s="39">
        <v>7927.9279279279281</v>
      </c>
      <c r="AQ197" s="39">
        <f>Table43[[#This Row],[Harga Jual Pcs GT
(-PPN)]]*Table43[[#This Row],[ISI/CTN]]</f>
        <v>190270.27027027027</v>
      </c>
      <c r="AR197" s="39">
        <f>Table43[[#This Row],[Harga Jual Pcs GT
(-PPN)]]*1.11</f>
        <v>8800.0000000000018</v>
      </c>
      <c r="AS197" s="39">
        <f>Table43[[#This Row],[Harga Jual Krt GT
(- PPN)]]*1.11</f>
        <v>211200</v>
      </c>
      <c r="AT197" s="39"/>
      <c r="AU197" s="39">
        <f>Table43[[#This Row],[Harga Jual Pcs MT
(-PPN)]]*Table43[[#This Row],[ISI/CTN]]</f>
        <v>0</v>
      </c>
      <c r="AV197" s="39">
        <f>Table43[[#This Row],[Harga Jual Pcs MT
(-PPN)]]*1.11</f>
        <v>0</v>
      </c>
      <c r="AW197" s="39">
        <f>Table43[[#This Row],[Harga Jual Pcs MT
(+PPN)]]*Table43[[#This Row],[ISI/CTN]]</f>
        <v>0</v>
      </c>
      <c r="AX197" s="47">
        <f>IFERROR((Table43[[#This Row],[Harga Jual Pcs GT
(-PPN)]]-Table43[[#This Row],[Harga Beli Pcs
(-PPN)]])/Table43[[#This Row],[Harga Jual Pcs GT
(-PPN)]],0)</f>
        <v>7.4100000000000069E-2</v>
      </c>
      <c r="AY197" s="51">
        <v>45848</v>
      </c>
      <c r="AZ197" s="7"/>
      <c r="BA197" s="7" t="str">
        <f ca="1">IF(TODAY()-Table43[[#This Row],[Efektif
Pembuatan]]&gt;60,"Lama","Baru")</f>
        <v>Lama</v>
      </c>
      <c r="BB197" s="7" t="str">
        <f ca="1">IF(TODAY()-Table43[[#This Row],[Efektif Naik Harga]]&lt;30,"Naik","Sama")</f>
        <v>Sama</v>
      </c>
      <c r="BC197" s="7" t="s">
        <v>185</v>
      </c>
      <c r="BD197" s="7" t="str">
        <f>IF(Table43[[#This Row],[Kode BARANG Win2]]&lt;&gt;"","IDR","")</f>
        <v>IDR</v>
      </c>
      <c r="BE197" s="7" t="str">
        <f>CONCATENATE(Table43[[#This Row],[kode  1 Digit
(Nomor)]],Table43[[#This Row],[kode  4 Digit                (Nomor)]])</f>
        <v>10070</v>
      </c>
      <c r="BF197" s="7" t="str">
        <f>Table43[[#This Row],[Nama            Gramasi atau Jumlah Pack per CTN]]</f>
        <v>70G</v>
      </c>
      <c r="BG197" s="7" t="s">
        <v>1060</v>
      </c>
      <c r="BH197" s="7" t="s">
        <v>377</v>
      </c>
      <c r="BI197" s="4" t="str">
        <f>IF(Table43[[#This Row],[SATUAN Fix Win]]&lt;&gt;"","KRT")</f>
        <v>KRT</v>
      </c>
      <c r="BJ197" s="4" t="str">
        <f>IF(Table43[[#This Row],[SATUAN Fix Win]]&lt;&gt;"","GD01")</f>
        <v>GD01</v>
      </c>
      <c r="BK197" s="4">
        <f>IF(Table43[[#This Row],[SATUAN Fix Win]]&lt;&gt;"",11611)</f>
        <v>11611</v>
      </c>
      <c r="BL197" s="4">
        <f>IF(Table43[[#This Row],[SATUAN Fix Win]]&lt;&gt;"",11612)</f>
        <v>11612</v>
      </c>
      <c r="BM197" s="52" t="s">
        <v>378</v>
      </c>
      <c r="BN197" s="4">
        <f>IF(Table43[[#This Row],[SATUAN Fix Win]]&lt;&gt;"",1)</f>
        <v>1</v>
      </c>
      <c r="BO197" s="4" t="s">
        <v>637</v>
      </c>
    </row>
    <row r="198" spans="1:70" s="126" customFormat="1">
      <c r="A198" s="132" t="str">
        <f>CONCATENATE(Table43[[#This Row],[Kode BARANG Win2]],Table43[[#This Row],[No. Urut
Item Sama]])</f>
        <v>F40730080070201</v>
      </c>
      <c r="B198" s="112">
        <v>1</v>
      </c>
      <c r="C198" s="111">
        <v>180</v>
      </c>
      <c r="D198" s="128" t="s">
        <v>1360</v>
      </c>
      <c r="E198" s="113" t="s">
        <v>629</v>
      </c>
      <c r="F198" s="113" t="s">
        <v>1361</v>
      </c>
      <c r="G198" s="113">
        <v>24</v>
      </c>
      <c r="H198" s="127"/>
      <c r="I198" s="133" t="str">
        <f>Table43[[#This Row],[Nama Jenis Kemasan]]</f>
        <v>PACK</v>
      </c>
      <c r="J198" s="132" t="str">
        <f>TRIM(CONCATENATE(Table43[[#This Row],[Nama            KLP]]," ",Table43[[#This Row],[Nama            Sub KLP]]))</f>
        <v>ZEN SABUN</v>
      </c>
      <c r="K198" s="132" t="str">
        <f>CONCATENATE(Table43[[#This Row],[kode  2 Digit                (hrf+No)]],Table43[[#This Row],[kode  2 Digit                (Nomor)]],Table43[[#This Row],[kode  1 Digit                (Nomor)]])</f>
        <v>F4073</v>
      </c>
      <c r="L198" s="132" t="str">
        <f>IF(AG198="",CONCATENATE(Q198,S198,U198,W198,Y198,AA198,AC198,AE198,Table43[[#This Row],[Tanda Kode Revisi]]),CONCATENATE(Q198,S198,U198,W198,Y198,AA198,AC198,AG198))</f>
        <v>F4073008007020</v>
      </c>
      <c r="M198" s="116">
        <f>LEN(L198)</f>
        <v>14</v>
      </c>
      <c r="N198" s="134" t="str">
        <f>IF(AF198&lt;&gt;"",TRIM(UPPER(CONCATENATE(P198," ",R198," ",T198," ",V198," ",X198," ",Z198," ","X"," ",Table43[[#This Row],[ISI/CTN]]," ",AF198," ",AB198," ",AD198," ",AH198))),TRIM(UPPER(CONCATENATE(P198," ",R198," ",T198," ",V198," ",X198," ",Z198," ","X"," ",Table43[[#This Row],[ISI/CTN]]," ",AB198," ",AD198," ",AH198))))</f>
        <v>ZEN SABUN SHISO &amp; TEA TREE 70G X 24 PACK</v>
      </c>
      <c r="O198" s="116">
        <f>LEN(N198)</f>
        <v>40</v>
      </c>
      <c r="P198" s="111"/>
      <c r="Q198" s="112" t="s">
        <v>662</v>
      </c>
      <c r="R198" s="111" t="s">
        <v>629</v>
      </c>
      <c r="S198" s="118" t="s">
        <v>756</v>
      </c>
      <c r="T198" s="119" t="s">
        <v>665</v>
      </c>
      <c r="U198" s="112">
        <v>3</v>
      </c>
      <c r="V198" s="119"/>
      <c r="W198" s="118" t="s">
        <v>370</v>
      </c>
      <c r="X198" s="111" t="s">
        <v>724</v>
      </c>
      <c r="Y198" s="120" t="s">
        <v>757</v>
      </c>
      <c r="Z198" s="111" t="s">
        <v>771</v>
      </c>
      <c r="AA198" s="120" t="s">
        <v>738</v>
      </c>
      <c r="AB198" s="111" t="s">
        <v>736</v>
      </c>
      <c r="AC198" s="112">
        <v>2</v>
      </c>
      <c r="AD198" s="111"/>
      <c r="AE198" s="112">
        <v>0</v>
      </c>
      <c r="AF198" s="112"/>
      <c r="AG198" s="112"/>
      <c r="AH198" s="112"/>
      <c r="AI198" s="112"/>
      <c r="AJ198" s="112"/>
      <c r="AK198" s="112"/>
      <c r="AL198" s="135"/>
      <c r="AM198" s="122">
        <f>Table43[[#This Row],[Harga Beli Pcs
(-PPN)]]*Table43[[#This Row],[ISI/CTN]]</f>
        <v>0</v>
      </c>
      <c r="AN198" s="122">
        <f>Table43[[#This Row],[Harga Beli Pcs
(-PPN)]]*1.11</f>
        <v>0</v>
      </c>
      <c r="AO198" s="136">
        <f>Table43[[#This Row],[Harga Beli Krt
(- PPN)]]*1.11</f>
        <v>0</v>
      </c>
      <c r="AP198" s="136"/>
      <c r="AQ198" s="122">
        <f>Table43[[#This Row],[Harga Jual Pcs GT
(-PPN)]]*Table43[[#This Row],[ISI/CTN]]</f>
        <v>0</v>
      </c>
      <c r="AR198" s="122">
        <f>Table43[[#This Row],[Harga Jual Pcs GT
(-PPN)]]*1.11</f>
        <v>0</v>
      </c>
      <c r="AS198" s="122">
        <f>Table43[[#This Row],[Harga Jual Krt GT
(- PPN)]]*1.11</f>
        <v>0</v>
      </c>
      <c r="AT198" s="122"/>
      <c r="AU198" s="122">
        <f>Table43[[#This Row],[Harga Jual Pcs MT
(-PPN)]]*Table43[[#This Row],[ISI/CTN]]</f>
        <v>0</v>
      </c>
      <c r="AV198" s="122">
        <f>Table43[[#This Row],[Harga Jual Pcs MT
(-PPN)]]*1.11</f>
        <v>0</v>
      </c>
      <c r="AW198" s="122">
        <f>Table43[[#This Row],[Harga Jual Pcs MT
(+PPN)]]*Table43[[#This Row],[ISI/CTN]]</f>
        <v>0</v>
      </c>
      <c r="AX198" s="123">
        <f>IFERROR((Table43[[#This Row],[Harga Jual Pcs GT
(-PPN)]]-Table43[[#This Row],[Harga Beli Pcs
(-PPN)]])/Table43[[#This Row],[Harga Jual Pcs GT
(-PPN)]],0)</f>
        <v>0</v>
      </c>
      <c r="AY198" s="124"/>
      <c r="AZ198" s="112"/>
      <c r="BA198" s="137" t="str">
        <f ca="1">IF(TODAY()-Table43[[#This Row],[Efektif
Pembuatan]]&gt;60,"Lama","Baru")</f>
        <v>Lama</v>
      </c>
      <c r="BB198" s="137" t="str">
        <f ca="1">IF(TODAY()-Table43[[#This Row],[Efektif Naik Harga]]&lt;30,"Naik","Sama")</f>
        <v>Sama</v>
      </c>
      <c r="BC198" s="112"/>
      <c r="BD198" s="137" t="str">
        <f>IF(Table43[[#This Row],[Kode BARANG Win2]]&lt;&gt;"","IDR","")</f>
        <v>IDR</v>
      </c>
      <c r="BE198" s="137" t="str">
        <f>CONCATENATE(Table43[[#This Row],[kode  1 Digit
(Nomor)]],Table43[[#This Row],[kode  4 Digit                (Nomor)]])</f>
        <v>0070</v>
      </c>
      <c r="BF198" s="137" t="str">
        <f>Table43[[#This Row],[Nama            Gramasi atau Jumlah Pack per CTN]]</f>
        <v>70G</v>
      </c>
      <c r="BG198" s="137"/>
      <c r="BH198" s="112"/>
      <c r="BI198" s="132" t="str">
        <f>IF(Table43[[#This Row],[SATUAN Fix Win]]&lt;&gt;"","KRT")</f>
        <v>KRT</v>
      </c>
      <c r="BJ198" s="132" t="str">
        <f>IF(Table43[[#This Row],[SATUAN Fix Win]]&lt;&gt;"","GD01")</f>
        <v>GD01</v>
      </c>
      <c r="BK198" s="132">
        <f>IF(Table43[[#This Row],[SATUAN Fix Win]]&lt;&gt;"",11611)</f>
        <v>11611</v>
      </c>
      <c r="BL198" s="132">
        <f>IF(Table43[[#This Row],[SATUAN Fix Win]]&lt;&gt;"",11612)</f>
        <v>11612</v>
      </c>
      <c r="BM198" s="138"/>
      <c r="BN198" s="132">
        <f>IF(Table43[[#This Row],[SATUAN Fix Win]]&lt;&gt;"",1)</f>
        <v>1</v>
      </c>
      <c r="BO198" s="132"/>
      <c r="BP198" s="111"/>
      <c r="BQ198" s="111"/>
      <c r="BR198" s="111"/>
    </row>
    <row r="199" spans="1:70">
      <c r="A199" s="4" t="str">
        <f>CONCATENATE(Table43[[#This Row],[Kode BARANG Win2]],Table43[[#This Row],[No. Urut
Item Sama]])</f>
        <v>F40730080070202</v>
      </c>
      <c r="B199" s="7">
        <v>2</v>
      </c>
      <c r="C199" s="4">
        <v>156</v>
      </c>
      <c r="D199" s="73" t="s">
        <v>1128</v>
      </c>
      <c r="E199" s="27" t="s">
        <v>629</v>
      </c>
      <c r="F199" s="27" t="s">
        <v>1125</v>
      </c>
      <c r="G199" s="27">
        <v>24</v>
      </c>
      <c r="H199" s="54">
        <v>8992946534904</v>
      </c>
      <c r="I199" s="27" t="str">
        <f>Table43[[#This Row],[Nama Jenis Kemasan]]</f>
        <v>PACK</v>
      </c>
      <c r="J199" s="4" t="str">
        <f>TRIM(CONCATENATE(Table43[[#This Row],[Nama            KLP]]," ",Table43[[#This Row],[Nama            Sub KLP]]))</f>
        <v>ZEN SABUN</v>
      </c>
      <c r="K199" s="4" t="str">
        <f>CONCATENATE(Table43[[#This Row],[kode  2 Digit                (hrf+No)]],Table43[[#This Row],[kode  2 Digit                (Nomor)]],Table43[[#This Row],[kode  1 Digit                (Nomor)]])</f>
        <v>F4073</v>
      </c>
      <c r="L199" s="4" t="str">
        <f>IF(AG199="",CONCATENATE(Q199,S199,U199,W199,Y199,AA199,AC199,AE199,Table43[[#This Row],[Tanda Kode Revisi]]),CONCATENATE(Q199,S199,U199,W199,Y199,AA199,AC199,AG199))</f>
        <v>F4073008007020</v>
      </c>
      <c r="M199" s="11">
        <f t="shared" ref="M199:M204" si="18">LEN(L199)</f>
        <v>14</v>
      </c>
      <c r="N199" s="14" t="str">
        <f>IF(AF199&lt;&gt;"",TRIM(UPPER(CONCATENATE(P199," ",R199," ",T199," ",V199," ",X199," ",Z199," ","X"," ",Table43[[#This Row],[ISI/CTN]]," ",AF199," ",AB199," ",AD199," ",AH199))),TRIM(UPPER(CONCATENATE(P199," ",R199," ",T199," ",V199," ",X199," ",Z199," ","X"," ",Table43[[#This Row],[ISI/CTN]]," ",AB199," ",AD199," ",AH199))))</f>
        <v>ZEN SABUN SHISO &amp; TEA TREE 70G X 24 PACK</v>
      </c>
      <c r="O199" s="11">
        <f t="shared" ref="O199:O204" si="19">LEN(N199)</f>
        <v>40</v>
      </c>
      <c r="Q199" s="7" t="s">
        <v>662</v>
      </c>
      <c r="R199" s="4" t="s">
        <v>629</v>
      </c>
      <c r="S199" s="48" t="s">
        <v>756</v>
      </c>
      <c r="T199" s="49" t="s">
        <v>665</v>
      </c>
      <c r="U199" s="7">
        <v>3</v>
      </c>
      <c r="V199" s="49"/>
      <c r="W199" s="48" t="s">
        <v>370</v>
      </c>
      <c r="X199" s="4" t="s">
        <v>724</v>
      </c>
      <c r="Y199" s="50" t="s">
        <v>757</v>
      </c>
      <c r="Z199" s="4" t="s">
        <v>771</v>
      </c>
      <c r="AA199" s="50" t="s">
        <v>738</v>
      </c>
      <c r="AB199" s="4" t="s">
        <v>736</v>
      </c>
      <c r="AC199" s="7">
        <v>2</v>
      </c>
      <c r="AE199" s="7">
        <v>0</v>
      </c>
      <c r="AL199" s="38">
        <v>58723.747747747744</v>
      </c>
      <c r="AM199" s="39">
        <f>Table43[[#This Row],[Harga Beli Pcs
(-PPN)]]*Table43[[#This Row],[ISI/CTN]]</f>
        <v>1409369.9459459458</v>
      </c>
      <c r="AN199" s="39">
        <f>Table43[[#This Row],[Harga Beli Pcs
(-PPN)]]*1.11</f>
        <v>65183.360000000001</v>
      </c>
      <c r="AO199" s="39">
        <f>Table43[[#This Row],[Harga Beli Krt
(- PPN)]]*1.11</f>
        <v>1564400.6399999999</v>
      </c>
      <c r="AP199" s="39">
        <v>63423.423423423425</v>
      </c>
      <c r="AQ199" s="39">
        <f>Table43[[#This Row],[Harga Jual Pcs GT
(-PPN)]]*Table43[[#This Row],[ISI/CTN]]</f>
        <v>1522162.1621621621</v>
      </c>
      <c r="AR199" s="39">
        <f>Table43[[#This Row],[Harga Jual Pcs GT
(-PPN)]]*1.11</f>
        <v>70400.000000000015</v>
      </c>
      <c r="AS199" s="39">
        <f>Table43[[#This Row],[Harga Jual Krt GT
(- PPN)]]*1.11</f>
        <v>1689600</v>
      </c>
      <c r="AT199" s="39"/>
      <c r="AU199" s="39">
        <f>Table43[[#This Row],[Harga Jual Pcs MT
(-PPN)]]*Table43[[#This Row],[ISI/CTN]]</f>
        <v>0</v>
      </c>
      <c r="AV199" s="39">
        <f>Table43[[#This Row],[Harga Jual Pcs MT
(-PPN)]]*1.11</f>
        <v>0</v>
      </c>
      <c r="AW199" s="39">
        <f>Table43[[#This Row],[Harga Jual Pcs MT
(+PPN)]]*Table43[[#This Row],[ISI/CTN]]</f>
        <v>0</v>
      </c>
      <c r="AX199" s="47">
        <f>IFERROR((Table43[[#This Row],[Harga Jual Pcs GT
(-PPN)]]-Table43[[#This Row],[Harga Beli Pcs
(-PPN)]])/Table43[[#This Row],[Harga Jual Pcs GT
(-PPN)]],0)</f>
        <v>7.4100000000000069E-2</v>
      </c>
      <c r="AY199" s="51"/>
      <c r="AZ199" s="7"/>
      <c r="BA199" s="7" t="str">
        <f ca="1">IF(TODAY()-Table43[[#This Row],[Efektif
Pembuatan]]&gt;60,"Lama","Baru")</f>
        <v>Lama</v>
      </c>
      <c r="BB199" s="7" t="str">
        <f ca="1">IF(TODAY()-Table43[[#This Row],[Efektif Naik Harga]]&lt;30,"Naik","Sama")</f>
        <v>Sama</v>
      </c>
      <c r="BC199" s="7"/>
      <c r="BD199" s="7" t="str">
        <f>IF(Table43[[#This Row],[Kode BARANG Win2]]&lt;&gt;"","IDR","")</f>
        <v>IDR</v>
      </c>
      <c r="BE199" s="7" t="str">
        <f>CONCATENATE(Table43[[#This Row],[kode  1 Digit
(Nomor)]],Table43[[#This Row],[kode  4 Digit                (Nomor)]])</f>
        <v>0070</v>
      </c>
      <c r="BF199" s="7" t="str">
        <f>Table43[[#This Row],[Nama            Gramasi atau Jumlah Pack per CTN]]</f>
        <v>70G</v>
      </c>
      <c r="BG199" s="7"/>
      <c r="BH199" s="7"/>
      <c r="BI199" s="4" t="str">
        <f>IF(Table43[[#This Row],[SATUAN Fix Win]]&lt;&gt;"","KRT")</f>
        <v>KRT</v>
      </c>
      <c r="BJ199" s="4" t="str">
        <f>IF(Table43[[#This Row],[SATUAN Fix Win]]&lt;&gt;"","GD01")</f>
        <v>GD01</v>
      </c>
      <c r="BK199" s="4">
        <f>IF(Table43[[#This Row],[SATUAN Fix Win]]&lt;&gt;"",11611)</f>
        <v>11611</v>
      </c>
      <c r="BL199" s="4">
        <f>IF(Table43[[#This Row],[SATUAN Fix Win]]&lt;&gt;"",11612)</f>
        <v>11612</v>
      </c>
      <c r="BM199" s="52"/>
      <c r="BN199" s="4">
        <f>IF(Table43[[#This Row],[SATUAN Fix Win]]&lt;&gt;"",1)</f>
        <v>1</v>
      </c>
    </row>
    <row r="200" spans="1:70" s="69" customFormat="1">
      <c r="A200" s="55" t="str">
        <f>CONCATENATE(Table43[[#This Row],[Kode BARANG Win2]],Table43[[#This Row],[No. Urut
Item Sama]])</f>
        <v>F40732080070201</v>
      </c>
      <c r="B200" s="56">
        <v>1</v>
      </c>
      <c r="C200" s="4">
        <v>157</v>
      </c>
      <c r="D200" s="70" t="s">
        <v>1080</v>
      </c>
      <c r="E200" s="70" t="s">
        <v>629</v>
      </c>
      <c r="F200" s="70" t="s">
        <v>1079</v>
      </c>
      <c r="G200" s="70">
        <v>18</v>
      </c>
      <c r="H200" s="71">
        <v>8992946533508</v>
      </c>
      <c r="I200" s="70" t="str">
        <f>Table43[[#This Row],[Nama Jenis Kemasan]]</f>
        <v>PACK</v>
      </c>
      <c r="J200" s="55" t="str">
        <f>TRIM(CONCATENATE(Table43[[#This Row],[Nama            KLP]]," ",Table43[[#This Row],[Nama            Sub KLP]]))</f>
        <v>ZEN SABUN</v>
      </c>
      <c r="K200" s="55" t="str">
        <f>CONCATENATE(Table43[[#This Row],[kode  2 Digit                (hrf+No)]],Table43[[#This Row],[kode  2 Digit                (Nomor)]],Table43[[#This Row],[kode  1 Digit                (Nomor)]])</f>
        <v>F4073</v>
      </c>
      <c r="L200" s="55" t="str">
        <f>IF(AG200="",CONCATENATE(Q200,S200,U200,W200,Y200,AA200,AC200,AE200,Table43[[#This Row],[Tanda Kode Revisi]]),CONCATENATE(Q200,S200,U200,W200,Y200,AA200,AC200,AG200))</f>
        <v>F4073208007020</v>
      </c>
      <c r="M200" s="59">
        <f t="shared" si="18"/>
        <v>14</v>
      </c>
      <c r="N200" s="60" t="str">
        <f>IF(AF200&lt;&gt;"",TRIM(UPPER(CONCATENATE(P200," ",R200," ",T200," ",V200," ",X200," ",Z200," ","X"," ",Table43[[#This Row],[ISI/CTN]]," ",AF200," ",AB200," ",AD200," ",AH200))),TRIM(UPPER(CONCATENATE(P200," ",R200," ",T200," ",V200," ",X200," ",Z200," ","X"," ",Table43[[#This Row],[ISI/CTN]]," ",AB200," ",AD200," ",AH200))))</f>
        <v>ZEN SABUN 4P SHISO &amp; TEA TREE 70G X 18 PACK</v>
      </c>
      <c r="O200" s="59">
        <f t="shared" si="19"/>
        <v>43</v>
      </c>
      <c r="P200" s="55"/>
      <c r="Q200" s="56" t="s">
        <v>662</v>
      </c>
      <c r="R200" s="55" t="s">
        <v>629</v>
      </c>
      <c r="S200" s="61" t="s">
        <v>756</v>
      </c>
      <c r="T200" s="62" t="s">
        <v>665</v>
      </c>
      <c r="U200" s="56">
        <v>3</v>
      </c>
      <c r="V200" s="62" t="s">
        <v>1066</v>
      </c>
      <c r="W200" s="61" t="s">
        <v>1067</v>
      </c>
      <c r="X200" s="55" t="s">
        <v>724</v>
      </c>
      <c r="Y200" s="61" t="s">
        <v>757</v>
      </c>
      <c r="Z200" s="55" t="s">
        <v>771</v>
      </c>
      <c r="AA200" s="61" t="s">
        <v>738</v>
      </c>
      <c r="AB200" s="55" t="s">
        <v>736</v>
      </c>
      <c r="AC200" s="56">
        <v>2</v>
      </c>
      <c r="AD200" s="55"/>
      <c r="AE200" s="56">
        <v>0</v>
      </c>
      <c r="AF200" s="56"/>
      <c r="AG200" s="56"/>
      <c r="AH200" s="56"/>
      <c r="AI200" s="56" t="s">
        <v>179</v>
      </c>
      <c r="AJ200" s="56">
        <v>1</v>
      </c>
      <c r="AK200" s="56"/>
      <c r="AL200" s="64">
        <v>9342.4144144144138</v>
      </c>
      <c r="AM200" s="64">
        <f>Table43[[#This Row],[Harga Beli Pcs
(-PPN)]]*Table43[[#This Row],[ISI/CTN]]</f>
        <v>168163.45945945944</v>
      </c>
      <c r="AN200" s="64">
        <f>Table43[[#This Row],[Harga Beli Pcs
(-PPN)]]*1.11</f>
        <v>10370.08</v>
      </c>
      <c r="AO200" s="64">
        <f>Table43[[#This Row],[Harga Beli Krt
(- PPN)]]*1.11</f>
        <v>186661.44</v>
      </c>
      <c r="AP200" s="64">
        <v>10090.090090090089</v>
      </c>
      <c r="AQ200" s="64">
        <f>Table43[[#This Row],[Harga Jual Pcs GT
(-PPN)]]*Table43[[#This Row],[ISI/CTN]]</f>
        <v>181621.6216216216</v>
      </c>
      <c r="AR200" s="64">
        <f>Table43[[#This Row],[Harga Jual Pcs GT
(-PPN)]]*1.11</f>
        <v>11200</v>
      </c>
      <c r="AS200" s="64">
        <f>Table43[[#This Row],[Harga Jual Krt GT
(- PPN)]]*1.11</f>
        <v>201600</v>
      </c>
      <c r="AT200" s="64"/>
      <c r="AU200" s="64">
        <f>Table43[[#This Row],[Harga Jual Pcs MT
(-PPN)]]*Table43[[#This Row],[ISI/CTN]]</f>
        <v>0</v>
      </c>
      <c r="AV200" s="64">
        <f>Table43[[#This Row],[Harga Jual Pcs MT
(-PPN)]]*1.11</f>
        <v>0</v>
      </c>
      <c r="AW200" s="64">
        <f>Table43[[#This Row],[Harga Jual Pcs MT
(+PPN)]]*Table43[[#This Row],[ISI/CTN]]</f>
        <v>0</v>
      </c>
      <c r="AX200" s="72">
        <f>IFERROR((Table43[[#This Row],[Harga Jual Pcs GT
(-PPN)]]-Table43[[#This Row],[Harga Beli Pcs
(-PPN)]])/Table43[[#This Row],[Harga Jual Pcs GT
(-PPN)]],0)</f>
        <v>7.409999999999993E-2</v>
      </c>
      <c r="AY200" s="67">
        <v>45864</v>
      </c>
      <c r="AZ200" s="56"/>
      <c r="BA200" s="56" t="str">
        <f ca="1">IF(TODAY()-Table43[[#This Row],[Efektif
Pembuatan]]&gt;60,"Lama","Baru")</f>
        <v>Lama</v>
      </c>
      <c r="BB200" s="56" t="str">
        <f ca="1">IF(TODAY()-Table43[[#This Row],[Efektif Naik Harga]]&lt;30,"Naik","Sama")</f>
        <v>Sama</v>
      </c>
      <c r="BC200" s="56" t="s">
        <v>185</v>
      </c>
      <c r="BD200" s="56" t="str">
        <f>IF(Table43[[#This Row],[Kode BARANG Win2]]&lt;&gt;"","IDR","")</f>
        <v>IDR</v>
      </c>
      <c r="BE200" s="56" t="str">
        <f>CONCATENATE(Table43[[#This Row],[kode  1 Digit
(Nomor)]],Table43[[#This Row],[kode  4 Digit                (Nomor)]])</f>
        <v>10070</v>
      </c>
      <c r="BF200" s="56" t="str">
        <f>Table43[[#This Row],[Nama            Gramasi atau Jumlah Pack per CTN]]</f>
        <v>70G</v>
      </c>
      <c r="BG200" s="56"/>
      <c r="BH200" s="56"/>
      <c r="BI200" s="55" t="str">
        <f>IF(Table43[[#This Row],[SATUAN Fix Win]]&lt;&gt;"","KRT")</f>
        <v>KRT</v>
      </c>
      <c r="BJ200" s="55" t="str">
        <f>IF(Table43[[#This Row],[SATUAN Fix Win]]&lt;&gt;"","GD01")</f>
        <v>GD01</v>
      </c>
      <c r="BK200" s="55">
        <f>IF(Table43[[#This Row],[SATUAN Fix Win]]&lt;&gt;"",11611)</f>
        <v>11611</v>
      </c>
      <c r="BL200" s="55">
        <f>IF(Table43[[#This Row],[SATUAN Fix Win]]&lt;&gt;"",11612)</f>
        <v>11612</v>
      </c>
      <c r="BM200" s="55"/>
      <c r="BN200" s="55">
        <f>IF(Table43[[#This Row],[SATUAN Fix Win]]&lt;&gt;"",1)</f>
        <v>1</v>
      </c>
      <c r="BO200" s="4" t="s">
        <v>637</v>
      </c>
      <c r="BP200" s="55"/>
      <c r="BQ200" s="55"/>
      <c r="BR200" s="55"/>
    </row>
    <row r="201" spans="1:70" s="69" customFormat="1">
      <c r="A201" s="55" t="str">
        <f>CONCATENATE(Table43[[#This Row],[Kode BARANG Win2]],Table43[[#This Row],[No. Urut
Item Sama]])</f>
        <v>F40732080070202</v>
      </c>
      <c r="B201" s="56">
        <v>2</v>
      </c>
      <c r="C201" s="4">
        <v>158</v>
      </c>
      <c r="D201" s="70" t="s">
        <v>1081</v>
      </c>
      <c r="E201" s="70" t="s">
        <v>629</v>
      </c>
      <c r="F201" s="70" t="s">
        <v>1068</v>
      </c>
      <c r="G201" s="70">
        <v>18</v>
      </c>
      <c r="H201" s="71">
        <v>8992946533508</v>
      </c>
      <c r="I201" s="70" t="str">
        <f>Table43[[#This Row],[Nama Jenis Kemasan]]</f>
        <v>PACK</v>
      </c>
      <c r="J201" s="55" t="str">
        <f>TRIM(CONCATENATE(Table43[[#This Row],[Nama            KLP]]," ",Table43[[#This Row],[Nama            Sub KLP]]))</f>
        <v>ZEN SABUN</v>
      </c>
      <c r="K201" s="55" t="str">
        <f>CONCATENATE(Table43[[#This Row],[kode  2 Digit                (hrf+No)]],Table43[[#This Row],[kode  2 Digit                (Nomor)]],Table43[[#This Row],[kode  1 Digit                (Nomor)]])</f>
        <v>F4073</v>
      </c>
      <c r="L201" s="55" t="str">
        <f>IF(AG201="",CONCATENATE(Q201,S201,U201,W201,Y201,AA201,AC201,AE201,Table43[[#This Row],[Tanda Kode Revisi]]),CONCATENATE(Q201,S201,U201,W201,Y201,AA201,AC201,AG201))</f>
        <v>F4073208007020</v>
      </c>
      <c r="M201" s="59">
        <f t="shared" si="18"/>
        <v>14</v>
      </c>
      <c r="N201" s="60" t="str">
        <f>IF(AF201&lt;&gt;"",TRIM(UPPER(CONCATENATE(P201," ",R201," ",T201," ",V201," ",X201," ",Z201," ","X"," ",Table43[[#This Row],[ISI/CTN]]," ",AF201," ",AB201," ",AD201," ",AH201))),TRIM(UPPER(CONCATENATE(P201," ",R201," ",T201," ",V201," ",X201," ",Z201," ","X"," ",Table43[[#This Row],[ISI/CTN]]," ",AB201," ",AD201," ",AH201))))</f>
        <v>ZEN SABUN 4P SHISO &amp; TEA TREE 70G X 18 PACK</v>
      </c>
      <c r="O201" s="59">
        <f t="shared" si="19"/>
        <v>43</v>
      </c>
      <c r="P201" s="55"/>
      <c r="Q201" s="56" t="s">
        <v>662</v>
      </c>
      <c r="R201" s="55" t="s">
        <v>629</v>
      </c>
      <c r="S201" s="61" t="s">
        <v>756</v>
      </c>
      <c r="T201" s="62" t="s">
        <v>665</v>
      </c>
      <c r="U201" s="56">
        <v>3</v>
      </c>
      <c r="V201" s="62" t="s">
        <v>1066</v>
      </c>
      <c r="W201" s="61" t="s">
        <v>1067</v>
      </c>
      <c r="X201" s="55" t="s">
        <v>724</v>
      </c>
      <c r="Y201" s="61" t="s">
        <v>757</v>
      </c>
      <c r="Z201" s="55" t="s">
        <v>771</v>
      </c>
      <c r="AA201" s="61" t="s">
        <v>738</v>
      </c>
      <c r="AB201" s="55" t="s">
        <v>736</v>
      </c>
      <c r="AC201" s="56">
        <v>2</v>
      </c>
      <c r="AD201" s="55"/>
      <c r="AE201" s="56">
        <v>0</v>
      </c>
      <c r="AF201" s="56"/>
      <c r="AG201" s="56"/>
      <c r="AH201" s="56"/>
      <c r="AI201" s="56" t="s">
        <v>179</v>
      </c>
      <c r="AJ201" s="56">
        <v>1</v>
      </c>
      <c r="AK201" s="56"/>
      <c r="AL201" s="64">
        <v>9342.4144144144138</v>
      </c>
      <c r="AM201" s="64">
        <f>Table43[[#This Row],[Harga Beli Pcs
(-PPN)]]*Table43[[#This Row],[ISI/CTN]]</f>
        <v>168163.45945945944</v>
      </c>
      <c r="AN201" s="64">
        <f>Table43[[#This Row],[Harga Beli Pcs
(-PPN)]]*1.11</f>
        <v>10370.08</v>
      </c>
      <c r="AO201" s="64">
        <f>Table43[[#This Row],[Harga Beli Krt
(- PPN)]]*1.11</f>
        <v>186661.44</v>
      </c>
      <c r="AP201" s="64">
        <v>10090.090090090089</v>
      </c>
      <c r="AQ201" s="64">
        <f>Table43[[#This Row],[Harga Jual Pcs GT
(-PPN)]]*Table43[[#This Row],[ISI/CTN]]</f>
        <v>181621.6216216216</v>
      </c>
      <c r="AR201" s="64">
        <f>Table43[[#This Row],[Harga Jual Pcs GT
(-PPN)]]*1.11</f>
        <v>11200</v>
      </c>
      <c r="AS201" s="64">
        <f>Table43[[#This Row],[Harga Jual Krt GT
(- PPN)]]*1.11</f>
        <v>201600</v>
      </c>
      <c r="AT201" s="64"/>
      <c r="AU201" s="64">
        <f>Table43[[#This Row],[Harga Jual Pcs MT
(-PPN)]]*Table43[[#This Row],[ISI/CTN]]</f>
        <v>0</v>
      </c>
      <c r="AV201" s="64">
        <f>Table43[[#This Row],[Harga Jual Pcs MT
(-PPN)]]*1.11</f>
        <v>0</v>
      </c>
      <c r="AW201" s="64">
        <f>Table43[[#This Row],[Harga Jual Pcs MT
(+PPN)]]*Table43[[#This Row],[ISI/CTN]]</f>
        <v>0</v>
      </c>
      <c r="AX201" s="72">
        <f>IFERROR((Table43[[#This Row],[Harga Jual Pcs GT
(-PPN)]]-Table43[[#This Row],[Harga Beli Pcs
(-PPN)]])/Table43[[#This Row],[Harga Jual Pcs GT
(-PPN)]],0)</f>
        <v>7.409999999999993E-2</v>
      </c>
      <c r="AY201" s="67">
        <v>45864</v>
      </c>
      <c r="AZ201" s="56"/>
      <c r="BA201" s="56" t="str">
        <f ca="1">IF(TODAY()-Table43[[#This Row],[Efektif
Pembuatan]]&gt;60,"Lama","Baru")</f>
        <v>Lama</v>
      </c>
      <c r="BB201" s="56" t="str">
        <f ca="1">IF(TODAY()-Table43[[#This Row],[Efektif Naik Harga]]&lt;30,"Naik","Sama")</f>
        <v>Sama</v>
      </c>
      <c r="BC201" s="56" t="s">
        <v>185</v>
      </c>
      <c r="BD201" s="56" t="str">
        <f>IF(Table43[[#This Row],[Kode BARANG Win2]]&lt;&gt;"","IDR","")</f>
        <v>IDR</v>
      </c>
      <c r="BE201" s="56" t="str">
        <f>CONCATENATE(Table43[[#This Row],[kode  1 Digit
(Nomor)]],Table43[[#This Row],[kode  4 Digit                (Nomor)]])</f>
        <v>10070</v>
      </c>
      <c r="BF201" s="56" t="str">
        <f>Table43[[#This Row],[Nama            Gramasi atau Jumlah Pack per CTN]]</f>
        <v>70G</v>
      </c>
      <c r="BG201" s="56"/>
      <c r="BH201" s="56"/>
      <c r="BI201" s="55" t="str">
        <f>IF(Table43[[#This Row],[SATUAN Fix Win]]&lt;&gt;"","KRT")</f>
        <v>KRT</v>
      </c>
      <c r="BJ201" s="55" t="str">
        <f>IF(Table43[[#This Row],[SATUAN Fix Win]]&lt;&gt;"","GD01")</f>
        <v>GD01</v>
      </c>
      <c r="BK201" s="55">
        <f>IF(Table43[[#This Row],[SATUAN Fix Win]]&lt;&gt;"",11611)</f>
        <v>11611</v>
      </c>
      <c r="BL201" s="55">
        <f>IF(Table43[[#This Row],[SATUAN Fix Win]]&lt;&gt;"",11612)</f>
        <v>11612</v>
      </c>
      <c r="BM201" s="55"/>
      <c r="BN201" s="55">
        <f>IF(Table43[[#This Row],[SATUAN Fix Win]]&lt;&gt;"",1)</f>
        <v>1</v>
      </c>
      <c r="BO201" s="4" t="s">
        <v>637</v>
      </c>
      <c r="BP201" s="55"/>
      <c r="BQ201" s="55"/>
      <c r="BR201" s="55"/>
    </row>
    <row r="202" spans="1:70" s="69" customFormat="1">
      <c r="A202" s="55" t="str">
        <f>CONCATENATE(Table43[[#This Row],[Kode BARANG Win2]],Table43[[#This Row],[No. Urut
Item Sama]])</f>
        <v>F40732080060203</v>
      </c>
      <c r="B202" s="56">
        <v>3</v>
      </c>
      <c r="C202" s="4">
        <v>159</v>
      </c>
      <c r="D202" s="70" t="s">
        <v>1082</v>
      </c>
      <c r="E202" s="70" t="s">
        <v>629</v>
      </c>
      <c r="F202" s="70" t="s">
        <v>1069</v>
      </c>
      <c r="G202" s="70">
        <v>18</v>
      </c>
      <c r="H202" s="71">
        <v>8992946533508</v>
      </c>
      <c r="I202" s="70" t="str">
        <f>Table43[[#This Row],[Nama Jenis Kemasan]]</f>
        <v>PACK</v>
      </c>
      <c r="J202" s="55" t="str">
        <f>TRIM(CONCATENATE(Table43[[#This Row],[Nama            KLP]]," ",Table43[[#This Row],[Nama            Sub KLP]]))</f>
        <v>ZEN SABUN</v>
      </c>
      <c r="K202" s="55" t="str">
        <f>CONCATENATE(Table43[[#This Row],[kode  2 Digit                (hrf+No)]],Table43[[#This Row],[kode  2 Digit                (Nomor)]],Table43[[#This Row],[kode  1 Digit                (Nomor)]])</f>
        <v>F4073</v>
      </c>
      <c r="L202" s="55" t="str">
        <f>IF(AG202="",CONCATENATE(Q202,S202,U202,W202,Y202,AA202,AC202,AE202,Table43[[#This Row],[Tanda Kode Revisi]]),CONCATENATE(Q202,S202,U202,W202,Y202,AA202,AC202,AG202))</f>
        <v>F4073208006020</v>
      </c>
      <c r="M202" s="59">
        <f t="shared" si="18"/>
        <v>14</v>
      </c>
      <c r="N202" s="60" t="str">
        <f>IF(AF202&lt;&gt;"",TRIM(UPPER(CONCATENATE(P202," ",R202," ",T202," ",V202," ",X202," ",Z202," ","X"," ",Table43[[#This Row],[ISI/CTN]]," ",AF202," ",AB202," ",AD202," ",AH202))),TRIM(UPPER(CONCATENATE(P202," ",R202," ",T202," ",V202," ",X202," ",Z202," ","X"," ",Table43[[#This Row],[ISI/CTN]]," ",AB202," ",AD202," ",AH202))))</f>
        <v>ZEN SABUN 4P SHISO &amp; TEA TREE 60G X 18 PACK</v>
      </c>
      <c r="O202" s="59">
        <f t="shared" si="19"/>
        <v>43</v>
      </c>
      <c r="P202" s="55"/>
      <c r="Q202" s="56" t="s">
        <v>662</v>
      </c>
      <c r="R202" s="55" t="s">
        <v>629</v>
      </c>
      <c r="S202" s="61" t="s">
        <v>756</v>
      </c>
      <c r="T202" s="62" t="s">
        <v>665</v>
      </c>
      <c r="U202" s="56">
        <v>3</v>
      </c>
      <c r="V202" s="62" t="s">
        <v>1066</v>
      </c>
      <c r="W202" s="61" t="s">
        <v>1067</v>
      </c>
      <c r="X202" s="55" t="s">
        <v>724</v>
      </c>
      <c r="Y202" s="61" t="s">
        <v>757</v>
      </c>
      <c r="Z202" s="55" t="s">
        <v>772</v>
      </c>
      <c r="AA202" s="61" t="s">
        <v>762</v>
      </c>
      <c r="AB202" s="55" t="s">
        <v>736</v>
      </c>
      <c r="AC202" s="56">
        <v>2</v>
      </c>
      <c r="AD202" s="55"/>
      <c r="AE202" s="56">
        <v>0</v>
      </c>
      <c r="AF202" s="56"/>
      <c r="AG202" s="56"/>
      <c r="AH202" s="56"/>
      <c r="AI202" s="56" t="s">
        <v>179</v>
      </c>
      <c r="AJ202" s="56">
        <v>1</v>
      </c>
      <c r="AK202" s="56"/>
      <c r="AL202" s="64">
        <v>8675.0990990990995</v>
      </c>
      <c r="AM202" s="64">
        <f>Table43[[#This Row],[Harga Beli Pcs
(-PPN)]]*Table43[[#This Row],[ISI/CTN]]</f>
        <v>156151.78378378379</v>
      </c>
      <c r="AN202" s="64">
        <f>Table43[[#This Row],[Harga Beli Pcs
(-PPN)]]*1.11</f>
        <v>9629.36</v>
      </c>
      <c r="AO202" s="64">
        <f>Table43[[#This Row],[Harga Beli Krt
(- PPN)]]*1.11</f>
        <v>173328.48</v>
      </c>
      <c r="AP202" s="64">
        <v>9369.3693693693695</v>
      </c>
      <c r="AQ202" s="64">
        <f>Table43[[#This Row],[Harga Jual Pcs GT
(-PPN)]]*Table43[[#This Row],[ISI/CTN]]</f>
        <v>168648.64864864864</v>
      </c>
      <c r="AR202" s="64">
        <f>Table43[[#This Row],[Harga Jual Pcs GT
(-PPN)]]*1.11</f>
        <v>10400.000000000002</v>
      </c>
      <c r="AS202" s="64">
        <f>Table43[[#This Row],[Harga Jual Krt GT
(- PPN)]]*1.11</f>
        <v>187200</v>
      </c>
      <c r="AT202" s="64"/>
      <c r="AU202" s="64">
        <f>Table43[[#This Row],[Harga Jual Pcs MT
(-PPN)]]*Table43[[#This Row],[ISI/CTN]]</f>
        <v>0</v>
      </c>
      <c r="AV202" s="64">
        <f>Table43[[#This Row],[Harga Jual Pcs MT
(-PPN)]]*1.11</f>
        <v>0</v>
      </c>
      <c r="AW202" s="64">
        <f>Table43[[#This Row],[Harga Jual Pcs MT
(+PPN)]]*Table43[[#This Row],[ISI/CTN]]</f>
        <v>0</v>
      </c>
      <c r="AX202" s="72">
        <f>IFERROR((Table43[[#This Row],[Harga Jual Pcs GT
(-PPN)]]-Table43[[#This Row],[Harga Beli Pcs
(-PPN)]])/Table43[[#This Row],[Harga Jual Pcs GT
(-PPN)]],0)</f>
        <v>7.4099999999999971E-2</v>
      </c>
      <c r="AY202" s="67">
        <v>45864</v>
      </c>
      <c r="AZ202" s="56"/>
      <c r="BA202" s="56" t="str">
        <f ca="1">IF(TODAY()-Table43[[#This Row],[Efektif
Pembuatan]]&gt;60,"Lama","Baru")</f>
        <v>Lama</v>
      </c>
      <c r="BB202" s="56" t="str">
        <f ca="1">IF(TODAY()-Table43[[#This Row],[Efektif Naik Harga]]&lt;30,"Naik","Sama")</f>
        <v>Sama</v>
      </c>
      <c r="BC202" s="56" t="s">
        <v>185</v>
      </c>
      <c r="BD202" s="56" t="str">
        <f>IF(Table43[[#This Row],[Kode BARANG Win2]]&lt;&gt;"","IDR","")</f>
        <v>IDR</v>
      </c>
      <c r="BE202" s="56" t="str">
        <f>CONCATENATE(Table43[[#This Row],[kode  1 Digit
(Nomor)]],Table43[[#This Row],[kode  4 Digit                (Nomor)]])</f>
        <v>10060</v>
      </c>
      <c r="BF202" s="56" t="str">
        <f>Table43[[#This Row],[Nama            Gramasi atau Jumlah Pack per CTN]]</f>
        <v>60G</v>
      </c>
      <c r="BG202" s="56"/>
      <c r="BH202" s="56"/>
      <c r="BI202" s="55" t="str">
        <f>IF(Table43[[#This Row],[SATUAN Fix Win]]&lt;&gt;"","KRT")</f>
        <v>KRT</v>
      </c>
      <c r="BJ202" s="55" t="str">
        <f>IF(Table43[[#This Row],[SATUAN Fix Win]]&lt;&gt;"","GD01")</f>
        <v>GD01</v>
      </c>
      <c r="BK202" s="55">
        <f>IF(Table43[[#This Row],[SATUAN Fix Win]]&lt;&gt;"",11611)</f>
        <v>11611</v>
      </c>
      <c r="BL202" s="55">
        <f>IF(Table43[[#This Row],[SATUAN Fix Win]]&lt;&gt;"",11612)</f>
        <v>11612</v>
      </c>
      <c r="BM202" s="55"/>
      <c r="BN202" s="55">
        <f>IF(Table43[[#This Row],[SATUAN Fix Win]]&lt;&gt;"",1)</f>
        <v>1</v>
      </c>
      <c r="BO202" s="4" t="s">
        <v>637</v>
      </c>
      <c r="BP202" s="55"/>
      <c r="BQ202" s="55"/>
      <c r="BR202" s="55"/>
    </row>
    <row r="203" spans="1:70" s="69" customFormat="1">
      <c r="A203" s="4" t="str">
        <f>CONCATENATE(Table43[[#This Row],[Kode BARANG Win2]],Table43[[#This Row],[No. Urut
Item Sama]])</f>
        <v>F40731010070101</v>
      </c>
      <c r="B203" s="7">
        <v>1</v>
      </c>
      <c r="C203" s="4">
        <v>160</v>
      </c>
      <c r="D203" s="27"/>
      <c r="E203" s="27" t="s">
        <v>1070</v>
      </c>
      <c r="F203" s="27" t="s">
        <v>1071</v>
      </c>
      <c r="G203" s="27">
        <v>12</v>
      </c>
      <c r="H203" s="54">
        <v>8992946534819</v>
      </c>
      <c r="I203" s="27" t="str">
        <f>Table43[[#This Row],[Nama Jenis Kemasan]]</f>
        <v>BOX</v>
      </c>
      <c r="J203" s="4" t="str">
        <f>TRIM(CONCATENATE(Table43[[#This Row],[Nama            KLP]]," ",Table43[[#This Row],[Nama            Sub KLP]]))</f>
        <v>ZEN SABUN</v>
      </c>
      <c r="K203" s="4" t="str">
        <f>CONCATENATE(Table43[[#This Row],[kode  2 Digit                (hrf+No)]],Table43[[#This Row],[kode  2 Digit                (Nomor)]],Table43[[#This Row],[kode  1 Digit                (Nomor)]])</f>
        <v>F4073</v>
      </c>
      <c r="L203" s="4" t="str">
        <f>IF(AG203="",CONCATENATE(Q203,S203,U203,W203,Y203,AA203,AC203,AE203,Table43[[#This Row],[Tanda Kode Revisi]]),CONCATENATE(Q203,S203,U203,W203,Y203,AA203,AC203,AG203))</f>
        <v>F4073101007010</v>
      </c>
      <c r="M203" s="11">
        <f t="shared" si="18"/>
        <v>14</v>
      </c>
      <c r="N203" s="14" t="str">
        <f>IF(AF203&lt;&gt;"",TRIM(UPPER(CONCATENATE(P203," ",R203," ",T203," ",V203," ",X203," ",Z203," ","X"," ",Table43[[#This Row],[ISI/CTN]]," ",AF203," ",AB203," ",AD203," ",AH203))),TRIM(UPPER(CONCATENATE(P203," ",R203," ",T203," ",V203," ",X203," ",Z203," ","X"," ",Table43[[#This Row],[ISI/CTN]]," ",AB203," ",AD203," ",AH203))))</f>
        <v>ZEN SABUN LUNCH MIX 70G X 12 BOX</v>
      </c>
      <c r="O203" s="11">
        <f t="shared" si="19"/>
        <v>32</v>
      </c>
      <c r="P203" s="4"/>
      <c r="Q203" s="7" t="s">
        <v>662</v>
      </c>
      <c r="R203" s="4" t="s">
        <v>629</v>
      </c>
      <c r="S203" s="48" t="s">
        <v>756</v>
      </c>
      <c r="T203" s="49" t="s">
        <v>665</v>
      </c>
      <c r="U203" s="7">
        <v>3</v>
      </c>
      <c r="V203" s="49" t="s">
        <v>664</v>
      </c>
      <c r="W203" s="48" t="s">
        <v>750</v>
      </c>
      <c r="X203" s="4" t="s">
        <v>704</v>
      </c>
      <c r="Y203" s="48" t="s">
        <v>749</v>
      </c>
      <c r="Z203" s="4" t="s">
        <v>771</v>
      </c>
      <c r="AA203" s="48" t="s">
        <v>738</v>
      </c>
      <c r="AB203" s="4" t="s">
        <v>735</v>
      </c>
      <c r="AC203" s="7">
        <v>1</v>
      </c>
      <c r="AD203" s="4"/>
      <c r="AE203" s="7">
        <v>0</v>
      </c>
      <c r="AF203" s="7"/>
      <c r="AG203" s="7"/>
      <c r="AH203" s="7"/>
      <c r="AI203" s="7" t="s">
        <v>179</v>
      </c>
      <c r="AJ203" s="7">
        <v>1</v>
      </c>
      <c r="AK203" s="7"/>
      <c r="AL203" s="38">
        <v>17016.54054054054</v>
      </c>
      <c r="AM203" s="38">
        <f>Table43[[#This Row],[Harga Beli Pcs
(-PPN)]]*Table43[[#This Row],[ISI/CTN]]</f>
        <v>204198.48648648648</v>
      </c>
      <c r="AN203" s="38">
        <f>Table43[[#This Row],[Harga Beli Pcs
(-PPN)]]*1.11</f>
        <v>18888.36</v>
      </c>
      <c r="AO203" s="38">
        <f>Table43[[#This Row],[Harga Beli Krt
(- PPN)]]*1.11</f>
        <v>226660.32</v>
      </c>
      <c r="AP203" s="38">
        <v>18378.378378378377</v>
      </c>
      <c r="AQ203" s="38">
        <f>Table43[[#This Row],[Harga Jual Pcs GT
(-PPN)]]*Table43[[#This Row],[ISI/CTN]]</f>
        <v>220540.54054054053</v>
      </c>
      <c r="AR203" s="38">
        <f>Table43[[#This Row],[Harga Jual Pcs GT
(-PPN)]]*1.11</f>
        <v>20400</v>
      </c>
      <c r="AS203" s="38">
        <f>Table43[[#This Row],[Harga Jual Krt GT
(- PPN)]]*1.11</f>
        <v>244800</v>
      </c>
      <c r="AT203" s="38"/>
      <c r="AU203" s="38">
        <f>Table43[[#This Row],[Harga Jual Pcs MT
(-PPN)]]*Table43[[#This Row],[ISI/CTN]]</f>
        <v>0</v>
      </c>
      <c r="AV203" s="38">
        <f>Table43[[#This Row],[Harga Jual Pcs MT
(-PPN)]]*1.11</f>
        <v>0</v>
      </c>
      <c r="AW203" s="38">
        <f>Table43[[#This Row],[Harga Jual Pcs MT
(+PPN)]]*Table43[[#This Row],[ISI/CTN]]</f>
        <v>0</v>
      </c>
      <c r="AX203" s="74">
        <f>IFERROR((Table43[[#This Row],[Harga Jual Pcs GT
(-PPN)]]-Table43[[#This Row],[Harga Beli Pcs
(-PPN)]])/Table43[[#This Row],[Harga Jual Pcs GT
(-PPN)]],0)</f>
        <v>7.4099999999999944E-2</v>
      </c>
      <c r="AY203" s="51"/>
      <c r="AZ203" s="7"/>
      <c r="BA203" s="7" t="str">
        <f ca="1">IF(TODAY()-Table43[[#This Row],[Efektif
Pembuatan]]&gt;60,"Lama","Baru")</f>
        <v>Lama</v>
      </c>
      <c r="BB203" s="7" t="str">
        <f ca="1">IF(TODAY()-Table43[[#This Row],[Efektif Naik Harga]]&lt;30,"Naik","Sama")</f>
        <v>Sama</v>
      </c>
      <c r="BC203" s="7" t="s">
        <v>1094</v>
      </c>
      <c r="BD203" s="7" t="str">
        <f>IF(Table43[[#This Row],[Kode BARANG Win2]]&lt;&gt;"","IDR","")</f>
        <v>IDR</v>
      </c>
      <c r="BE203" s="7" t="str">
        <f>CONCATENATE(Table43[[#This Row],[kode  1 Digit
(Nomor)]],Table43[[#This Row],[kode  4 Digit                (Nomor)]])</f>
        <v>10070</v>
      </c>
      <c r="BF203" s="7" t="str">
        <f>Table43[[#This Row],[Nama            Gramasi atau Jumlah Pack per CTN]]</f>
        <v>70G</v>
      </c>
      <c r="BG203" s="7"/>
      <c r="BH203" s="7"/>
      <c r="BI203" s="4" t="str">
        <f>IF(Table43[[#This Row],[SATUAN Fix Win]]&lt;&gt;"","KRT")</f>
        <v>KRT</v>
      </c>
      <c r="BJ203" s="4" t="str">
        <f>IF(Table43[[#This Row],[SATUAN Fix Win]]&lt;&gt;"","GD01")</f>
        <v>GD01</v>
      </c>
      <c r="BK203" s="4">
        <f>IF(Table43[[#This Row],[SATUAN Fix Win]]&lt;&gt;"",11611)</f>
        <v>11611</v>
      </c>
      <c r="BL203" s="4">
        <f>IF(Table43[[#This Row],[SATUAN Fix Win]]&lt;&gt;"",11612)</f>
        <v>11612</v>
      </c>
      <c r="BM203" s="4"/>
      <c r="BN203" s="4">
        <f>IF(Table43[[#This Row],[SATUAN Fix Win]]&lt;&gt;"",1)</f>
        <v>1</v>
      </c>
      <c r="BO203" s="4"/>
      <c r="BP203" s="55"/>
      <c r="BQ203" s="55"/>
      <c r="BR203" s="55"/>
    </row>
    <row r="204" spans="1:70" s="69" customFormat="1">
      <c r="A204" s="55" t="str">
        <f>CONCATENATE(Table43[[#This Row],[Kode BARANG Win2]],Table43[[#This Row],[No. Urut
Item Sama]])</f>
        <v>F4073101007010N1</v>
      </c>
      <c r="B204" s="56">
        <v>1</v>
      </c>
      <c r="C204" s="4">
        <v>161</v>
      </c>
      <c r="D204" s="70" t="s">
        <v>399</v>
      </c>
      <c r="E204" s="70" t="s">
        <v>1070</v>
      </c>
      <c r="F204" s="70" t="s">
        <v>1071</v>
      </c>
      <c r="G204" s="70">
        <v>6</v>
      </c>
      <c r="H204" s="71">
        <v>8992946534819</v>
      </c>
      <c r="I204" s="70" t="str">
        <f>Table43[[#This Row],[Nama Jenis Kemasan]]</f>
        <v>BOX</v>
      </c>
      <c r="J204" s="55" t="str">
        <f>TRIM(CONCATENATE(Table43[[#This Row],[Nama            KLP]]," ",Table43[[#This Row],[Nama            Sub KLP]]))</f>
        <v>ZEN SABUN</v>
      </c>
      <c r="K204" s="55" t="str">
        <f>CONCATENATE(Table43[[#This Row],[kode  2 Digit                (hrf+No)]],Table43[[#This Row],[kode  2 Digit                (Nomor)]],Table43[[#This Row],[kode  1 Digit                (Nomor)]])</f>
        <v>F4073</v>
      </c>
      <c r="L204" s="55" t="str">
        <f>IF(AG204="",CONCATENATE(Q204,S204,U204,W204,Y204,AA204,AC204,AE204,Table43[[#This Row],[Tanda Kode Revisi]]),CONCATENATE(Q204,S204,U204,W204,Y204,AA204,AC204,AG204))</f>
        <v>F4073101007010N</v>
      </c>
      <c r="M204" s="59">
        <f t="shared" si="18"/>
        <v>15</v>
      </c>
      <c r="N204" s="60" t="str">
        <f>IF(AF204&lt;&gt;"",TRIM(UPPER(CONCATENATE(P204," ",R204," ",T204," ",V204," ",X204," ",Z204," ","X"," ",Table43[[#This Row],[ISI/CTN]]," ",AF204," ",AB204," ",AD204," ",AH204))),TRIM(UPPER(CONCATENATE(P204," ",R204," ",T204," ",V204," ",X204," ",Z204," ","X"," ",Table43[[#This Row],[ISI/CTN]]," ",AB204," ",AD204," ",AH204))))</f>
        <v>ZEN SABUN LUNCH MIX 70G X 6 BOX</v>
      </c>
      <c r="O204" s="59">
        <f t="shared" si="19"/>
        <v>31</v>
      </c>
      <c r="P204" s="55"/>
      <c r="Q204" s="56" t="s">
        <v>662</v>
      </c>
      <c r="R204" s="55" t="s">
        <v>629</v>
      </c>
      <c r="S204" s="61" t="s">
        <v>756</v>
      </c>
      <c r="T204" s="62" t="s">
        <v>665</v>
      </c>
      <c r="U204" s="56">
        <v>3</v>
      </c>
      <c r="V204" s="62" t="s">
        <v>664</v>
      </c>
      <c r="W204" s="61" t="s">
        <v>750</v>
      </c>
      <c r="X204" s="55" t="s">
        <v>704</v>
      </c>
      <c r="Y204" s="61" t="s">
        <v>749</v>
      </c>
      <c r="Z204" s="55" t="s">
        <v>771</v>
      </c>
      <c r="AA204" s="61" t="s">
        <v>738</v>
      </c>
      <c r="AB204" s="55" t="s">
        <v>735</v>
      </c>
      <c r="AC204" s="56">
        <v>1</v>
      </c>
      <c r="AD204" s="55"/>
      <c r="AE204" s="56">
        <v>0</v>
      </c>
      <c r="AF204" s="56"/>
      <c r="AG204" s="56"/>
      <c r="AH204" s="56"/>
      <c r="AI204" s="56" t="s">
        <v>179</v>
      </c>
      <c r="AJ204" s="56">
        <v>1</v>
      </c>
      <c r="AK204" s="56" t="s">
        <v>1091</v>
      </c>
      <c r="AL204" s="64">
        <v>34033.08108108108</v>
      </c>
      <c r="AM204" s="64">
        <f>Table43[[#This Row],[Harga Beli Pcs
(-PPN)]]*Table43[[#This Row],[ISI/CTN]]</f>
        <v>204198.48648648648</v>
      </c>
      <c r="AN204" s="64">
        <f>Table43[[#This Row],[Harga Beli Pcs
(-PPN)]]*1.11</f>
        <v>37776.720000000001</v>
      </c>
      <c r="AO204" s="64">
        <f>Table43[[#This Row],[Harga Beli Krt
(- PPN)]]*1.11</f>
        <v>226660.32</v>
      </c>
      <c r="AP204" s="64">
        <v>36756.756756756753</v>
      </c>
      <c r="AQ204" s="64">
        <f>Table43[[#This Row],[Harga Jual Pcs GT
(-PPN)]]*Table43[[#This Row],[ISI/CTN]]</f>
        <v>220540.54054054053</v>
      </c>
      <c r="AR204" s="64">
        <f>Table43[[#This Row],[Harga Jual Pcs GT
(-PPN)]]*1.11</f>
        <v>40800</v>
      </c>
      <c r="AS204" s="64">
        <f>Table43[[#This Row],[Harga Jual Krt GT
(- PPN)]]*1.11</f>
        <v>244800</v>
      </c>
      <c r="AT204" s="64"/>
      <c r="AU204" s="64">
        <f>Table43[[#This Row],[Harga Jual Pcs MT
(-PPN)]]*Table43[[#This Row],[ISI/CTN]]</f>
        <v>0</v>
      </c>
      <c r="AV204" s="64">
        <f>Table43[[#This Row],[Harga Jual Pcs MT
(-PPN)]]*1.11</f>
        <v>0</v>
      </c>
      <c r="AW204" s="64">
        <f>Table43[[#This Row],[Harga Jual Pcs MT
(+PPN)]]*Table43[[#This Row],[ISI/CTN]]</f>
        <v>0</v>
      </c>
      <c r="AX204" s="72">
        <f>IFERROR((Table43[[#This Row],[Harga Jual Pcs GT
(-PPN)]]-Table43[[#This Row],[Harga Beli Pcs
(-PPN)]])/Table43[[#This Row],[Harga Jual Pcs GT
(-PPN)]],0)</f>
        <v>7.4099999999999944E-2</v>
      </c>
      <c r="AY204" s="67">
        <v>45864</v>
      </c>
      <c r="AZ204" s="56"/>
      <c r="BA204" s="56" t="str">
        <f ca="1">IF(TODAY()-Table43[[#This Row],[Efektif
Pembuatan]]&gt;60,"Lama","Baru")</f>
        <v>Lama</v>
      </c>
      <c r="BB204" s="56" t="str">
        <f ca="1">IF(TODAY()-Table43[[#This Row],[Efektif Naik Harga]]&lt;30,"Naik","Sama")</f>
        <v>Sama</v>
      </c>
      <c r="BC204" s="56" t="s">
        <v>185</v>
      </c>
      <c r="BD204" s="56" t="str">
        <f>IF(Table43[[#This Row],[Kode BARANG Win2]]&lt;&gt;"","IDR","")</f>
        <v>IDR</v>
      </c>
      <c r="BE204" s="56" t="str">
        <f>CONCATENATE(Table43[[#This Row],[kode  1 Digit
(Nomor)]],Table43[[#This Row],[kode  4 Digit                (Nomor)]])</f>
        <v>10070</v>
      </c>
      <c r="BF204" s="56" t="str">
        <f>Table43[[#This Row],[Nama            Gramasi atau Jumlah Pack per CTN]]</f>
        <v>70G</v>
      </c>
      <c r="BG204" s="56"/>
      <c r="BH204" s="56"/>
      <c r="BI204" s="55" t="str">
        <f>IF(Table43[[#This Row],[SATUAN Fix Win]]&lt;&gt;"","KRT")</f>
        <v>KRT</v>
      </c>
      <c r="BJ204" s="55" t="str">
        <f>IF(Table43[[#This Row],[SATUAN Fix Win]]&lt;&gt;"","GD01")</f>
        <v>GD01</v>
      </c>
      <c r="BK204" s="55">
        <f>IF(Table43[[#This Row],[SATUAN Fix Win]]&lt;&gt;"",11611)</f>
        <v>11611</v>
      </c>
      <c r="BL204" s="55">
        <f>IF(Table43[[#This Row],[SATUAN Fix Win]]&lt;&gt;"",11612)</f>
        <v>11612</v>
      </c>
      <c r="BM204" s="55"/>
      <c r="BN204" s="55">
        <f>IF(Table43[[#This Row],[SATUAN Fix Win]]&lt;&gt;"",1)</f>
        <v>1</v>
      </c>
      <c r="BO204" s="4" t="s">
        <v>637</v>
      </c>
      <c r="BP204" s="55"/>
      <c r="BQ204" s="55"/>
      <c r="BR204" s="55"/>
    </row>
    <row r="205" spans="1:70">
      <c r="A205" s="4" t="str">
        <f>CONCATENATE(Table43[[#This Row],[Kode BARANG Win2]],Table43[[#This Row],[No. Urut
Item Sama]])</f>
        <v/>
      </c>
      <c r="B205" s="7"/>
      <c r="D205" s="109"/>
      <c r="E205" s="109"/>
      <c r="F205" s="109" t="s">
        <v>1279</v>
      </c>
      <c r="G205" s="109"/>
      <c r="H205" s="110"/>
      <c r="I205" s="109">
        <f>Table43[[#This Row],[Nama Jenis Kemasan]]</f>
        <v>0</v>
      </c>
      <c r="J205" s="4" t="str">
        <f>TRIM(CONCATENATE(Table43[[#This Row],[Nama            KLP]]," ",Table43[[#This Row],[Nama            Sub KLP]]))</f>
        <v/>
      </c>
      <c r="K205" s="4" t="str">
        <f>CONCATENATE(Table43[[#This Row],[kode  2 Digit                (hrf+No)]],Table43[[#This Row],[kode  2 Digit                (Nomor)]],Table43[[#This Row],[kode  1 Digit                (Nomor)]])</f>
        <v/>
      </c>
      <c r="L205" s="4" t="str">
        <f>IF(AG205="",CONCATENATE(Q205,S205,U205,W205,Y205,AA205,AC205,AE205,Table43[[#This Row],[Tanda Kode Revisi]]),CONCATENATE(Q205,S205,U205,W205,Y205,AA205,AC205,AG205))</f>
        <v/>
      </c>
      <c r="M205" s="11">
        <f>LEN(L205)</f>
        <v>0</v>
      </c>
      <c r="N205" s="14" t="str">
        <f>IF(AF205&lt;&gt;"",TRIM(UPPER(CONCATENATE(P205," ",R205," ",T205," ",V205," ",X205," ",Z205," ","X"," ",Table43[[#This Row],[ISI/CTN]]," ",AF205," ",AB205," ",AD205," ",AH205))),TRIM(UPPER(CONCATENATE(P205," ",R205," ",T205," ",V205," ",X205," ",Z205," ","X"," ",Table43[[#This Row],[ISI/CTN]]," ",AB205," ",AD205," ",AH205))))</f>
        <v>X</v>
      </c>
      <c r="O205" s="11">
        <f>LEN(N205)</f>
        <v>1</v>
      </c>
      <c r="S205" s="48"/>
      <c r="T205" s="49"/>
      <c r="V205" s="49"/>
      <c r="W205" s="48"/>
      <c r="Y205" s="48"/>
      <c r="AA205" s="48"/>
      <c r="AL205" s="38"/>
      <c r="AM205" s="38">
        <f>Table43[[#This Row],[Harga Beli Pcs
(-PPN)]]*Table43[[#This Row],[ISI/CTN]]</f>
        <v>0</v>
      </c>
      <c r="AN205" s="38">
        <f>Table43[[#This Row],[Harga Beli Pcs
(-PPN)]]*1.11</f>
        <v>0</v>
      </c>
      <c r="AO205" s="38">
        <f>Table43[[#This Row],[Harga Beli Krt
(- PPN)]]*1.11</f>
        <v>0</v>
      </c>
      <c r="AP205" s="38"/>
      <c r="AQ205" s="38">
        <f>Table43[[#This Row],[Harga Jual Pcs GT
(-PPN)]]*Table43[[#This Row],[ISI/CTN]]</f>
        <v>0</v>
      </c>
      <c r="AR205" s="38">
        <f>Table43[[#This Row],[Harga Jual Pcs GT
(-PPN)]]*1.11</f>
        <v>0</v>
      </c>
      <c r="AS205" s="38">
        <f>Table43[[#This Row],[Harga Jual Krt GT
(- PPN)]]*1.11</f>
        <v>0</v>
      </c>
      <c r="AT205" s="38"/>
      <c r="AU205" s="38">
        <f>Table43[[#This Row],[Harga Jual Pcs MT
(-PPN)]]*Table43[[#This Row],[ISI/CTN]]</f>
        <v>0</v>
      </c>
      <c r="AV205" s="38">
        <f>Table43[[#This Row],[Harga Jual Pcs MT
(-PPN)]]*1.11</f>
        <v>0</v>
      </c>
      <c r="AW205" s="38">
        <f>Table43[[#This Row],[Harga Jual Pcs MT
(+PPN)]]*Table43[[#This Row],[ISI/CTN]]</f>
        <v>0</v>
      </c>
      <c r="AX205" s="74">
        <f>IFERROR((Table43[[#This Row],[Harga Jual Pcs GT
(-PPN)]]-Table43[[#This Row],[Harga Beli Pcs
(-PPN)]])/Table43[[#This Row],[Harga Jual Pcs GT
(-PPN)]],0)</f>
        <v>0</v>
      </c>
      <c r="AY205" s="51"/>
      <c r="AZ205" s="7"/>
      <c r="BA205" s="7" t="str">
        <f ca="1">IF(TODAY()-Table43[[#This Row],[Efektif
Pembuatan]]&gt;60,"Lama","Baru")</f>
        <v>Lama</v>
      </c>
      <c r="BB205" s="7" t="str">
        <f ca="1">IF(TODAY()-Table43[[#This Row],[Efektif Naik Harga]]&lt;30,"Naik","Sama")</f>
        <v>Sama</v>
      </c>
      <c r="BC205" s="7"/>
      <c r="BD205" s="7" t="str">
        <f>IF(Table43[[#This Row],[Kode BARANG Win2]]&lt;&gt;"","IDR","")</f>
        <v/>
      </c>
      <c r="BE205" s="7" t="str">
        <f>CONCATENATE(Table43[[#This Row],[kode  1 Digit
(Nomor)]],Table43[[#This Row],[kode  4 Digit                (Nomor)]])</f>
        <v/>
      </c>
      <c r="BF205" s="7">
        <f>Table43[[#This Row],[Nama            Gramasi atau Jumlah Pack per CTN]]</f>
        <v>0</v>
      </c>
      <c r="BG205" s="7"/>
      <c r="BH205" s="7"/>
      <c r="BI205" s="4" t="str">
        <f>IF(Table43[[#This Row],[SATUAN Fix Win]]&lt;&gt;"","KRT")</f>
        <v>KRT</v>
      </c>
      <c r="BJ205" s="4" t="str">
        <f>IF(Table43[[#This Row],[SATUAN Fix Win]]&lt;&gt;"","GD01")</f>
        <v>GD01</v>
      </c>
      <c r="BK205" s="4">
        <f>IF(Table43[[#This Row],[SATUAN Fix Win]]&lt;&gt;"",11611)</f>
        <v>11611</v>
      </c>
      <c r="BL205" s="4">
        <f>IF(Table43[[#This Row],[SATUAN Fix Win]]&lt;&gt;"",11612)</f>
        <v>11612</v>
      </c>
      <c r="BN205" s="4">
        <f>IF(Table43[[#This Row],[SATUAN Fix Win]]&lt;&gt;"",1)</f>
        <v>1</v>
      </c>
    </row>
  </sheetData>
  <mergeCells count="10">
    <mergeCell ref="BD4:BN4"/>
    <mergeCell ref="D3:G4"/>
    <mergeCell ref="I3:N3"/>
    <mergeCell ref="AL3:AW3"/>
    <mergeCell ref="AY3:AZ4"/>
    <mergeCell ref="K4:O4"/>
    <mergeCell ref="P4:Q4"/>
    <mergeCell ref="AL4:AO4"/>
    <mergeCell ref="AP4:AS4"/>
    <mergeCell ref="AT4:AW4"/>
  </mergeCells>
  <phoneticPr fontId="11" type="noConversion"/>
  <conditionalFormatting sqref="H1:H5">
    <cfRule type="duplicateValues" dxfId="7" priority="535"/>
  </conditionalFormatting>
  <conditionalFormatting sqref="H112:H113">
    <cfRule type="duplicateValues" dxfId="6" priority="1"/>
  </conditionalFormatting>
  <conditionalFormatting sqref="H114:H1048576 H1:H111">
    <cfRule type="duplicateValues" dxfId="5" priority="2"/>
  </conditionalFormatting>
  <conditionalFormatting sqref="L1:L3 K4 L5:L1048576">
    <cfRule type="duplicateValues" dxfId="4" priority="10"/>
  </conditionalFormatting>
  <conditionalFormatting sqref="M6:M205">
    <cfRule type="cellIs" dxfId="3" priority="11" operator="notEqual">
      <formula>14</formula>
    </cfRule>
  </conditionalFormatting>
  <conditionalFormatting sqref="O2">
    <cfRule type="cellIs" dxfId="2" priority="6" operator="greaterThan">
      <formula>0</formula>
    </cfRule>
  </conditionalFormatting>
  <conditionalFormatting sqref="O6:O205">
    <cfRule type="cellIs" dxfId="1" priority="7" operator="greaterThan">
      <formula>50</formula>
    </cfRule>
  </conditionalFormatting>
  <dataValidations disablePrompts="1" count="1">
    <dataValidation type="list" allowBlank="1" showInputMessage="1" showErrorMessage="1" sqref="BC6:BC205" xr:uid="{F2CAA400-F63C-4CD8-A8D8-4437323A6F5D}">
      <formula1>"Aktif, Discontinue"</formula1>
    </dataValidation>
  </dataValidations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AF177"/>
  <sheetViews>
    <sheetView topLeftCell="C13" workbookViewId="0">
      <selection activeCell="E23" sqref="E23"/>
    </sheetView>
  </sheetViews>
  <sheetFormatPr defaultRowHeight="15"/>
  <cols>
    <col min="1" max="1" width="21.5703125" bestFit="1" customWidth="1"/>
    <col min="2" max="2" width="6.140625" bestFit="1" customWidth="1"/>
    <col min="3" max="3" width="12" bestFit="1" customWidth="1"/>
    <col min="4" max="4" width="18.42578125" bestFit="1" customWidth="1"/>
    <col min="5" max="5" width="81.140625" bestFit="1" customWidth="1"/>
    <col min="6" max="6" width="9.85546875" bestFit="1" customWidth="1"/>
    <col min="7" max="7" width="18" bestFit="1" customWidth="1"/>
    <col min="8" max="8" width="25.7109375" bestFit="1" customWidth="1"/>
    <col min="9" max="9" width="21.7109375" bestFit="1" customWidth="1"/>
    <col min="10" max="10" width="21.42578125" bestFit="1" customWidth="1"/>
    <col min="11" max="11" width="57.140625" bestFit="1" customWidth="1"/>
    <col min="12" max="12" width="24.28515625" style="40" bestFit="1" customWidth="1"/>
    <col min="13" max="13" width="24.42578125" style="40" bestFit="1" customWidth="1"/>
    <col min="14" max="14" width="27.140625" style="40" bestFit="1" customWidth="1"/>
    <col min="15" max="15" width="27.28515625" style="40" bestFit="1" customWidth="1"/>
    <col min="16" max="16" width="27.5703125" style="40" bestFit="1" customWidth="1"/>
    <col min="17" max="17" width="27.85546875" style="40" bestFit="1" customWidth="1"/>
    <col min="18" max="18" width="20.7109375" bestFit="1" customWidth="1"/>
    <col min="19" max="19" width="19.14062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>
      <c r="A1" t="s">
        <v>143</v>
      </c>
      <c r="B1" t="s">
        <v>11</v>
      </c>
      <c r="C1" t="s">
        <v>0</v>
      </c>
      <c r="D1" t="s">
        <v>8</v>
      </c>
      <c r="E1" t="s">
        <v>7</v>
      </c>
      <c r="F1" t="s">
        <v>4</v>
      </c>
      <c r="G1" t="s">
        <v>12</v>
      </c>
      <c r="H1" t="s">
        <v>36</v>
      </c>
      <c r="I1" t="s">
        <v>171</v>
      </c>
      <c r="J1" t="s">
        <v>29</v>
      </c>
      <c r="K1" t="s">
        <v>21</v>
      </c>
      <c r="L1" s="40" t="s">
        <v>40</v>
      </c>
      <c r="M1" s="40" t="s">
        <v>39</v>
      </c>
      <c r="N1" s="40" t="s">
        <v>131</v>
      </c>
      <c r="O1" s="40" t="s">
        <v>132</v>
      </c>
      <c r="P1" s="40" t="s">
        <v>135</v>
      </c>
      <c r="Q1" s="40" t="s">
        <v>136</v>
      </c>
      <c r="R1" t="s">
        <v>117</v>
      </c>
      <c r="S1" t="s">
        <v>118</v>
      </c>
      <c r="T1" t="s">
        <v>121</v>
      </c>
      <c r="U1" t="s">
        <v>122</v>
      </c>
      <c r="V1" t="s">
        <v>119</v>
      </c>
      <c r="W1" t="s">
        <v>142</v>
      </c>
      <c r="X1" t="s">
        <v>175</v>
      </c>
      <c r="Y1" t="s">
        <v>123</v>
      </c>
      <c r="Z1" t="s">
        <v>172</v>
      </c>
      <c r="AA1" t="s">
        <v>124</v>
      </c>
      <c r="AB1" t="s">
        <v>125</v>
      </c>
      <c r="AC1" t="s">
        <v>127</v>
      </c>
      <c r="AD1" t="s">
        <v>128</v>
      </c>
      <c r="AE1" t="s">
        <v>129</v>
      </c>
      <c r="AF1" t="s">
        <v>120</v>
      </c>
    </row>
    <row r="2" spans="1:32">
      <c r="A2">
        <v>1</v>
      </c>
      <c r="B2">
        <v>1</v>
      </c>
      <c r="C2" t="s">
        <v>384</v>
      </c>
      <c r="D2" t="s">
        <v>626</v>
      </c>
      <c r="E2" t="s">
        <v>505</v>
      </c>
      <c r="F2">
        <v>6</v>
      </c>
      <c r="G2" t="s">
        <v>735</v>
      </c>
      <c r="H2" t="s">
        <v>906</v>
      </c>
      <c r="I2" t="s">
        <v>1019</v>
      </c>
      <c r="J2" t="s">
        <v>789</v>
      </c>
      <c r="K2" t="s">
        <v>905</v>
      </c>
      <c r="L2" s="40">
        <v>30029.189189189186</v>
      </c>
      <c r="M2" s="40">
        <v>180175</v>
      </c>
      <c r="N2" s="40">
        <v>32432</v>
      </c>
      <c r="O2" s="40">
        <v>194595</v>
      </c>
      <c r="Q2" s="40">
        <v>0</v>
      </c>
      <c r="R2" s="35">
        <v>45848</v>
      </c>
      <c r="T2" t="s">
        <v>1214</v>
      </c>
      <c r="U2" t="s">
        <v>126</v>
      </c>
      <c r="V2" t="s">
        <v>139</v>
      </c>
      <c r="W2">
        <v>10070</v>
      </c>
      <c r="X2" t="s">
        <v>771</v>
      </c>
      <c r="Y2" t="s">
        <v>1060</v>
      </c>
      <c r="Z2" t="s">
        <v>377</v>
      </c>
      <c r="AA2" t="s">
        <v>140</v>
      </c>
      <c r="AB2" t="s">
        <v>141</v>
      </c>
      <c r="AC2">
        <v>11611</v>
      </c>
      <c r="AD2">
        <v>11612</v>
      </c>
      <c r="AE2">
        <v>101</v>
      </c>
      <c r="AF2">
        <v>1</v>
      </c>
    </row>
    <row r="3" spans="1:32">
      <c r="A3">
        <v>1</v>
      </c>
      <c r="B3">
        <v>2</v>
      </c>
      <c r="C3" t="s">
        <v>407</v>
      </c>
      <c r="D3" t="s">
        <v>626</v>
      </c>
      <c r="E3" t="s">
        <v>528</v>
      </c>
      <c r="F3">
        <v>24</v>
      </c>
      <c r="G3" t="s">
        <v>671</v>
      </c>
      <c r="H3" t="s">
        <v>1020</v>
      </c>
      <c r="I3" t="s">
        <v>1021</v>
      </c>
      <c r="J3" t="s">
        <v>790</v>
      </c>
      <c r="K3" t="s">
        <v>907</v>
      </c>
      <c r="L3" s="40">
        <v>21937.990990990987</v>
      </c>
      <c r="M3" s="40">
        <v>526512</v>
      </c>
      <c r="N3" s="40">
        <v>23694</v>
      </c>
      <c r="O3" s="40">
        <v>568649</v>
      </c>
      <c r="Q3" s="40">
        <v>0</v>
      </c>
      <c r="R3" s="35">
        <v>45848</v>
      </c>
      <c r="T3" t="s">
        <v>1214</v>
      </c>
      <c r="U3" t="s">
        <v>126</v>
      </c>
      <c r="V3" t="s">
        <v>139</v>
      </c>
      <c r="W3">
        <v>20400</v>
      </c>
      <c r="X3" t="s">
        <v>670</v>
      </c>
      <c r="Y3" t="s">
        <v>1060</v>
      </c>
      <c r="Z3" t="s">
        <v>377</v>
      </c>
      <c r="AA3" t="s">
        <v>140</v>
      </c>
      <c r="AB3" t="s">
        <v>141</v>
      </c>
      <c r="AC3">
        <v>11611</v>
      </c>
      <c r="AD3">
        <v>11612</v>
      </c>
      <c r="AE3">
        <v>101</v>
      </c>
      <c r="AF3">
        <v>1</v>
      </c>
    </row>
    <row r="4" spans="1:32">
      <c r="A4">
        <v>1</v>
      </c>
      <c r="B4">
        <v>3</v>
      </c>
      <c r="C4" t="s">
        <v>409</v>
      </c>
      <c r="D4" t="s">
        <v>626</v>
      </c>
      <c r="E4" t="s">
        <v>530</v>
      </c>
      <c r="F4">
        <v>24</v>
      </c>
      <c r="G4" t="s">
        <v>671</v>
      </c>
      <c r="H4" t="s">
        <v>1020</v>
      </c>
      <c r="I4" t="s">
        <v>1021</v>
      </c>
      <c r="J4" t="s">
        <v>791</v>
      </c>
      <c r="K4" t="s">
        <v>908</v>
      </c>
      <c r="L4" s="40">
        <v>21937.990990990987</v>
      </c>
      <c r="M4" s="40">
        <v>526512</v>
      </c>
      <c r="N4" s="40">
        <v>23694</v>
      </c>
      <c r="O4" s="40">
        <v>568649</v>
      </c>
      <c r="Q4" s="40">
        <v>0</v>
      </c>
      <c r="R4" s="35">
        <v>45848</v>
      </c>
      <c r="T4" t="s">
        <v>1214</v>
      </c>
      <c r="U4" t="s">
        <v>126</v>
      </c>
      <c r="V4" t="s">
        <v>139</v>
      </c>
      <c r="W4">
        <v>20400</v>
      </c>
      <c r="X4" t="s">
        <v>670</v>
      </c>
      <c r="Y4" t="s">
        <v>1060</v>
      </c>
      <c r="Z4" t="s">
        <v>377</v>
      </c>
      <c r="AA4" t="s">
        <v>140</v>
      </c>
      <c r="AB4" t="s">
        <v>141</v>
      </c>
      <c r="AC4">
        <v>11611</v>
      </c>
      <c r="AD4">
        <v>11612</v>
      </c>
      <c r="AE4">
        <v>101</v>
      </c>
      <c r="AF4">
        <v>1</v>
      </c>
    </row>
    <row r="5" spans="1:32">
      <c r="A5">
        <v>1</v>
      </c>
      <c r="B5">
        <v>4</v>
      </c>
      <c r="C5" t="s">
        <v>408</v>
      </c>
      <c r="D5" t="s">
        <v>626</v>
      </c>
      <c r="E5" t="s">
        <v>529</v>
      </c>
      <c r="F5">
        <v>24</v>
      </c>
      <c r="G5" t="s">
        <v>730</v>
      </c>
      <c r="H5" t="s">
        <v>1020</v>
      </c>
      <c r="I5" t="s">
        <v>1021</v>
      </c>
      <c r="J5" t="s">
        <v>792</v>
      </c>
      <c r="K5" t="s">
        <v>909</v>
      </c>
      <c r="L5" s="40">
        <v>35034.054054054046</v>
      </c>
      <c r="M5" s="40">
        <v>840817</v>
      </c>
      <c r="N5" s="40">
        <v>37838</v>
      </c>
      <c r="O5" s="40">
        <v>908108</v>
      </c>
      <c r="Q5" s="40">
        <v>0</v>
      </c>
      <c r="R5" s="35">
        <v>45848</v>
      </c>
      <c r="T5" t="s">
        <v>1214</v>
      </c>
      <c r="U5" t="s">
        <v>126</v>
      </c>
      <c r="V5" t="s">
        <v>139</v>
      </c>
      <c r="W5">
        <v>20480</v>
      </c>
      <c r="X5" t="s">
        <v>673</v>
      </c>
      <c r="Y5" t="s">
        <v>1060</v>
      </c>
      <c r="Z5" t="s">
        <v>377</v>
      </c>
      <c r="AA5" t="s">
        <v>140</v>
      </c>
      <c r="AB5" t="s">
        <v>141</v>
      </c>
      <c r="AC5">
        <v>11611</v>
      </c>
      <c r="AD5">
        <v>11612</v>
      </c>
      <c r="AE5">
        <v>101</v>
      </c>
      <c r="AF5">
        <v>1</v>
      </c>
    </row>
    <row r="6" spans="1:32">
      <c r="A6">
        <v>1</v>
      </c>
      <c r="B6">
        <v>5</v>
      </c>
      <c r="C6" t="s">
        <v>410</v>
      </c>
      <c r="D6" t="s">
        <v>626</v>
      </c>
      <c r="E6" t="s">
        <v>531</v>
      </c>
      <c r="F6">
        <v>24</v>
      </c>
      <c r="G6" t="s">
        <v>730</v>
      </c>
      <c r="H6" t="s">
        <v>1020</v>
      </c>
      <c r="I6" t="s">
        <v>1021</v>
      </c>
      <c r="J6" t="s">
        <v>793</v>
      </c>
      <c r="K6" t="s">
        <v>910</v>
      </c>
      <c r="L6" s="40">
        <v>35034.054054054046</v>
      </c>
      <c r="M6" s="40">
        <v>840817</v>
      </c>
      <c r="N6" s="40">
        <v>37838</v>
      </c>
      <c r="O6" s="40">
        <v>908108</v>
      </c>
      <c r="Q6" s="40">
        <v>0</v>
      </c>
      <c r="R6" s="35">
        <v>45848</v>
      </c>
      <c r="T6" t="s">
        <v>1214</v>
      </c>
      <c r="U6" t="s">
        <v>126</v>
      </c>
      <c r="V6" t="s">
        <v>139</v>
      </c>
      <c r="W6">
        <v>20480</v>
      </c>
      <c r="X6" t="s">
        <v>673</v>
      </c>
      <c r="Y6" t="s">
        <v>1060</v>
      </c>
      <c r="Z6" t="s">
        <v>377</v>
      </c>
      <c r="AA6" t="s">
        <v>140</v>
      </c>
      <c r="AB6" t="s">
        <v>141</v>
      </c>
      <c r="AC6">
        <v>11611</v>
      </c>
      <c r="AD6">
        <v>11612</v>
      </c>
      <c r="AE6">
        <v>101</v>
      </c>
      <c r="AF6">
        <v>1</v>
      </c>
    </row>
    <row r="7" spans="1:32">
      <c r="A7">
        <v>1</v>
      </c>
      <c r="B7">
        <v>6</v>
      </c>
      <c r="C7" t="s">
        <v>386</v>
      </c>
      <c r="D7" t="s">
        <v>626</v>
      </c>
      <c r="E7" t="s">
        <v>507</v>
      </c>
      <c r="F7">
        <v>72</v>
      </c>
      <c r="G7" t="s">
        <v>187</v>
      </c>
      <c r="H7" t="s">
        <v>1022</v>
      </c>
      <c r="I7" t="s">
        <v>1023</v>
      </c>
      <c r="J7" t="s">
        <v>794</v>
      </c>
      <c r="K7" t="s">
        <v>911</v>
      </c>
      <c r="L7" s="40">
        <v>2585.8468468468468</v>
      </c>
      <c r="M7" s="40">
        <v>186181</v>
      </c>
      <c r="N7" s="40">
        <v>2793</v>
      </c>
      <c r="O7" s="40">
        <v>201081</v>
      </c>
      <c r="Q7" s="40">
        <v>0</v>
      </c>
      <c r="R7" s="35">
        <v>45848</v>
      </c>
      <c r="T7" t="s">
        <v>1214</v>
      </c>
      <c r="U7" t="s">
        <v>126</v>
      </c>
      <c r="V7" t="s">
        <v>139</v>
      </c>
      <c r="W7">
        <v>10070</v>
      </c>
      <c r="X7" t="s">
        <v>771</v>
      </c>
      <c r="Y7" t="s">
        <v>1060</v>
      </c>
      <c r="Z7" t="s">
        <v>377</v>
      </c>
      <c r="AA7" t="s">
        <v>140</v>
      </c>
      <c r="AB7" t="s">
        <v>141</v>
      </c>
      <c r="AC7">
        <v>11611</v>
      </c>
      <c r="AD7">
        <v>11612</v>
      </c>
      <c r="AE7">
        <v>101</v>
      </c>
      <c r="AF7">
        <v>1</v>
      </c>
    </row>
    <row r="8" spans="1:32">
      <c r="A8">
        <v>1</v>
      </c>
      <c r="B8">
        <v>7</v>
      </c>
      <c r="C8" t="s">
        <v>385</v>
      </c>
      <c r="D8" t="s">
        <v>626</v>
      </c>
      <c r="E8" t="s">
        <v>506</v>
      </c>
      <c r="F8">
        <v>72</v>
      </c>
      <c r="G8" t="s">
        <v>187</v>
      </c>
      <c r="H8" t="s">
        <v>1022</v>
      </c>
      <c r="I8" t="s">
        <v>1023</v>
      </c>
      <c r="J8" t="s">
        <v>795</v>
      </c>
      <c r="K8" t="s">
        <v>912</v>
      </c>
      <c r="L8" s="40">
        <v>2585.8468468468468</v>
      </c>
      <c r="M8" s="40">
        <v>186181</v>
      </c>
      <c r="N8" s="40">
        <v>2793</v>
      </c>
      <c r="O8" s="40">
        <v>201081</v>
      </c>
      <c r="Q8" s="40">
        <v>0</v>
      </c>
      <c r="R8" s="35">
        <v>45848</v>
      </c>
      <c r="T8" t="s">
        <v>1214</v>
      </c>
      <c r="U8" t="s">
        <v>126</v>
      </c>
      <c r="V8" t="s">
        <v>139</v>
      </c>
      <c r="W8">
        <v>10070</v>
      </c>
      <c r="X8" t="s">
        <v>771</v>
      </c>
      <c r="Y8" t="s">
        <v>1060</v>
      </c>
      <c r="Z8" t="s">
        <v>377</v>
      </c>
      <c r="AA8" t="s">
        <v>140</v>
      </c>
      <c r="AB8" t="s">
        <v>141</v>
      </c>
      <c r="AC8">
        <v>11611</v>
      </c>
      <c r="AD8">
        <v>11612</v>
      </c>
      <c r="AE8">
        <v>101</v>
      </c>
      <c r="AF8">
        <v>1</v>
      </c>
    </row>
    <row r="9" spans="1:32">
      <c r="A9">
        <v>1</v>
      </c>
      <c r="B9">
        <v>8</v>
      </c>
      <c r="C9" t="s">
        <v>503</v>
      </c>
      <c r="D9" t="s">
        <v>625</v>
      </c>
      <c r="E9" t="s">
        <v>504</v>
      </c>
      <c r="F9">
        <v>72</v>
      </c>
      <c r="G9" t="s">
        <v>187</v>
      </c>
      <c r="H9" t="s">
        <v>1024</v>
      </c>
      <c r="I9" t="s">
        <v>1025</v>
      </c>
      <c r="J9" t="s">
        <v>796</v>
      </c>
      <c r="K9" t="s">
        <v>913</v>
      </c>
      <c r="L9" s="40">
        <v>7507.2972972972966</v>
      </c>
      <c r="M9" s="40">
        <v>540525</v>
      </c>
      <c r="N9" s="40">
        <v>8108</v>
      </c>
      <c r="O9" s="40">
        <v>583784</v>
      </c>
      <c r="Q9" s="40">
        <v>0</v>
      </c>
      <c r="R9" s="35">
        <v>45848</v>
      </c>
      <c r="T9" t="s">
        <v>1214</v>
      </c>
      <c r="U9" t="s">
        <v>126</v>
      </c>
      <c r="V9" t="s">
        <v>139</v>
      </c>
      <c r="W9">
        <v>10100</v>
      </c>
      <c r="X9" t="s">
        <v>675</v>
      </c>
      <c r="Y9" t="s">
        <v>1060</v>
      </c>
      <c r="Z9" t="s">
        <v>377</v>
      </c>
      <c r="AA9" t="s">
        <v>140</v>
      </c>
      <c r="AB9" t="s">
        <v>141</v>
      </c>
      <c r="AC9">
        <v>11611</v>
      </c>
      <c r="AD9">
        <v>11612</v>
      </c>
      <c r="AE9">
        <v>101</v>
      </c>
      <c r="AF9">
        <v>1</v>
      </c>
    </row>
    <row r="10" spans="1:32">
      <c r="A10">
        <v>1</v>
      </c>
      <c r="B10">
        <v>9</v>
      </c>
      <c r="C10" t="s">
        <v>415</v>
      </c>
      <c r="D10" t="s">
        <v>627</v>
      </c>
      <c r="E10" t="s">
        <v>536</v>
      </c>
      <c r="F10">
        <v>24</v>
      </c>
      <c r="G10" t="s">
        <v>730</v>
      </c>
      <c r="H10" t="s">
        <v>1026</v>
      </c>
      <c r="I10" t="s">
        <v>1027</v>
      </c>
      <c r="J10" t="s">
        <v>797</v>
      </c>
      <c r="K10" t="s">
        <v>914</v>
      </c>
      <c r="L10" s="40">
        <v>19685.801801801801</v>
      </c>
      <c r="M10" s="40">
        <v>472459</v>
      </c>
      <c r="N10" s="40">
        <v>21261</v>
      </c>
      <c r="O10" s="40">
        <v>510270</v>
      </c>
      <c r="Q10" s="40">
        <v>0</v>
      </c>
      <c r="R10" s="35">
        <v>45848</v>
      </c>
      <c r="T10" t="s">
        <v>1214</v>
      </c>
      <c r="U10" t="s">
        <v>126</v>
      </c>
      <c r="V10" t="s">
        <v>139</v>
      </c>
      <c r="W10">
        <v>20400</v>
      </c>
      <c r="X10" t="s">
        <v>670</v>
      </c>
      <c r="Y10" t="s">
        <v>1060</v>
      </c>
      <c r="Z10" t="s">
        <v>377</v>
      </c>
      <c r="AA10" t="s">
        <v>140</v>
      </c>
      <c r="AB10" t="s">
        <v>141</v>
      </c>
      <c r="AC10">
        <v>11611</v>
      </c>
      <c r="AD10">
        <v>11612</v>
      </c>
      <c r="AE10">
        <v>101</v>
      </c>
      <c r="AF10">
        <v>1</v>
      </c>
    </row>
    <row r="11" spans="1:32">
      <c r="A11">
        <v>1</v>
      </c>
      <c r="C11" t="s">
        <v>415</v>
      </c>
      <c r="D11" t="s">
        <v>627</v>
      </c>
      <c r="E11" t="s">
        <v>536</v>
      </c>
      <c r="F11">
        <v>24</v>
      </c>
      <c r="G11" t="s">
        <v>671</v>
      </c>
      <c r="H11" t="s">
        <v>1026</v>
      </c>
      <c r="I11" t="s">
        <v>1027</v>
      </c>
      <c r="J11" t="s">
        <v>1238</v>
      </c>
      <c r="K11" t="s">
        <v>1247</v>
      </c>
      <c r="L11" s="40">
        <v>19685.801801801801</v>
      </c>
      <c r="M11" s="40">
        <v>472459</v>
      </c>
      <c r="N11" s="40">
        <v>21261</v>
      </c>
      <c r="O11" s="40">
        <v>510270</v>
      </c>
      <c r="Q11" s="40">
        <v>0</v>
      </c>
      <c r="R11" s="35">
        <v>45848</v>
      </c>
      <c r="T11" t="s">
        <v>1214</v>
      </c>
      <c r="U11" t="s">
        <v>126</v>
      </c>
      <c r="V11" t="s">
        <v>139</v>
      </c>
      <c r="W11">
        <v>20400</v>
      </c>
      <c r="X11" t="s">
        <v>670</v>
      </c>
      <c r="AA11" t="s">
        <v>140</v>
      </c>
      <c r="AB11" t="s">
        <v>141</v>
      </c>
      <c r="AC11">
        <v>11611</v>
      </c>
      <c r="AD11">
        <v>11612</v>
      </c>
      <c r="AF11">
        <v>1</v>
      </c>
    </row>
    <row r="12" spans="1:32">
      <c r="A12">
        <v>1</v>
      </c>
      <c r="B12">
        <v>10</v>
      </c>
      <c r="C12" t="s">
        <v>413</v>
      </c>
      <c r="D12" t="s">
        <v>627</v>
      </c>
      <c r="E12" t="s">
        <v>534</v>
      </c>
      <c r="F12">
        <v>24</v>
      </c>
      <c r="G12" t="s">
        <v>671</v>
      </c>
      <c r="H12" t="s">
        <v>1026</v>
      </c>
      <c r="I12" t="s">
        <v>1027</v>
      </c>
      <c r="J12" t="s">
        <v>798</v>
      </c>
      <c r="K12" t="s">
        <v>915</v>
      </c>
      <c r="L12" s="40">
        <v>19685.801801801801</v>
      </c>
      <c r="M12" s="40">
        <v>472459</v>
      </c>
      <c r="N12" s="40">
        <v>21261</v>
      </c>
      <c r="O12" s="40">
        <v>510270</v>
      </c>
      <c r="Q12" s="40">
        <v>0</v>
      </c>
      <c r="R12" s="35">
        <v>45848</v>
      </c>
      <c r="T12" t="s">
        <v>1214</v>
      </c>
      <c r="U12" t="s">
        <v>126</v>
      </c>
      <c r="V12" t="s">
        <v>139</v>
      </c>
      <c r="W12">
        <v>20400</v>
      </c>
      <c r="X12" t="s">
        <v>670</v>
      </c>
      <c r="Y12" t="s">
        <v>1060</v>
      </c>
      <c r="Z12" t="s">
        <v>377</v>
      </c>
      <c r="AA12" t="s">
        <v>140</v>
      </c>
      <c r="AB12" t="s">
        <v>141</v>
      </c>
      <c r="AC12">
        <v>11611</v>
      </c>
      <c r="AD12">
        <v>11612</v>
      </c>
      <c r="AE12">
        <v>101</v>
      </c>
      <c r="AF12">
        <v>1</v>
      </c>
    </row>
    <row r="13" spans="1:32">
      <c r="A13">
        <v>1</v>
      </c>
      <c r="B13">
        <v>11</v>
      </c>
      <c r="C13" t="s">
        <v>411</v>
      </c>
      <c r="D13" t="s">
        <v>627</v>
      </c>
      <c r="E13" t="s">
        <v>532</v>
      </c>
      <c r="F13">
        <v>24</v>
      </c>
      <c r="G13" t="s">
        <v>671</v>
      </c>
      <c r="H13" t="s">
        <v>1026</v>
      </c>
      <c r="I13" t="s">
        <v>1027</v>
      </c>
      <c r="J13" t="s">
        <v>799</v>
      </c>
      <c r="K13" t="s">
        <v>916</v>
      </c>
      <c r="L13" s="40">
        <v>19685.801801801801</v>
      </c>
      <c r="M13" s="40">
        <v>472459</v>
      </c>
      <c r="N13" s="40">
        <v>21261</v>
      </c>
      <c r="O13" s="40">
        <v>510270</v>
      </c>
      <c r="Q13" s="40">
        <v>0</v>
      </c>
      <c r="R13" s="35">
        <v>45848</v>
      </c>
      <c r="T13" t="s">
        <v>1214</v>
      </c>
      <c r="U13" t="s">
        <v>126</v>
      </c>
      <c r="V13" t="s">
        <v>139</v>
      </c>
      <c r="W13">
        <v>20400</v>
      </c>
      <c r="X13" t="s">
        <v>670</v>
      </c>
      <c r="Y13" t="s">
        <v>1060</v>
      </c>
      <c r="Z13" t="s">
        <v>377</v>
      </c>
      <c r="AA13" t="s">
        <v>140</v>
      </c>
      <c r="AB13" t="s">
        <v>141</v>
      </c>
      <c r="AC13">
        <v>11611</v>
      </c>
      <c r="AD13">
        <v>11612</v>
      </c>
      <c r="AE13">
        <v>101</v>
      </c>
      <c r="AF13">
        <v>1</v>
      </c>
    </row>
    <row r="14" spans="1:32">
      <c r="A14">
        <v>1</v>
      </c>
      <c r="B14">
        <v>12</v>
      </c>
      <c r="C14" t="s">
        <v>416</v>
      </c>
      <c r="D14" t="s">
        <v>627</v>
      </c>
      <c r="E14" t="s">
        <v>537</v>
      </c>
      <c r="F14">
        <v>24</v>
      </c>
      <c r="G14" t="s">
        <v>705</v>
      </c>
      <c r="H14" t="s">
        <v>1026</v>
      </c>
      <c r="I14" t="s">
        <v>1027</v>
      </c>
      <c r="J14" t="s">
        <v>800</v>
      </c>
      <c r="K14" t="s">
        <v>917</v>
      </c>
      <c r="L14" s="40">
        <v>28360.900900900899</v>
      </c>
      <c r="M14" s="40">
        <v>680662</v>
      </c>
      <c r="N14" s="40">
        <v>30631</v>
      </c>
      <c r="O14" s="40">
        <v>735135</v>
      </c>
      <c r="Q14" s="40">
        <v>0</v>
      </c>
      <c r="R14" s="35">
        <v>45848</v>
      </c>
      <c r="T14" t="s">
        <v>1214</v>
      </c>
      <c r="U14" t="s">
        <v>126</v>
      </c>
      <c r="V14" t="s">
        <v>139</v>
      </c>
      <c r="W14">
        <v>20480</v>
      </c>
      <c r="X14" t="s">
        <v>673</v>
      </c>
      <c r="Y14" t="s">
        <v>1060</v>
      </c>
      <c r="Z14" t="s">
        <v>377</v>
      </c>
      <c r="AA14" t="s">
        <v>140</v>
      </c>
      <c r="AB14" t="s">
        <v>141</v>
      </c>
      <c r="AC14">
        <v>11611</v>
      </c>
      <c r="AD14">
        <v>11612</v>
      </c>
      <c r="AE14">
        <v>101</v>
      </c>
      <c r="AF14">
        <v>1</v>
      </c>
    </row>
    <row r="15" spans="1:32">
      <c r="A15">
        <v>1</v>
      </c>
      <c r="B15">
        <v>13</v>
      </c>
      <c r="C15" t="s">
        <v>414</v>
      </c>
      <c r="D15" t="s">
        <v>627</v>
      </c>
      <c r="E15" t="s">
        <v>535</v>
      </c>
      <c r="F15">
        <v>24</v>
      </c>
      <c r="G15" t="s">
        <v>705</v>
      </c>
      <c r="H15" t="s">
        <v>1026</v>
      </c>
      <c r="I15" t="s">
        <v>1027</v>
      </c>
      <c r="J15" t="s">
        <v>801</v>
      </c>
      <c r="K15" t="s">
        <v>918</v>
      </c>
      <c r="L15" s="40">
        <v>28360.900900900899</v>
      </c>
      <c r="M15" s="40">
        <v>680662</v>
      </c>
      <c r="N15" s="40">
        <v>30631</v>
      </c>
      <c r="O15" s="40">
        <v>735135</v>
      </c>
      <c r="Q15" s="40">
        <v>0</v>
      </c>
      <c r="R15" s="35">
        <v>45848</v>
      </c>
      <c r="T15" t="s">
        <v>1214</v>
      </c>
      <c r="U15" t="s">
        <v>126</v>
      </c>
      <c r="V15" t="s">
        <v>139</v>
      </c>
      <c r="W15">
        <v>20480</v>
      </c>
      <c r="X15" t="s">
        <v>673</v>
      </c>
      <c r="Y15" t="s">
        <v>1060</v>
      </c>
      <c r="Z15" t="s">
        <v>377</v>
      </c>
      <c r="AA15" t="s">
        <v>140</v>
      </c>
      <c r="AB15" t="s">
        <v>141</v>
      </c>
      <c r="AC15">
        <v>11611</v>
      </c>
      <c r="AD15">
        <v>11612</v>
      </c>
      <c r="AE15">
        <v>101</v>
      </c>
      <c r="AF15">
        <v>1</v>
      </c>
    </row>
    <row r="16" spans="1:32">
      <c r="A16">
        <v>1</v>
      </c>
      <c r="B16">
        <v>14</v>
      </c>
      <c r="C16" t="s">
        <v>412</v>
      </c>
      <c r="D16" t="s">
        <v>627</v>
      </c>
      <c r="E16" t="s">
        <v>533</v>
      </c>
      <c r="F16">
        <v>24</v>
      </c>
      <c r="G16" t="s">
        <v>730</v>
      </c>
      <c r="H16" t="s">
        <v>1026</v>
      </c>
      <c r="I16" t="s">
        <v>1027</v>
      </c>
      <c r="J16" t="s">
        <v>802</v>
      </c>
      <c r="K16" t="s">
        <v>919</v>
      </c>
      <c r="L16" s="40">
        <v>28360.900900900899</v>
      </c>
      <c r="M16" s="40">
        <v>680662</v>
      </c>
      <c r="N16" s="40">
        <v>30631</v>
      </c>
      <c r="O16" s="40">
        <v>735135</v>
      </c>
      <c r="Q16" s="40">
        <v>0</v>
      </c>
      <c r="R16" s="35">
        <v>45848</v>
      </c>
      <c r="T16" t="s">
        <v>1214</v>
      </c>
      <c r="U16" t="s">
        <v>126</v>
      </c>
      <c r="V16" t="s">
        <v>139</v>
      </c>
      <c r="W16">
        <v>20480</v>
      </c>
      <c r="X16" t="s">
        <v>673</v>
      </c>
      <c r="Y16" t="s">
        <v>1060</v>
      </c>
      <c r="Z16" t="s">
        <v>377</v>
      </c>
      <c r="AA16" t="s">
        <v>140</v>
      </c>
      <c r="AB16" t="s">
        <v>141</v>
      </c>
      <c r="AC16">
        <v>11611</v>
      </c>
      <c r="AD16">
        <v>11612</v>
      </c>
      <c r="AE16">
        <v>101</v>
      </c>
      <c r="AF16">
        <v>1</v>
      </c>
    </row>
    <row r="17" spans="1:32">
      <c r="A17">
        <v>1</v>
      </c>
      <c r="B17">
        <v>15</v>
      </c>
      <c r="C17" t="s">
        <v>392</v>
      </c>
      <c r="D17" t="s">
        <v>627</v>
      </c>
      <c r="E17" t="s">
        <v>513</v>
      </c>
      <c r="F17">
        <v>24</v>
      </c>
      <c r="G17" t="s">
        <v>736</v>
      </c>
      <c r="H17" t="s">
        <v>1028</v>
      </c>
      <c r="I17" t="s">
        <v>1029</v>
      </c>
      <c r="J17" t="s">
        <v>803</v>
      </c>
      <c r="K17" t="s">
        <v>920</v>
      </c>
      <c r="L17" s="40">
        <v>7090.2252252252247</v>
      </c>
      <c r="M17" s="40">
        <v>170165</v>
      </c>
      <c r="N17" s="40">
        <v>7658</v>
      </c>
      <c r="O17" s="40">
        <v>183784</v>
      </c>
      <c r="Q17" s="40">
        <v>0</v>
      </c>
      <c r="R17" s="35">
        <v>45848</v>
      </c>
      <c r="T17" t="s">
        <v>1214</v>
      </c>
      <c r="U17" t="s">
        <v>126</v>
      </c>
      <c r="V17" t="s">
        <v>139</v>
      </c>
      <c r="W17">
        <v>10075</v>
      </c>
      <c r="X17" t="s">
        <v>769</v>
      </c>
      <c r="Y17" t="s">
        <v>1060</v>
      </c>
      <c r="Z17" t="s">
        <v>377</v>
      </c>
      <c r="AA17" t="s">
        <v>140</v>
      </c>
      <c r="AB17" t="s">
        <v>141</v>
      </c>
      <c r="AC17">
        <v>11611</v>
      </c>
      <c r="AD17">
        <v>11612</v>
      </c>
      <c r="AE17">
        <v>101</v>
      </c>
      <c r="AF17">
        <v>1</v>
      </c>
    </row>
    <row r="18" spans="1:32">
      <c r="A18">
        <v>1</v>
      </c>
      <c r="B18">
        <v>16</v>
      </c>
      <c r="C18" t="s">
        <v>388</v>
      </c>
      <c r="D18" t="s">
        <v>627</v>
      </c>
      <c r="E18" t="s">
        <v>509</v>
      </c>
      <c r="F18">
        <v>72</v>
      </c>
      <c r="G18" t="s">
        <v>187</v>
      </c>
      <c r="H18" t="s">
        <v>1028</v>
      </c>
      <c r="I18" t="s">
        <v>1029</v>
      </c>
      <c r="J18" t="s">
        <v>804</v>
      </c>
      <c r="K18" t="s">
        <v>921</v>
      </c>
      <c r="L18" s="40">
        <v>2460.7252252252251</v>
      </c>
      <c r="M18" s="40">
        <v>177172</v>
      </c>
      <c r="N18" s="40">
        <v>2658</v>
      </c>
      <c r="O18" s="40">
        <v>191351</v>
      </c>
      <c r="Q18" s="40">
        <v>0</v>
      </c>
      <c r="R18" s="35">
        <v>45848</v>
      </c>
      <c r="T18" t="s">
        <v>1214</v>
      </c>
      <c r="U18" t="s">
        <v>126</v>
      </c>
      <c r="V18" t="s">
        <v>139</v>
      </c>
      <c r="W18">
        <v>10075</v>
      </c>
      <c r="X18" t="s">
        <v>769</v>
      </c>
      <c r="Y18" t="s">
        <v>1060</v>
      </c>
      <c r="Z18" t="s">
        <v>377</v>
      </c>
      <c r="AA18" t="s">
        <v>140</v>
      </c>
      <c r="AB18" t="s">
        <v>141</v>
      </c>
      <c r="AC18">
        <v>11611</v>
      </c>
      <c r="AD18">
        <v>11612</v>
      </c>
      <c r="AE18">
        <v>101</v>
      </c>
      <c r="AF18">
        <v>1</v>
      </c>
    </row>
    <row r="19" spans="1:32">
      <c r="A19">
        <v>1</v>
      </c>
      <c r="B19">
        <v>17</v>
      </c>
      <c r="C19" t="s">
        <v>391</v>
      </c>
      <c r="D19" t="s">
        <v>627</v>
      </c>
      <c r="E19" t="s">
        <v>512</v>
      </c>
      <c r="F19">
        <v>24</v>
      </c>
      <c r="G19" t="s">
        <v>736</v>
      </c>
      <c r="H19" t="s">
        <v>1028</v>
      </c>
      <c r="I19" t="s">
        <v>1029</v>
      </c>
      <c r="J19" t="s">
        <v>805</v>
      </c>
      <c r="K19" t="s">
        <v>922</v>
      </c>
      <c r="L19" s="40">
        <v>7090.2252252252247</v>
      </c>
      <c r="M19" s="40">
        <v>170165</v>
      </c>
      <c r="N19" s="40">
        <v>7658</v>
      </c>
      <c r="O19" s="40">
        <v>183784</v>
      </c>
      <c r="Q19" s="40">
        <v>0</v>
      </c>
      <c r="R19" s="35">
        <v>45848</v>
      </c>
      <c r="T19" t="s">
        <v>1214</v>
      </c>
      <c r="U19" t="s">
        <v>126</v>
      </c>
      <c r="V19" t="s">
        <v>139</v>
      </c>
      <c r="W19">
        <v>10075</v>
      </c>
      <c r="X19" t="s">
        <v>769</v>
      </c>
      <c r="Y19" t="s">
        <v>1060</v>
      </c>
      <c r="Z19" t="s">
        <v>377</v>
      </c>
      <c r="AA19" t="s">
        <v>140</v>
      </c>
      <c r="AB19" t="s">
        <v>141</v>
      </c>
      <c r="AC19">
        <v>11611</v>
      </c>
      <c r="AD19">
        <v>11612</v>
      </c>
      <c r="AE19">
        <v>101</v>
      </c>
      <c r="AF19">
        <v>1</v>
      </c>
    </row>
    <row r="20" spans="1:32">
      <c r="A20">
        <v>1</v>
      </c>
      <c r="B20">
        <v>18</v>
      </c>
      <c r="C20" t="s">
        <v>389</v>
      </c>
      <c r="D20" t="s">
        <v>627</v>
      </c>
      <c r="E20" t="s">
        <v>510</v>
      </c>
      <c r="F20">
        <v>72</v>
      </c>
      <c r="G20" t="s">
        <v>187</v>
      </c>
      <c r="H20" t="s">
        <v>1028</v>
      </c>
      <c r="I20" t="s">
        <v>1029</v>
      </c>
      <c r="J20" t="s">
        <v>806</v>
      </c>
      <c r="K20" t="s">
        <v>923</v>
      </c>
      <c r="L20" s="40">
        <v>2460.7252252252251</v>
      </c>
      <c r="M20" s="40">
        <v>177172</v>
      </c>
      <c r="N20" s="40">
        <v>2658</v>
      </c>
      <c r="O20" s="40">
        <v>191351</v>
      </c>
      <c r="Q20" s="40">
        <v>0</v>
      </c>
      <c r="R20" s="35">
        <v>45848</v>
      </c>
      <c r="T20" t="s">
        <v>1214</v>
      </c>
      <c r="U20" t="s">
        <v>126</v>
      </c>
      <c r="V20" t="s">
        <v>139</v>
      </c>
      <c r="W20">
        <v>10075</v>
      </c>
      <c r="X20" t="s">
        <v>769</v>
      </c>
      <c r="Y20" t="s">
        <v>1060</v>
      </c>
      <c r="Z20" t="s">
        <v>377</v>
      </c>
      <c r="AA20" t="s">
        <v>140</v>
      </c>
      <c r="AB20" t="s">
        <v>141</v>
      </c>
      <c r="AC20">
        <v>11611</v>
      </c>
      <c r="AD20">
        <v>11612</v>
      </c>
      <c r="AE20">
        <v>101</v>
      </c>
      <c r="AF20">
        <v>1</v>
      </c>
    </row>
    <row r="21" spans="1:32">
      <c r="A21">
        <v>1</v>
      </c>
      <c r="B21">
        <v>19</v>
      </c>
      <c r="C21" t="s">
        <v>390</v>
      </c>
      <c r="D21" t="s">
        <v>627</v>
      </c>
      <c r="E21" t="s">
        <v>511</v>
      </c>
      <c r="F21">
        <v>24</v>
      </c>
      <c r="G21" t="s">
        <v>736</v>
      </c>
      <c r="H21" t="s">
        <v>1028</v>
      </c>
      <c r="I21" t="s">
        <v>1029</v>
      </c>
      <c r="J21" t="s">
        <v>807</v>
      </c>
      <c r="K21" t="s">
        <v>924</v>
      </c>
      <c r="L21" s="40">
        <v>7090.2252252252247</v>
      </c>
      <c r="M21" s="40">
        <v>170165</v>
      </c>
      <c r="N21" s="40">
        <v>7658</v>
      </c>
      <c r="O21" s="40">
        <v>183784</v>
      </c>
      <c r="Q21" s="40">
        <v>0</v>
      </c>
      <c r="R21" s="35">
        <v>45848</v>
      </c>
      <c r="T21" t="s">
        <v>1214</v>
      </c>
      <c r="U21" t="s">
        <v>126</v>
      </c>
      <c r="V21" t="s">
        <v>139</v>
      </c>
      <c r="W21">
        <v>10075</v>
      </c>
      <c r="X21" t="s">
        <v>769</v>
      </c>
      <c r="Y21" t="s">
        <v>1060</v>
      </c>
      <c r="Z21" t="s">
        <v>377</v>
      </c>
      <c r="AA21" t="s">
        <v>140</v>
      </c>
      <c r="AB21" t="s">
        <v>141</v>
      </c>
      <c r="AC21">
        <v>11611</v>
      </c>
      <c r="AD21">
        <v>11612</v>
      </c>
      <c r="AE21">
        <v>101</v>
      </c>
      <c r="AF21">
        <v>1</v>
      </c>
    </row>
    <row r="22" spans="1:32">
      <c r="A22">
        <v>1</v>
      </c>
      <c r="B22">
        <v>20</v>
      </c>
      <c r="C22" t="s">
        <v>387</v>
      </c>
      <c r="D22" t="s">
        <v>627</v>
      </c>
      <c r="E22" t="s">
        <v>508</v>
      </c>
      <c r="F22">
        <v>72</v>
      </c>
      <c r="G22" t="s">
        <v>187</v>
      </c>
      <c r="H22" t="s">
        <v>1028</v>
      </c>
      <c r="I22" t="s">
        <v>1029</v>
      </c>
      <c r="J22" t="s">
        <v>808</v>
      </c>
      <c r="K22" t="s">
        <v>925</v>
      </c>
      <c r="L22" s="40">
        <v>2460.7252252252251</v>
      </c>
      <c r="M22" s="40">
        <v>177172</v>
      </c>
      <c r="N22" s="40">
        <v>2658</v>
      </c>
      <c r="O22" s="40">
        <v>191351</v>
      </c>
      <c r="Q22" s="40">
        <v>0</v>
      </c>
      <c r="R22" s="35">
        <v>45848</v>
      </c>
      <c r="T22" t="s">
        <v>1214</v>
      </c>
      <c r="U22" t="s">
        <v>126</v>
      </c>
      <c r="V22" t="s">
        <v>139</v>
      </c>
      <c r="W22">
        <v>10075</v>
      </c>
      <c r="X22" t="s">
        <v>769</v>
      </c>
      <c r="Y22" t="s">
        <v>1060</v>
      </c>
      <c r="Z22" t="s">
        <v>377</v>
      </c>
      <c r="AA22" t="s">
        <v>140</v>
      </c>
      <c r="AB22" t="s">
        <v>141</v>
      </c>
      <c r="AC22">
        <v>11611</v>
      </c>
      <c r="AD22">
        <v>11612</v>
      </c>
      <c r="AE22">
        <v>101</v>
      </c>
      <c r="AF22">
        <v>1</v>
      </c>
    </row>
    <row r="23" spans="1:32">
      <c r="A23">
        <v>1</v>
      </c>
      <c r="B23">
        <v>21</v>
      </c>
      <c r="C23" t="s">
        <v>486</v>
      </c>
      <c r="D23" t="s">
        <v>633</v>
      </c>
      <c r="E23" t="s">
        <v>607</v>
      </c>
      <c r="F23">
        <v>48</v>
      </c>
      <c r="G23" t="s">
        <v>705</v>
      </c>
      <c r="H23" t="s">
        <v>1030</v>
      </c>
      <c r="I23" t="s">
        <v>1031</v>
      </c>
      <c r="J23" t="s">
        <v>809</v>
      </c>
      <c r="K23" t="s">
        <v>926</v>
      </c>
      <c r="L23" s="40">
        <v>12887.527027027025</v>
      </c>
      <c r="M23" s="40">
        <v>618601</v>
      </c>
      <c r="N23" s="40">
        <v>13919</v>
      </c>
      <c r="O23" s="40">
        <v>668108</v>
      </c>
      <c r="Q23" s="40">
        <v>0</v>
      </c>
      <c r="R23" s="35">
        <v>45848</v>
      </c>
      <c r="T23" t="s">
        <v>1214</v>
      </c>
      <c r="U23" t="s">
        <v>126</v>
      </c>
      <c r="V23" t="s">
        <v>139</v>
      </c>
      <c r="W23">
        <v>20200</v>
      </c>
      <c r="X23" t="s">
        <v>685</v>
      </c>
      <c r="Y23" t="s">
        <v>1060</v>
      </c>
      <c r="Z23" t="s">
        <v>377</v>
      </c>
      <c r="AA23" t="s">
        <v>140</v>
      </c>
      <c r="AB23" t="s">
        <v>141</v>
      </c>
      <c r="AC23">
        <v>11611</v>
      </c>
      <c r="AD23">
        <v>11612</v>
      </c>
      <c r="AE23">
        <v>101</v>
      </c>
      <c r="AF23">
        <v>1</v>
      </c>
    </row>
    <row r="24" spans="1:32">
      <c r="A24">
        <v>1</v>
      </c>
      <c r="B24">
        <v>22</v>
      </c>
      <c r="C24" t="s">
        <v>485</v>
      </c>
      <c r="D24" t="s">
        <v>633</v>
      </c>
      <c r="E24" t="s">
        <v>606</v>
      </c>
      <c r="F24">
        <v>48</v>
      </c>
      <c r="G24" t="s">
        <v>705</v>
      </c>
      <c r="H24" t="s">
        <v>1030</v>
      </c>
      <c r="I24" t="s">
        <v>1031</v>
      </c>
      <c r="J24" t="s">
        <v>810</v>
      </c>
      <c r="K24" t="s">
        <v>927</v>
      </c>
      <c r="L24" s="40">
        <v>12887.527027027025</v>
      </c>
      <c r="M24" s="40">
        <v>618601</v>
      </c>
      <c r="N24" s="40">
        <v>13919</v>
      </c>
      <c r="O24" s="40">
        <v>668108</v>
      </c>
      <c r="Q24" s="40">
        <v>0</v>
      </c>
      <c r="R24" s="35">
        <v>45848</v>
      </c>
      <c r="T24" t="s">
        <v>1214</v>
      </c>
      <c r="U24" t="s">
        <v>126</v>
      </c>
      <c r="V24" t="s">
        <v>139</v>
      </c>
      <c r="W24">
        <v>20200</v>
      </c>
      <c r="X24" t="s">
        <v>685</v>
      </c>
      <c r="Y24" t="s">
        <v>1060</v>
      </c>
      <c r="Z24" t="s">
        <v>377</v>
      </c>
      <c r="AA24" t="s">
        <v>140</v>
      </c>
      <c r="AB24" t="s">
        <v>141</v>
      </c>
      <c r="AC24">
        <v>11611</v>
      </c>
      <c r="AD24">
        <v>11612</v>
      </c>
      <c r="AE24">
        <v>101</v>
      </c>
      <c r="AF24">
        <v>1</v>
      </c>
    </row>
    <row r="25" spans="1:32">
      <c r="A25">
        <v>1</v>
      </c>
      <c r="B25">
        <v>23</v>
      </c>
      <c r="C25" t="s">
        <v>1090</v>
      </c>
      <c r="D25" t="s">
        <v>633</v>
      </c>
      <c r="E25" t="s">
        <v>605</v>
      </c>
      <c r="F25">
        <v>48</v>
      </c>
      <c r="G25" t="s">
        <v>737</v>
      </c>
      <c r="H25" t="s">
        <v>1030</v>
      </c>
      <c r="I25" t="s">
        <v>1031</v>
      </c>
      <c r="J25" t="s">
        <v>811</v>
      </c>
      <c r="K25" t="s">
        <v>928</v>
      </c>
      <c r="M25" s="40">
        <v>0</v>
      </c>
      <c r="O25" s="40">
        <v>0</v>
      </c>
      <c r="Q25" s="40">
        <v>0</v>
      </c>
      <c r="R25" s="35"/>
      <c r="T25" t="s">
        <v>1214</v>
      </c>
      <c r="U25" t="s">
        <v>126</v>
      </c>
      <c r="V25" t="s">
        <v>139</v>
      </c>
      <c r="W25">
        <v>20009</v>
      </c>
      <c r="X25" t="s">
        <v>684</v>
      </c>
      <c r="AA25" t="s">
        <v>140</v>
      </c>
      <c r="AB25" t="s">
        <v>141</v>
      </c>
      <c r="AC25">
        <v>11611</v>
      </c>
      <c r="AD25">
        <v>11612</v>
      </c>
      <c r="AF25">
        <v>1</v>
      </c>
    </row>
    <row r="26" spans="1:32">
      <c r="A26">
        <v>3</v>
      </c>
      <c r="C26" t="s">
        <v>484</v>
      </c>
      <c r="D26" t="s">
        <v>633</v>
      </c>
      <c r="E26" t="s">
        <v>605</v>
      </c>
      <c r="G26" t="s">
        <v>1234</v>
      </c>
      <c r="H26" t="s">
        <v>1236</v>
      </c>
      <c r="I26" t="s">
        <v>1031</v>
      </c>
      <c r="J26" t="s">
        <v>1239</v>
      </c>
      <c r="K26" t="s">
        <v>1248</v>
      </c>
      <c r="R26" s="35"/>
      <c r="T26" t="s">
        <v>1214</v>
      </c>
      <c r="U26" t="s">
        <v>126</v>
      </c>
      <c r="V26" t="s">
        <v>139</v>
      </c>
      <c r="W26">
        <v>9</v>
      </c>
      <c r="X26" t="s">
        <v>684</v>
      </c>
      <c r="AA26" t="s">
        <v>140</v>
      </c>
      <c r="AB26" t="s">
        <v>141</v>
      </c>
      <c r="AC26">
        <v>11611</v>
      </c>
      <c r="AD26">
        <v>11612</v>
      </c>
      <c r="AF26">
        <v>1</v>
      </c>
    </row>
    <row r="27" spans="1:32">
      <c r="A27">
        <v>1</v>
      </c>
      <c r="B27">
        <v>25</v>
      </c>
      <c r="C27" t="s">
        <v>483</v>
      </c>
      <c r="D27" t="s">
        <v>633</v>
      </c>
      <c r="E27" t="s">
        <v>604</v>
      </c>
      <c r="F27">
        <v>48</v>
      </c>
      <c r="G27" t="s">
        <v>731</v>
      </c>
      <c r="H27" t="s">
        <v>1030</v>
      </c>
      <c r="I27" t="s">
        <v>1031</v>
      </c>
      <c r="J27" t="s">
        <v>812</v>
      </c>
      <c r="K27" t="s">
        <v>929</v>
      </c>
      <c r="L27" s="40">
        <v>12887.527027027025</v>
      </c>
      <c r="M27" s="40">
        <v>618601</v>
      </c>
      <c r="N27" s="40">
        <v>13919</v>
      </c>
      <c r="O27" s="40">
        <v>668108</v>
      </c>
      <c r="Q27" s="40">
        <v>0</v>
      </c>
      <c r="R27" s="35">
        <v>45848</v>
      </c>
      <c r="T27" t="s">
        <v>1214</v>
      </c>
      <c r="U27" t="s">
        <v>126</v>
      </c>
      <c r="V27" t="s">
        <v>139</v>
      </c>
      <c r="W27">
        <v>20200</v>
      </c>
      <c r="X27" t="s">
        <v>685</v>
      </c>
      <c r="Y27" t="s">
        <v>1060</v>
      </c>
      <c r="Z27" t="s">
        <v>377</v>
      </c>
      <c r="AA27" t="s">
        <v>140</v>
      </c>
      <c r="AB27" t="s">
        <v>141</v>
      </c>
      <c r="AC27">
        <v>11611</v>
      </c>
      <c r="AD27">
        <v>11612</v>
      </c>
      <c r="AE27">
        <v>101</v>
      </c>
      <c r="AF27">
        <v>1</v>
      </c>
    </row>
    <row r="28" spans="1:32">
      <c r="A28">
        <v>1</v>
      </c>
      <c r="B28">
        <v>26</v>
      </c>
      <c r="C28" t="s">
        <v>482</v>
      </c>
      <c r="D28" t="s">
        <v>633</v>
      </c>
      <c r="E28" t="s">
        <v>603</v>
      </c>
      <c r="F28">
        <v>48</v>
      </c>
      <c r="G28" t="s">
        <v>737</v>
      </c>
      <c r="H28" t="s">
        <v>1030</v>
      </c>
      <c r="I28" t="s">
        <v>1031</v>
      </c>
      <c r="J28" t="s">
        <v>813</v>
      </c>
      <c r="K28" t="s">
        <v>930</v>
      </c>
      <c r="L28" s="40">
        <v>5839.0090090090089</v>
      </c>
      <c r="M28" s="40">
        <v>280272</v>
      </c>
      <c r="N28" s="40">
        <v>6306</v>
      </c>
      <c r="O28" s="40">
        <v>302703</v>
      </c>
      <c r="Q28" s="40">
        <v>0</v>
      </c>
      <c r="R28" s="35">
        <v>45848</v>
      </c>
      <c r="T28" t="s">
        <v>1214</v>
      </c>
      <c r="U28" t="s">
        <v>126</v>
      </c>
      <c r="V28" t="s">
        <v>139</v>
      </c>
      <c r="W28">
        <v>20009</v>
      </c>
      <c r="X28" t="s">
        <v>684</v>
      </c>
      <c r="Y28" t="s">
        <v>1060</v>
      </c>
      <c r="Z28" t="s">
        <v>377</v>
      </c>
      <c r="AA28" t="s">
        <v>140</v>
      </c>
      <c r="AB28" t="s">
        <v>141</v>
      </c>
      <c r="AC28">
        <v>11611</v>
      </c>
      <c r="AD28">
        <v>11612</v>
      </c>
      <c r="AE28">
        <v>101</v>
      </c>
      <c r="AF28">
        <v>1</v>
      </c>
    </row>
    <row r="29" spans="1:32">
      <c r="A29">
        <v>2</v>
      </c>
      <c r="C29" t="s">
        <v>482</v>
      </c>
      <c r="D29" t="s">
        <v>633</v>
      </c>
      <c r="E29" t="s">
        <v>603</v>
      </c>
      <c r="G29" t="s">
        <v>1234</v>
      </c>
      <c r="H29" t="s">
        <v>1236</v>
      </c>
      <c r="I29" t="s">
        <v>1031</v>
      </c>
      <c r="J29" t="s">
        <v>1240</v>
      </c>
      <c r="K29" t="s">
        <v>1249</v>
      </c>
      <c r="R29" s="35"/>
      <c r="T29" t="s">
        <v>1214</v>
      </c>
      <c r="U29" t="s">
        <v>126</v>
      </c>
      <c r="V29" t="s">
        <v>139</v>
      </c>
      <c r="W29">
        <v>9</v>
      </c>
      <c r="X29" t="s">
        <v>684</v>
      </c>
      <c r="AA29" t="s">
        <v>140</v>
      </c>
      <c r="AB29" t="s">
        <v>141</v>
      </c>
      <c r="AC29">
        <v>11611</v>
      </c>
      <c r="AD29">
        <v>11612</v>
      </c>
      <c r="AF29">
        <v>1</v>
      </c>
    </row>
    <row r="30" spans="1:32">
      <c r="A30">
        <v>1</v>
      </c>
      <c r="B30">
        <v>27</v>
      </c>
      <c r="C30" t="s">
        <v>469</v>
      </c>
      <c r="D30" t="s">
        <v>630</v>
      </c>
      <c r="E30" t="s">
        <v>590</v>
      </c>
      <c r="F30">
        <v>24</v>
      </c>
      <c r="G30" t="s">
        <v>732</v>
      </c>
      <c r="H30" t="s">
        <v>1032</v>
      </c>
      <c r="I30" t="s">
        <v>1033</v>
      </c>
      <c r="J30" t="s">
        <v>814</v>
      </c>
      <c r="K30" t="s">
        <v>931</v>
      </c>
      <c r="L30" s="40">
        <v>40038.918918918913</v>
      </c>
      <c r="M30" s="40">
        <v>960934</v>
      </c>
      <c r="N30" s="40">
        <v>43243</v>
      </c>
      <c r="O30" s="40">
        <v>1037838</v>
      </c>
      <c r="Q30" s="40">
        <v>0</v>
      </c>
      <c r="R30" s="35">
        <v>45848</v>
      </c>
      <c r="T30" t="s">
        <v>1214</v>
      </c>
      <c r="U30" t="s">
        <v>126</v>
      </c>
      <c r="V30" t="s">
        <v>139</v>
      </c>
      <c r="W30">
        <v>20360</v>
      </c>
      <c r="X30" t="s">
        <v>691</v>
      </c>
      <c r="Y30" t="s">
        <v>1060</v>
      </c>
      <c r="Z30" t="s">
        <v>377</v>
      </c>
      <c r="AA30" t="s">
        <v>140</v>
      </c>
      <c r="AB30" t="s">
        <v>141</v>
      </c>
      <c r="AC30">
        <v>11611</v>
      </c>
      <c r="AD30">
        <v>11612</v>
      </c>
      <c r="AE30">
        <v>101</v>
      </c>
      <c r="AF30">
        <v>1</v>
      </c>
    </row>
    <row r="31" spans="1:32">
      <c r="A31">
        <v>1</v>
      </c>
      <c r="B31">
        <v>28</v>
      </c>
      <c r="C31" t="s">
        <v>417</v>
      </c>
      <c r="D31" t="s">
        <v>630</v>
      </c>
      <c r="E31" t="s">
        <v>538</v>
      </c>
      <c r="F31">
        <v>48</v>
      </c>
      <c r="G31" t="s">
        <v>732</v>
      </c>
      <c r="H31" t="s">
        <v>1034</v>
      </c>
      <c r="I31" t="s">
        <v>1035</v>
      </c>
      <c r="J31" t="s">
        <v>815</v>
      </c>
      <c r="K31" t="s">
        <v>932</v>
      </c>
      <c r="L31" s="40">
        <v>40038.918918918913</v>
      </c>
      <c r="M31" s="40">
        <v>1921868</v>
      </c>
      <c r="N31" s="40">
        <v>43243</v>
      </c>
      <c r="O31" s="40">
        <v>2075676</v>
      </c>
      <c r="Q31" s="40">
        <v>0</v>
      </c>
      <c r="R31" s="35">
        <v>45848</v>
      </c>
      <c r="T31" t="s">
        <v>1214</v>
      </c>
      <c r="U31" t="s">
        <v>126</v>
      </c>
      <c r="V31" t="s">
        <v>139</v>
      </c>
      <c r="W31">
        <v>20180</v>
      </c>
      <c r="X31" t="s">
        <v>688</v>
      </c>
      <c r="Y31" t="s">
        <v>1060</v>
      </c>
      <c r="Z31" t="s">
        <v>377</v>
      </c>
      <c r="AA31" t="s">
        <v>140</v>
      </c>
      <c r="AB31" t="s">
        <v>141</v>
      </c>
      <c r="AC31">
        <v>11611</v>
      </c>
      <c r="AD31">
        <v>11612</v>
      </c>
      <c r="AE31">
        <v>101</v>
      </c>
      <c r="AF31">
        <v>1</v>
      </c>
    </row>
    <row r="32" spans="1:32">
      <c r="A32">
        <v>1</v>
      </c>
      <c r="B32">
        <v>29</v>
      </c>
      <c r="C32" t="s">
        <v>421</v>
      </c>
      <c r="D32" t="s">
        <v>630</v>
      </c>
      <c r="E32" t="s">
        <v>542</v>
      </c>
      <c r="F32">
        <v>48</v>
      </c>
      <c r="G32" t="s">
        <v>732</v>
      </c>
      <c r="H32" t="s">
        <v>1034</v>
      </c>
      <c r="I32" t="s">
        <v>1035</v>
      </c>
      <c r="J32" t="s">
        <v>816</v>
      </c>
      <c r="K32" t="s">
        <v>933</v>
      </c>
      <c r="L32" s="40">
        <v>20019.459459459456</v>
      </c>
      <c r="M32" s="40">
        <v>960934</v>
      </c>
      <c r="N32" s="40">
        <v>21622</v>
      </c>
      <c r="O32" s="40">
        <v>1037838</v>
      </c>
      <c r="Q32" s="40">
        <v>0</v>
      </c>
      <c r="R32" s="35">
        <v>45848</v>
      </c>
      <c r="T32" t="s">
        <v>1214</v>
      </c>
      <c r="U32" t="s">
        <v>126</v>
      </c>
      <c r="V32" t="s">
        <v>139</v>
      </c>
      <c r="W32">
        <v>20070</v>
      </c>
      <c r="X32" t="s">
        <v>689</v>
      </c>
      <c r="Y32" t="s">
        <v>1060</v>
      </c>
      <c r="Z32" t="s">
        <v>377</v>
      </c>
      <c r="AA32" t="s">
        <v>140</v>
      </c>
      <c r="AB32" t="s">
        <v>141</v>
      </c>
      <c r="AC32">
        <v>11611</v>
      </c>
      <c r="AD32">
        <v>11612</v>
      </c>
      <c r="AE32">
        <v>101</v>
      </c>
      <c r="AF32">
        <v>1</v>
      </c>
    </row>
    <row r="33" spans="1:32">
      <c r="A33">
        <v>1</v>
      </c>
      <c r="B33">
        <v>30</v>
      </c>
      <c r="C33" t="s">
        <v>420</v>
      </c>
      <c r="D33" t="s">
        <v>630</v>
      </c>
      <c r="E33" t="s">
        <v>541</v>
      </c>
      <c r="F33">
        <v>48</v>
      </c>
      <c r="G33" t="s">
        <v>732</v>
      </c>
      <c r="H33" t="s">
        <v>1034</v>
      </c>
      <c r="I33" t="s">
        <v>1035</v>
      </c>
      <c r="J33" t="s">
        <v>817</v>
      </c>
      <c r="K33" t="s">
        <v>934</v>
      </c>
      <c r="L33" s="40">
        <v>40038.918918918913</v>
      </c>
      <c r="M33" s="40">
        <v>1921868</v>
      </c>
      <c r="N33" s="40">
        <v>43243</v>
      </c>
      <c r="O33" s="40">
        <v>2075676</v>
      </c>
      <c r="Q33" s="40">
        <v>0</v>
      </c>
      <c r="R33" s="35">
        <v>45848</v>
      </c>
      <c r="T33" t="s">
        <v>1214</v>
      </c>
      <c r="U33" t="s">
        <v>126</v>
      </c>
      <c r="V33" t="s">
        <v>139</v>
      </c>
      <c r="W33">
        <v>20180</v>
      </c>
      <c r="X33" t="s">
        <v>688</v>
      </c>
      <c r="Y33" t="s">
        <v>1060</v>
      </c>
      <c r="Z33" t="s">
        <v>377</v>
      </c>
      <c r="AA33" t="s">
        <v>140</v>
      </c>
      <c r="AB33" t="s">
        <v>141</v>
      </c>
      <c r="AC33">
        <v>11611</v>
      </c>
      <c r="AD33">
        <v>11612</v>
      </c>
      <c r="AE33">
        <v>101</v>
      </c>
      <c r="AF33">
        <v>1</v>
      </c>
    </row>
    <row r="34" spans="1:32">
      <c r="A34">
        <v>1</v>
      </c>
      <c r="B34">
        <v>31</v>
      </c>
      <c r="C34" t="s">
        <v>424</v>
      </c>
      <c r="D34" t="s">
        <v>630</v>
      </c>
      <c r="E34" t="s">
        <v>545</v>
      </c>
      <c r="F34">
        <v>48</v>
      </c>
      <c r="G34" t="s">
        <v>732</v>
      </c>
      <c r="H34" t="s">
        <v>1034</v>
      </c>
      <c r="I34" t="s">
        <v>1035</v>
      </c>
      <c r="J34" t="s">
        <v>818</v>
      </c>
      <c r="K34" t="s">
        <v>935</v>
      </c>
      <c r="L34" s="40">
        <v>20019.459459459456</v>
      </c>
      <c r="M34" s="40">
        <v>960934</v>
      </c>
      <c r="N34" s="40">
        <v>21622</v>
      </c>
      <c r="O34" s="40">
        <v>1037838</v>
      </c>
      <c r="Q34" s="40">
        <v>0</v>
      </c>
      <c r="R34" s="35">
        <v>45848</v>
      </c>
      <c r="T34" t="s">
        <v>1214</v>
      </c>
      <c r="U34" t="s">
        <v>126</v>
      </c>
      <c r="V34" t="s">
        <v>139</v>
      </c>
      <c r="W34">
        <v>20070</v>
      </c>
      <c r="X34" t="s">
        <v>689</v>
      </c>
      <c r="Y34" t="s">
        <v>1060</v>
      </c>
      <c r="Z34" t="s">
        <v>377</v>
      </c>
      <c r="AA34" t="s">
        <v>140</v>
      </c>
      <c r="AB34" t="s">
        <v>141</v>
      </c>
      <c r="AC34">
        <v>11611</v>
      </c>
      <c r="AD34">
        <v>11612</v>
      </c>
      <c r="AE34">
        <v>101</v>
      </c>
      <c r="AF34">
        <v>1</v>
      </c>
    </row>
    <row r="35" spans="1:32">
      <c r="A35">
        <v>1</v>
      </c>
      <c r="B35">
        <v>32</v>
      </c>
      <c r="C35" t="s">
        <v>418</v>
      </c>
      <c r="D35" t="s">
        <v>630</v>
      </c>
      <c r="E35" t="s">
        <v>539</v>
      </c>
      <c r="F35">
        <v>48</v>
      </c>
      <c r="G35" t="s">
        <v>732</v>
      </c>
      <c r="H35" t="s">
        <v>1034</v>
      </c>
      <c r="I35" t="s">
        <v>1035</v>
      </c>
      <c r="J35" t="s">
        <v>819</v>
      </c>
      <c r="K35" t="s">
        <v>936</v>
      </c>
      <c r="L35" s="40">
        <v>40038.918918918913</v>
      </c>
      <c r="M35" s="40">
        <v>1921868</v>
      </c>
      <c r="N35" s="40">
        <v>43243</v>
      </c>
      <c r="O35" s="40">
        <v>2075676</v>
      </c>
      <c r="Q35" s="40">
        <v>0</v>
      </c>
      <c r="R35" s="35">
        <v>45848</v>
      </c>
      <c r="T35" t="s">
        <v>1214</v>
      </c>
      <c r="U35" t="s">
        <v>126</v>
      </c>
      <c r="V35" t="s">
        <v>139</v>
      </c>
      <c r="W35">
        <v>20180</v>
      </c>
      <c r="X35" t="s">
        <v>688</v>
      </c>
      <c r="Y35" t="s">
        <v>1060</v>
      </c>
      <c r="Z35" t="s">
        <v>377</v>
      </c>
      <c r="AA35" t="s">
        <v>140</v>
      </c>
      <c r="AB35" t="s">
        <v>141</v>
      </c>
      <c r="AC35">
        <v>11611</v>
      </c>
      <c r="AD35">
        <v>11612</v>
      </c>
      <c r="AE35">
        <v>101</v>
      </c>
      <c r="AF35">
        <v>1</v>
      </c>
    </row>
    <row r="36" spans="1:32">
      <c r="A36">
        <v>1</v>
      </c>
      <c r="B36">
        <v>33</v>
      </c>
      <c r="C36" t="s">
        <v>422</v>
      </c>
      <c r="D36" t="s">
        <v>630</v>
      </c>
      <c r="E36" t="s">
        <v>543</v>
      </c>
      <c r="F36">
        <v>48</v>
      </c>
      <c r="G36" t="s">
        <v>732</v>
      </c>
      <c r="H36" t="s">
        <v>1034</v>
      </c>
      <c r="I36" t="s">
        <v>1035</v>
      </c>
      <c r="J36" t="s">
        <v>820</v>
      </c>
      <c r="K36" t="s">
        <v>937</v>
      </c>
      <c r="L36" s="40">
        <v>20019.459459459456</v>
      </c>
      <c r="M36" s="40">
        <v>960934</v>
      </c>
      <c r="N36" s="40">
        <v>21622</v>
      </c>
      <c r="O36" s="40">
        <v>1037838</v>
      </c>
      <c r="Q36" s="40">
        <v>0</v>
      </c>
      <c r="R36" s="35">
        <v>45848</v>
      </c>
      <c r="T36" t="s">
        <v>1214</v>
      </c>
      <c r="U36" t="s">
        <v>126</v>
      </c>
      <c r="V36" t="s">
        <v>139</v>
      </c>
      <c r="W36">
        <v>20070</v>
      </c>
      <c r="X36" t="s">
        <v>689</v>
      </c>
      <c r="Y36" t="s">
        <v>1060</v>
      </c>
      <c r="Z36" t="s">
        <v>377</v>
      </c>
      <c r="AA36" t="s">
        <v>140</v>
      </c>
      <c r="AB36" t="s">
        <v>141</v>
      </c>
      <c r="AC36">
        <v>11611</v>
      </c>
      <c r="AD36">
        <v>11612</v>
      </c>
      <c r="AE36">
        <v>101</v>
      </c>
      <c r="AF36">
        <v>1</v>
      </c>
    </row>
    <row r="37" spans="1:32">
      <c r="A37">
        <v>1</v>
      </c>
      <c r="B37">
        <v>34</v>
      </c>
      <c r="C37" t="s">
        <v>419</v>
      </c>
      <c r="D37" t="s">
        <v>630</v>
      </c>
      <c r="E37" t="s">
        <v>540</v>
      </c>
      <c r="F37">
        <v>48</v>
      </c>
      <c r="G37" t="s">
        <v>732</v>
      </c>
      <c r="H37" t="s">
        <v>1034</v>
      </c>
      <c r="I37" t="s">
        <v>1035</v>
      </c>
      <c r="J37" t="s">
        <v>821</v>
      </c>
      <c r="K37" t="s">
        <v>938</v>
      </c>
      <c r="L37" s="40">
        <v>40038.918918918913</v>
      </c>
      <c r="M37" s="40">
        <v>1921868</v>
      </c>
      <c r="N37" s="40">
        <v>43243</v>
      </c>
      <c r="O37" s="40">
        <v>2075676</v>
      </c>
      <c r="Q37" s="40">
        <v>0</v>
      </c>
      <c r="R37" s="35">
        <v>45848</v>
      </c>
      <c r="T37" t="s">
        <v>1214</v>
      </c>
      <c r="U37" t="s">
        <v>126</v>
      </c>
      <c r="V37" t="s">
        <v>139</v>
      </c>
      <c r="W37">
        <v>20180</v>
      </c>
      <c r="X37" t="s">
        <v>688</v>
      </c>
      <c r="Y37" t="s">
        <v>1060</v>
      </c>
      <c r="Z37" t="s">
        <v>377</v>
      </c>
      <c r="AA37" t="s">
        <v>140</v>
      </c>
      <c r="AB37" t="s">
        <v>141</v>
      </c>
      <c r="AC37">
        <v>11611</v>
      </c>
      <c r="AD37">
        <v>11612</v>
      </c>
      <c r="AE37">
        <v>101</v>
      </c>
      <c r="AF37">
        <v>1</v>
      </c>
    </row>
    <row r="38" spans="1:32">
      <c r="A38">
        <v>1</v>
      </c>
      <c r="B38">
        <v>35</v>
      </c>
      <c r="C38" t="s">
        <v>423</v>
      </c>
      <c r="D38" t="s">
        <v>630</v>
      </c>
      <c r="E38" t="s">
        <v>544</v>
      </c>
      <c r="F38">
        <v>48</v>
      </c>
      <c r="G38" t="s">
        <v>732</v>
      </c>
      <c r="H38" t="s">
        <v>1034</v>
      </c>
      <c r="I38" t="s">
        <v>1035</v>
      </c>
      <c r="J38" t="s">
        <v>822</v>
      </c>
      <c r="K38" t="s">
        <v>939</v>
      </c>
      <c r="L38" s="40">
        <v>20019.459459459456</v>
      </c>
      <c r="M38" s="40">
        <v>960934</v>
      </c>
      <c r="N38" s="40">
        <v>21622</v>
      </c>
      <c r="O38" s="40">
        <v>1037838</v>
      </c>
      <c r="Q38" s="40">
        <v>0</v>
      </c>
      <c r="R38" s="35">
        <v>45848</v>
      </c>
      <c r="T38" t="s">
        <v>1214</v>
      </c>
      <c r="U38" t="s">
        <v>126</v>
      </c>
      <c r="V38" t="s">
        <v>139</v>
      </c>
      <c r="W38">
        <v>20070</v>
      </c>
      <c r="X38" t="s">
        <v>689</v>
      </c>
      <c r="Y38" t="s">
        <v>1060</v>
      </c>
      <c r="Z38" t="s">
        <v>377</v>
      </c>
      <c r="AA38" t="s">
        <v>140</v>
      </c>
      <c r="AB38" t="s">
        <v>141</v>
      </c>
      <c r="AC38">
        <v>11611</v>
      </c>
      <c r="AD38">
        <v>11612</v>
      </c>
      <c r="AE38">
        <v>101</v>
      </c>
      <c r="AF38">
        <v>1</v>
      </c>
    </row>
    <row r="39" spans="1:32">
      <c r="A39">
        <v>1</v>
      </c>
      <c r="B39">
        <v>36</v>
      </c>
      <c r="C39">
        <v>112603000</v>
      </c>
      <c r="D39" t="s">
        <v>630</v>
      </c>
      <c r="E39" t="s">
        <v>1099</v>
      </c>
      <c r="F39">
        <v>48</v>
      </c>
      <c r="G39" t="s">
        <v>705</v>
      </c>
      <c r="H39" t="s">
        <v>1215</v>
      </c>
      <c r="I39" t="s">
        <v>1216</v>
      </c>
      <c r="J39" t="s">
        <v>1147</v>
      </c>
      <c r="K39" t="s">
        <v>1199</v>
      </c>
      <c r="M39" s="40">
        <v>0</v>
      </c>
      <c r="O39" s="40">
        <v>0</v>
      </c>
      <c r="Q39" s="40">
        <v>0</v>
      </c>
      <c r="R39" s="35"/>
      <c r="T39" t="s">
        <v>1214</v>
      </c>
      <c r="U39" t="s">
        <v>126</v>
      </c>
      <c r="V39" t="s">
        <v>139</v>
      </c>
      <c r="W39">
        <v>20030</v>
      </c>
      <c r="X39" t="s">
        <v>718</v>
      </c>
      <c r="AA39" t="s">
        <v>140</v>
      </c>
      <c r="AB39" t="s">
        <v>141</v>
      </c>
      <c r="AC39">
        <v>11611</v>
      </c>
      <c r="AD39">
        <v>11612</v>
      </c>
      <c r="AF39">
        <v>1</v>
      </c>
    </row>
    <row r="40" spans="1:32">
      <c r="A40">
        <v>1</v>
      </c>
      <c r="B40">
        <v>37</v>
      </c>
      <c r="C40">
        <v>112601000</v>
      </c>
      <c r="D40" t="s">
        <v>630</v>
      </c>
      <c r="E40" t="s">
        <v>1098</v>
      </c>
      <c r="F40">
        <v>48</v>
      </c>
      <c r="G40" t="s">
        <v>705</v>
      </c>
      <c r="H40" t="s">
        <v>1215</v>
      </c>
      <c r="I40" t="s">
        <v>1216</v>
      </c>
      <c r="J40" t="s">
        <v>1148</v>
      </c>
      <c r="K40" t="s">
        <v>1200</v>
      </c>
      <c r="M40" s="40">
        <v>0</v>
      </c>
      <c r="O40" s="40">
        <v>0</v>
      </c>
      <c r="Q40" s="40">
        <v>0</v>
      </c>
      <c r="R40" s="35"/>
      <c r="T40" t="s">
        <v>1214</v>
      </c>
      <c r="U40" t="s">
        <v>126</v>
      </c>
      <c r="V40" t="s">
        <v>139</v>
      </c>
      <c r="W40">
        <v>20030</v>
      </c>
      <c r="X40" t="s">
        <v>718</v>
      </c>
      <c r="AA40" t="s">
        <v>140</v>
      </c>
      <c r="AB40" t="s">
        <v>141</v>
      </c>
      <c r="AC40">
        <v>11611</v>
      </c>
      <c r="AD40">
        <v>11612</v>
      </c>
      <c r="AF40">
        <v>1</v>
      </c>
    </row>
    <row r="41" spans="1:32">
      <c r="A41">
        <v>1</v>
      </c>
      <c r="B41">
        <v>38</v>
      </c>
      <c r="C41">
        <v>112604000</v>
      </c>
      <c r="D41" t="s">
        <v>630</v>
      </c>
      <c r="E41" t="s">
        <v>1097</v>
      </c>
      <c r="F41">
        <v>48</v>
      </c>
      <c r="G41" t="s">
        <v>705</v>
      </c>
      <c r="H41" t="s">
        <v>1215</v>
      </c>
      <c r="I41" t="s">
        <v>1216</v>
      </c>
      <c r="J41" t="s">
        <v>1149</v>
      </c>
      <c r="K41" t="s">
        <v>1201</v>
      </c>
      <c r="M41" s="40">
        <v>0</v>
      </c>
      <c r="O41" s="40">
        <v>0</v>
      </c>
      <c r="Q41" s="40">
        <v>0</v>
      </c>
      <c r="R41" s="35"/>
      <c r="T41" t="s">
        <v>1214</v>
      </c>
      <c r="U41" t="s">
        <v>126</v>
      </c>
      <c r="V41" t="s">
        <v>139</v>
      </c>
      <c r="W41">
        <v>20030</v>
      </c>
      <c r="X41" t="s">
        <v>718</v>
      </c>
      <c r="AA41" t="s">
        <v>140</v>
      </c>
      <c r="AB41" t="s">
        <v>141</v>
      </c>
      <c r="AC41">
        <v>11611</v>
      </c>
      <c r="AD41">
        <v>11612</v>
      </c>
      <c r="AF41">
        <v>1</v>
      </c>
    </row>
    <row r="42" spans="1:32">
      <c r="A42">
        <v>1</v>
      </c>
      <c r="B42">
        <v>39</v>
      </c>
      <c r="C42">
        <v>112602000</v>
      </c>
      <c r="D42" t="s">
        <v>630</v>
      </c>
      <c r="E42" t="s">
        <v>1100</v>
      </c>
      <c r="F42">
        <v>48</v>
      </c>
      <c r="G42" t="s">
        <v>705</v>
      </c>
      <c r="H42" t="s">
        <v>1215</v>
      </c>
      <c r="I42" t="s">
        <v>1216</v>
      </c>
      <c r="J42" t="s">
        <v>1150</v>
      </c>
      <c r="K42" t="s">
        <v>1202</v>
      </c>
      <c r="M42" s="40">
        <v>0</v>
      </c>
      <c r="O42" s="40">
        <v>0</v>
      </c>
      <c r="Q42" s="40">
        <v>0</v>
      </c>
      <c r="R42" s="35"/>
      <c r="T42" t="s">
        <v>1214</v>
      </c>
      <c r="U42" t="s">
        <v>126</v>
      </c>
      <c r="V42" t="s">
        <v>139</v>
      </c>
      <c r="W42">
        <v>20030</v>
      </c>
      <c r="X42" t="s">
        <v>718</v>
      </c>
      <c r="AA42" t="s">
        <v>140</v>
      </c>
      <c r="AB42" t="s">
        <v>141</v>
      </c>
      <c r="AC42">
        <v>11611</v>
      </c>
      <c r="AD42">
        <v>11612</v>
      </c>
      <c r="AF42">
        <v>1</v>
      </c>
    </row>
    <row r="43" spans="1:32">
      <c r="A43">
        <v>1</v>
      </c>
      <c r="B43">
        <v>40</v>
      </c>
      <c r="C43" t="s">
        <v>431</v>
      </c>
      <c r="D43" t="s">
        <v>628</v>
      </c>
      <c r="E43" t="s">
        <v>552</v>
      </c>
      <c r="F43">
        <v>24</v>
      </c>
      <c r="G43" t="s">
        <v>671</v>
      </c>
      <c r="H43" t="s">
        <v>1036</v>
      </c>
      <c r="I43" t="s">
        <v>1037</v>
      </c>
      <c r="J43" t="s">
        <v>823</v>
      </c>
      <c r="K43" t="s">
        <v>940</v>
      </c>
      <c r="L43" s="40">
        <v>21687.747747747744</v>
      </c>
      <c r="M43" s="40">
        <v>520506</v>
      </c>
      <c r="N43" s="40">
        <v>23423</v>
      </c>
      <c r="O43" s="40">
        <v>562162</v>
      </c>
      <c r="Q43" s="40">
        <v>0</v>
      </c>
      <c r="R43" s="35">
        <v>45848</v>
      </c>
      <c r="T43" t="s">
        <v>1214</v>
      </c>
      <c r="U43" t="s">
        <v>126</v>
      </c>
      <c r="V43" t="s">
        <v>139</v>
      </c>
      <c r="W43">
        <v>20380</v>
      </c>
      <c r="X43" t="s">
        <v>696</v>
      </c>
      <c r="Y43" t="s">
        <v>1060</v>
      </c>
      <c r="Z43" t="s">
        <v>377</v>
      </c>
      <c r="AA43" t="s">
        <v>140</v>
      </c>
      <c r="AB43" t="s">
        <v>141</v>
      </c>
      <c r="AC43">
        <v>11611</v>
      </c>
      <c r="AD43">
        <v>11612</v>
      </c>
      <c r="AE43">
        <v>101</v>
      </c>
      <c r="AF43">
        <v>1</v>
      </c>
    </row>
    <row r="44" spans="1:32">
      <c r="A44">
        <v>1</v>
      </c>
      <c r="B44">
        <v>41</v>
      </c>
      <c r="C44" t="s">
        <v>450</v>
      </c>
      <c r="D44" t="s">
        <v>628</v>
      </c>
      <c r="E44" t="s">
        <v>571</v>
      </c>
      <c r="F44">
        <v>24</v>
      </c>
      <c r="G44" t="s">
        <v>671</v>
      </c>
      <c r="H44" t="s">
        <v>1036</v>
      </c>
      <c r="I44" t="s">
        <v>1037</v>
      </c>
      <c r="J44" t="s">
        <v>824</v>
      </c>
      <c r="K44" t="s">
        <v>941</v>
      </c>
      <c r="L44" s="40">
        <v>21687.747747747744</v>
      </c>
      <c r="M44" s="40">
        <v>520506</v>
      </c>
      <c r="N44" s="40">
        <v>23423</v>
      </c>
      <c r="O44" s="40">
        <v>562162</v>
      </c>
      <c r="Q44" s="40">
        <v>0</v>
      </c>
      <c r="R44" s="35">
        <v>45848</v>
      </c>
      <c r="T44" t="s">
        <v>1214</v>
      </c>
      <c r="U44" t="s">
        <v>126</v>
      </c>
      <c r="V44" t="s">
        <v>139</v>
      </c>
      <c r="W44">
        <v>20380</v>
      </c>
      <c r="X44" t="s">
        <v>696</v>
      </c>
      <c r="Y44" t="s">
        <v>1060</v>
      </c>
      <c r="Z44" t="s">
        <v>377</v>
      </c>
      <c r="AA44" t="s">
        <v>140</v>
      </c>
      <c r="AB44" t="s">
        <v>141</v>
      </c>
      <c r="AC44">
        <v>11611</v>
      </c>
      <c r="AD44">
        <v>11612</v>
      </c>
      <c r="AE44">
        <v>101</v>
      </c>
      <c r="AF44">
        <v>1</v>
      </c>
    </row>
    <row r="45" spans="1:32">
      <c r="A45">
        <v>1</v>
      </c>
      <c r="B45">
        <v>42</v>
      </c>
      <c r="C45" t="s">
        <v>437</v>
      </c>
      <c r="D45" t="s">
        <v>628</v>
      </c>
      <c r="E45" t="s">
        <v>558</v>
      </c>
      <c r="F45">
        <v>24</v>
      </c>
      <c r="G45" t="s">
        <v>671</v>
      </c>
      <c r="H45" t="s">
        <v>1036</v>
      </c>
      <c r="I45" t="s">
        <v>1037</v>
      </c>
      <c r="J45" t="s">
        <v>825</v>
      </c>
      <c r="K45" t="s">
        <v>942</v>
      </c>
      <c r="L45" s="40">
        <v>21687.747747747744</v>
      </c>
      <c r="M45" s="40">
        <v>520506</v>
      </c>
      <c r="N45" s="40">
        <v>23423</v>
      </c>
      <c r="O45" s="40">
        <v>562162</v>
      </c>
      <c r="Q45" s="40">
        <v>0</v>
      </c>
      <c r="R45" s="35">
        <v>45848</v>
      </c>
      <c r="T45" t="s">
        <v>1214</v>
      </c>
      <c r="U45" t="s">
        <v>126</v>
      </c>
      <c r="V45" t="s">
        <v>139</v>
      </c>
      <c r="W45">
        <v>20380</v>
      </c>
      <c r="X45" t="s">
        <v>696</v>
      </c>
      <c r="Y45" t="s">
        <v>1060</v>
      </c>
      <c r="Z45" t="s">
        <v>377</v>
      </c>
      <c r="AA45" t="s">
        <v>140</v>
      </c>
      <c r="AB45" t="s">
        <v>141</v>
      </c>
      <c r="AC45">
        <v>11611</v>
      </c>
      <c r="AD45">
        <v>11612</v>
      </c>
      <c r="AE45">
        <v>101</v>
      </c>
      <c r="AF45">
        <v>1</v>
      </c>
    </row>
    <row r="46" spans="1:32">
      <c r="A46">
        <v>1</v>
      </c>
      <c r="B46">
        <v>43</v>
      </c>
      <c r="C46" t="s">
        <v>436</v>
      </c>
      <c r="D46" t="s">
        <v>628</v>
      </c>
      <c r="E46" t="s">
        <v>557</v>
      </c>
      <c r="F46">
        <v>12</v>
      </c>
      <c r="G46" t="s">
        <v>671</v>
      </c>
      <c r="H46" t="s">
        <v>1036</v>
      </c>
      <c r="I46" t="s">
        <v>1037</v>
      </c>
      <c r="J46" t="s">
        <v>826</v>
      </c>
      <c r="K46" t="s">
        <v>943</v>
      </c>
      <c r="L46" s="40">
        <v>39204.774774774771</v>
      </c>
      <c r="M46" s="40">
        <v>470457</v>
      </c>
      <c r="N46" s="40">
        <v>42342</v>
      </c>
      <c r="O46" s="40">
        <v>508108</v>
      </c>
      <c r="Q46" s="40">
        <v>0</v>
      </c>
      <c r="R46" s="35">
        <v>45848</v>
      </c>
      <c r="T46" t="s">
        <v>1214</v>
      </c>
      <c r="U46" t="s">
        <v>126</v>
      </c>
      <c r="V46" t="s">
        <v>139</v>
      </c>
      <c r="W46">
        <v>20725</v>
      </c>
      <c r="X46" t="s">
        <v>695</v>
      </c>
      <c r="Y46" t="s">
        <v>1060</v>
      </c>
      <c r="Z46" t="s">
        <v>377</v>
      </c>
      <c r="AA46" t="s">
        <v>140</v>
      </c>
      <c r="AB46" t="s">
        <v>141</v>
      </c>
      <c r="AC46">
        <v>11611</v>
      </c>
      <c r="AD46">
        <v>11612</v>
      </c>
      <c r="AE46">
        <v>101</v>
      </c>
      <c r="AF46">
        <v>1</v>
      </c>
    </row>
    <row r="47" spans="1:32">
      <c r="A47">
        <v>1</v>
      </c>
      <c r="B47">
        <v>44</v>
      </c>
      <c r="C47" t="s">
        <v>435</v>
      </c>
      <c r="D47" t="s">
        <v>631</v>
      </c>
      <c r="E47" t="s">
        <v>556</v>
      </c>
      <c r="F47">
        <v>48</v>
      </c>
      <c r="G47" t="s">
        <v>734</v>
      </c>
      <c r="H47" t="s">
        <v>1036</v>
      </c>
      <c r="I47" t="s">
        <v>1037</v>
      </c>
      <c r="J47" t="s">
        <v>827</v>
      </c>
      <c r="K47" t="s">
        <v>944</v>
      </c>
      <c r="L47" s="40">
        <v>3336.5765765765759</v>
      </c>
      <c r="M47" s="40">
        <v>160156</v>
      </c>
      <c r="N47" s="40">
        <v>3604</v>
      </c>
      <c r="O47" s="40">
        <v>172973</v>
      </c>
      <c r="Q47" s="40">
        <v>0</v>
      </c>
      <c r="R47" s="35">
        <v>45848</v>
      </c>
      <c r="T47" t="s">
        <v>1214</v>
      </c>
      <c r="U47" t="s">
        <v>126</v>
      </c>
      <c r="V47" t="s">
        <v>139</v>
      </c>
      <c r="W47">
        <v>20085</v>
      </c>
      <c r="X47" t="s">
        <v>720</v>
      </c>
      <c r="Y47" t="s">
        <v>1060</v>
      </c>
      <c r="Z47" t="s">
        <v>377</v>
      </c>
      <c r="AA47" t="s">
        <v>140</v>
      </c>
      <c r="AB47" t="s">
        <v>141</v>
      </c>
      <c r="AC47">
        <v>11611</v>
      </c>
      <c r="AD47">
        <v>11612</v>
      </c>
      <c r="AE47">
        <v>101</v>
      </c>
      <c r="AF47">
        <v>1</v>
      </c>
    </row>
    <row r="48" spans="1:32">
      <c r="A48">
        <v>1</v>
      </c>
      <c r="B48">
        <v>45</v>
      </c>
      <c r="C48" t="s">
        <v>427</v>
      </c>
      <c r="D48" t="s">
        <v>628</v>
      </c>
      <c r="E48" t="s">
        <v>548</v>
      </c>
      <c r="F48">
        <v>24</v>
      </c>
      <c r="G48" t="s">
        <v>671</v>
      </c>
      <c r="H48" t="s">
        <v>1036</v>
      </c>
      <c r="I48" t="s">
        <v>1037</v>
      </c>
      <c r="J48" t="s">
        <v>828</v>
      </c>
      <c r="K48" t="s">
        <v>945</v>
      </c>
      <c r="L48" s="40">
        <v>21687.747747747744</v>
      </c>
      <c r="M48" s="40">
        <v>520506</v>
      </c>
      <c r="N48" s="40">
        <v>23423</v>
      </c>
      <c r="O48" s="40">
        <v>562162</v>
      </c>
      <c r="Q48" s="40">
        <v>0</v>
      </c>
      <c r="R48" s="35">
        <v>45848</v>
      </c>
      <c r="T48" t="s">
        <v>1214</v>
      </c>
      <c r="U48" t="s">
        <v>126</v>
      </c>
      <c r="V48" t="s">
        <v>139</v>
      </c>
      <c r="W48">
        <v>20380</v>
      </c>
      <c r="X48" t="s">
        <v>696</v>
      </c>
      <c r="Y48" t="s">
        <v>1060</v>
      </c>
      <c r="Z48" t="s">
        <v>377</v>
      </c>
      <c r="AA48" t="s">
        <v>140</v>
      </c>
      <c r="AB48" t="s">
        <v>141</v>
      </c>
      <c r="AC48">
        <v>11611</v>
      </c>
      <c r="AD48">
        <v>11612</v>
      </c>
      <c r="AE48">
        <v>101</v>
      </c>
      <c r="AF48">
        <v>1</v>
      </c>
    </row>
    <row r="49" spans="1:32">
      <c r="A49">
        <v>1</v>
      </c>
      <c r="B49">
        <v>46</v>
      </c>
      <c r="C49" t="s">
        <v>426</v>
      </c>
      <c r="D49" t="s">
        <v>628</v>
      </c>
      <c r="E49" t="s">
        <v>547</v>
      </c>
      <c r="F49">
        <v>12</v>
      </c>
      <c r="G49" t="s">
        <v>671</v>
      </c>
      <c r="H49" t="s">
        <v>1036</v>
      </c>
      <c r="I49" t="s">
        <v>1037</v>
      </c>
      <c r="J49" t="s">
        <v>829</v>
      </c>
      <c r="K49" t="s">
        <v>946</v>
      </c>
      <c r="L49" s="40">
        <v>39204.774774774771</v>
      </c>
      <c r="M49" s="40">
        <v>470457</v>
      </c>
      <c r="N49" s="40">
        <v>42342</v>
      </c>
      <c r="O49" s="40">
        <v>508108</v>
      </c>
      <c r="Q49" s="40">
        <v>0</v>
      </c>
      <c r="R49" s="35">
        <v>45848</v>
      </c>
      <c r="T49" t="s">
        <v>1214</v>
      </c>
      <c r="U49" t="s">
        <v>126</v>
      </c>
      <c r="V49" t="s">
        <v>139</v>
      </c>
      <c r="W49">
        <v>20725</v>
      </c>
      <c r="X49" t="s">
        <v>695</v>
      </c>
      <c r="Y49" t="s">
        <v>1060</v>
      </c>
      <c r="Z49" t="s">
        <v>377</v>
      </c>
      <c r="AA49" t="s">
        <v>140</v>
      </c>
      <c r="AB49" t="s">
        <v>141</v>
      </c>
      <c r="AC49">
        <v>11611</v>
      </c>
      <c r="AD49">
        <v>11612</v>
      </c>
      <c r="AE49">
        <v>101</v>
      </c>
      <c r="AF49">
        <v>1</v>
      </c>
    </row>
    <row r="50" spans="1:32">
      <c r="A50">
        <v>1</v>
      </c>
      <c r="B50">
        <v>47</v>
      </c>
      <c r="C50" t="s">
        <v>1083</v>
      </c>
      <c r="D50" t="s">
        <v>628</v>
      </c>
      <c r="E50" t="s">
        <v>1077</v>
      </c>
      <c r="F50">
        <v>12</v>
      </c>
      <c r="G50" t="s">
        <v>671</v>
      </c>
      <c r="H50" t="s">
        <v>1036</v>
      </c>
      <c r="I50" t="s">
        <v>1037</v>
      </c>
      <c r="J50" t="s">
        <v>1151</v>
      </c>
      <c r="K50" t="s">
        <v>1181</v>
      </c>
      <c r="L50" s="40">
        <v>43375.495495495488</v>
      </c>
      <c r="M50" s="40">
        <v>520506</v>
      </c>
      <c r="N50" s="40">
        <v>46847</v>
      </c>
      <c r="O50" s="40">
        <v>562162</v>
      </c>
      <c r="Q50" s="40">
        <v>0</v>
      </c>
      <c r="R50" s="35">
        <v>45864</v>
      </c>
      <c r="T50" t="s">
        <v>1214</v>
      </c>
      <c r="U50" t="s">
        <v>126</v>
      </c>
      <c r="V50" t="s">
        <v>139</v>
      </c>
      <c r="W50">
        <v>20400</v>
      </c>
      <c r="X50" t="s">
        <v>670</v>
      </c>
      <c r="Y50" t="s">
        <v>1060</v>
      </c>
      <c r="Z50" t="s">
        <v>377</v>
      </c>
      <c r="AA50" t="s">
        <v>140</v>
      </c>
      <c r="AB50" t="s">
        <v>141</v>
      </c>
      <c r="AC50">
        <v>11611</v>
      </c>
      <c r="AD50">
        <v>11612</v>
      </c>
      <c r="AE50">
        <v>101</v>
      </c>
      <c r="AF50">
        <v>1</v>
      </c>
    </row>
    <row r="51" spans="1:32">
      <c r="A51">
        <v>1</v>
      </c>
      <c r="B51">
        <v>49</v>
      </c>
      <c r="C51" t="s">
        <v>425</v>
      </c>
      <c r="D51" t="s">
        <v>631</v>
      </c>
      <c r="E51" t="s">
        <v>546</v>
      </c>
      <c r="F51">
        <v>48</v>
      </c>
      <c r="G51" t="s">
        <v>734</v>
      </c>
      <c r="H51" t="s">
        <v>1036</v>
      </c>
      <c r="I51" t="s">
        <v>1037</v>
      </c>
      <c r="J51" t="s">
        <v>830</v>
      </c>
      <c r="K51" t="s">
        <v>947</v>
      </c>
      <c r="L51" s="40">
        <v>3336.5765765765759</v>
      </c>
      <c r="M51" s="40">
        <v>160156</v>
      </c>
      <c r="N51" s="40">
        <v>3604</v>
      </c>
      <c r="O51" s="40">
        <v>172973</v>
      </c>
      <c r="Q51" s="40">
        <v>0</v>
      </c>
      <c r="R51" s="35">
        <v>45848</v>
      </c>
      <c r="T51" t="s">
        <v>1214</v>
      </c>
      <c r="U51" t="s">
        <v>126</v>
      </c>
      <c r="V51" t="s">
        <v>139</v>
      </c>
      <c r="W51">
        <v>20085</v>
      </c>
      <c r="X51" t="s">
        <v>720</v>
      </c>
      <c r="Y51" t="s">
        <v>1060</v>
      </c>
      <c r="Z51" t="s">
        <v>377</v>
      </c>
      <c r="AA51" t="s">
        <v>140</v>
      </c>
      <c r="AB51" t="s">
        <v>141</v>
      </c>
      <c r="AC51">
        <v>11611</v>
      </c>
      <c r="AD51">
        <v>11612</v>
      </c>
      <c r="AE51">
        <v>101</v>
      </c>
      <c r="AF51">
        <v>1</v>
      </c>
    </row>
    <row r="52" spans="1:32">
      <c r="A52">
        <v>1</v>
      </c>
      <c r="B52">
        <v>50</v>
      </c>
      <c r="C52" t="s">
        <v>441</v>
      </c>
      <c r="D52" t="s">
        <v>628</v>
      </c>
      <c r="E52" t="s">
        <v>562</v>
      </c>
      <c r="F52">
        <v>24</v>
      </c>
      <c r="G52" t="s">
        <v>671</v>
      </c>
      <c r="H52" t="s">
        <v>1036</v>
      </c>
      <c r="I52" t="s">
        <v>1037</v>
      </c>
      <c r="J52" t="s">
        <v>831</v>
      </c>
      <c r="K52" t="s">
        <v>948</v>
      </c>
      <c r="L52" s="40">
        <v>21687.747747747744</v>
      </c>
      <c r="M52" s="40">
        <v>520506</v>
      </c>
      <c r="N52" s="40">
        <v>23423</v>
      </c>
      <c r="O52" s="40">
        <v>562162</v>
      </c>
      <c r="Q52" s="40">
        <v>0</v>
      </c>
      <c r="R52" s="35">
        <v>45848</v>
      </c>
      <c r="T52" t="s">
        <v>1214</v>
      </c>
      <c r="U52" t="s">
        <v>126</v>
      </c>
      <c r="V52" t="s">
        <v>139</v>
      </c>
      <c r="W52">
        <v>20380</v>
      </c>
      <c r="X52" t="s">
        <v>696</v>
      </c>
      <c r="Y52" t="s">
        <v>1060</v>
      </c>
      <c r="Z52" t="s">
        <v>377</v>
      </c>
      <c r="AA52" t="s">
        <v>140</v>
      </c>
      <c r="AB52" t="s">
        <v>141</v>
      </c>
      <c r="AC52">
        <v>11611</v>
      </c>
      <c r="AD52">
        <v>11612</v>
      </c>
      <c r="AE52">
        <v>101</v>
      </c>
      <c r="AF52">
        <v>1</v>
      </c>
    </row>
    <row r="53" spans="1:32">
      <c r="A53">
        <v>1</v>
      </c>
      <c r="B53">
        <v>51</v>
      </c>
      <c r="C53" t="s">
        <v>446</v>
      </c>
      <c r="D53" t="s">
        <v>628</v>
      </c>
      <c r="E53" t="s">
        <v>567</v>
      </c>
      <c r="F53">
        <v>24</v>
      </c>
      <c r="G53" t="s">
        <v>671</v>
      </c>
      <c r="H53" t="s">
        <v>1036</v>
      </c>
      <c r="I53" t="s">
        <v>1037</v>
      </c>
      <c r="J53" t="s">
        <v>832</v>
      </c>
      <c r="K53" t="s">
        <v>949</v>
      </c>
      <c r="L53" s="40">
        <v>21687.747747747744</v>
      </c>
      <c r="M53" s="40">
        <v>520506</v>
      </c>
      <c r="N53" s="40">
        <v>23423</v>
      </c>
      <c r="O53" s="40">
        <v>562162</v>
      </c>
      <c r="Q53" s="40">
        <v>0</v>
      </c>
      <c r="R53" s="35">
        <v>45848</v>
      </c>
      <c r="T53" t="s">
        <v>1214</v>
      </c>
      <c r="U53" t="s">
        <v>126</v>
      </c>
      <c r="V53" t="s">
        <v>139</v>
      </c>
      <c r="W53">
        <v>20380</v>
      </c>
      <c r="X53" t="s">
        <v>696</v>
      </c>
      <c r="Y53" t="s">
        <v>1060</v>
      </c>
      <c r="Z53" t="s">
        <v>377</v>
      </c>
      <c r="AA53" t="s">
        <v>140</v>
      </c>
      <c r="AB53" t="s">
        <v>141</v>
      </c>
      <c r="AC53">
        <v>11611</v>
      </c>
      <c r="AD53">
        <v>11612</v>
      </c>
      <c r="AE53">
        <v>101</v>
      </c>
      <c r="AF53">
        <v>1</v>
      </c>
    </row>
    <row r="54" spans="1:32">
      <c r="A54">
        <v>1</v>
      </c>
      <c r="B54">
        <v>52</v>
      </c>
      <c r="C54" t="s">
        <v>445</v>
      </c>
      <c r="D54" t="s">
        <v>628</v>
      </c>
      <c r="E54" t="s">
        <v>566</v>
      </c>
      <c r="F54">
        <v>12</v>
      </c>
      <c r="G54" t="s">
        <v>671</v>
      </c>
      <c r="H54" t="s">
        <v>1036</v>
      </c>
      <c r="I54" t="s">
        <v>1037</v>
      </c>
      <c r="J54" t="s">
        <v>833</v>
      </c>
      <c r="K54" t="s">
        <v>950</v>
      </c>
      <c r="L54" s="40">
        <v>39204.774774774771</v>
      </c>
      <c r="M54" s="40">
        <v>470457</v>
      </c>
      <c r="N54" s="40">
        <v>42342</v>
      </c>
      <c r="O54" s="40">
        <v>508108</v>
      </c>
      <c r="Q54" s="40">
        <v>0</v>
      </c>
      <c r="R54" s="35">
        <v>45848</v>
      </c>
      <c r="T54" t="s">
        <v>1214</v>
      </c>
      <c r="U54" t="s">
        <v>126</v>
      </c>
      <c r="V54" t="s">
        <v>139</v>
      </c>
      <c r="W54">
        <v>20725</v>
      </c>
      <c r="X54" t="s">
        <v>695</v>
      </c>
      <c r="Y54" t="s">
        <v>1060</v>
      </c>
      <c r="Z54" t="s">
        <v>377</v>
      </c>
      <c r="AA54" t="s">
        <v>140</v>
      </c>
      <c r="AB54" t="s">
        <v>141</v>
      </c>
      <c r="AC54">
        <v>11611</v>
      </c>
      <c r="AD54">
        <v>11612</v>
      </c>
      <c r="AE54">
        <v>101</v>
      </c>
      <c r="AF54">
        <v>1</v>
      </c>
    </row>
    <row r="55" spans="1:32">
      <c r="A55">
        <v>1</v>
      </c>
      <c r="B55">
        <v>53</v>
      </c>
      <c r="C55" t="s">
        <v>1103</v>
      </c>
      <c r="D55" t="s">
        <v>628</v>
      </c>
      <c r="E55" t="s">
        <v>1109</v>
      </c>
      <c r="F55">
        <v>24</v>
      </c>
      <c r="G55" t="s">
        <v>671</v>
      </c>
      <c r="H55" t="s">
        <v>1036</v>
      </c>
      <c r="I55" t="s">
        <v>1037</v>
      </c>
      <c r="J55" t="s">
        <v>1152</v>
      </c>
      <c r="K55" t="s">
        <v>1203</v>
      </c>
      <c r="L55" s="40">
        <v>21687.747747747744</v>
      </c>
      <c r="M55" s="40">
        <v>520506</v>
      </c>
      <c r="N55" s="40">
        <v>23423</v>
      </c>
      <c r="O55" s="40">
        <v>562162</v>
      </c>
      <c r="Q55" s="40">
        <v>0</v>
      </c>
      <c r="R55" s="35">
        <v>45909</v>
      </c>
      <c r="T55" t="s">
        <v>1214</v>
      </c>
      <c r="U55" t="s">
        <v>126</v>
      </c>
      <c r="V55" t="s">
        <v>139</v>
      </c>
      <c r="W55">
        <v>20420</v>
      </c>
      <c r="X55" t="s">
        <v>1120</v>
      </c>
      <c r="AA55" t="s">
        <v>140</v>
      </c>
      <c r="AB55" t="s">
        <v>141</v>
      </c>
      <c r="AC55">
        <v>11611</v>
      </c>
      <c r="AD55">
        <v>11612</v>
      </c>
      <c r="AF55">
        <v>1</v>
      </c>
    </row>
    <row r="56" spans="1:32">
      <c r="A56">
        <v>1</v>
      </c>
      <c r="B56">
        <v>54</v>
      </c>
      <c r="C56" t="s">
        <v>1104</v>
      </c>
      <c r="D56" t="s">
        <v>628</v>
      </c>
      <c r="E56" t="s">
        <v>1110</v>
      </c>
      <c r="F56">
        <v>24</v>
      </c>
      <c r="G56" t="s">
        <v>671</v>
      </c>
      <c r="H56" t="s">
        <v>1036</v>
      </c>
      <c r="I56" t="s">
        <v>1037</v>
      </c>
      <c r="J56" t="s">
        <v>1153</v>
      </c>
      <c r="K56" t="s">
        <v>1204</v>
      </c>
      <c r="L56" s="40">
        <v>21687.747747747744</v>
      </c>
      <c r="M56" s="40">
        <v>520506</v>
      </c>
      <c r="N56" s="40">
        <v>23423</v>
      </c>
      <c r="O56" s="40">
        <v>562162</v>
      </c>
      <c r="Q56" s="40">
        <v>0</v>
      </c>
      <c r="R56" s="35">
        <v>45909</v>
      </c>
      <c r="T56" t="s">
        <v>1214</v>
      </c>
      <c r="U56" t="s">
        <v>126</v>
      </c>
      <c r="V56" t="s">
        <v>139</v>
      </c>
      <c r="W56">
        <v>20420</v>
      </c>
      <c r="X56" t="s">
        <v>1120</v>
      </c>
      <c r="AA56" t="s">
        <v>140</v>
      </c>
      <c r="AB56" t="s">
        <v>141</v>
      </c>
      <c r="AC56">
        <v>11611</v>
      </c>
      <c r="AD56">
        <v>11612</v>
      </c>
      <c r="AF56">
        <v>1</v>
      </c>
    </row>
    <row r="57" spans="1:32">
      <c r="A57">
        <v>1</v>
      </c>
      <c r="B57">
        <v>55</v>
      </c>
      <c r="C57" t="s">
        <v>1105</v>
      </c>
      <c r="D57" t="s">
        <v>628</v>
      </c>
      <c r="E57" t="s">
        <v>1111</v>
      </c>
      <c r="F57">
        <v>24</v>
      </c>
      <c r="G57" t="s">
        <v>671</v>
      </c>
      <c r="H57" t="s">
        <v>1036</v>
      </c>
      <c r="I57" t="s">
        <v>1037</v>
      </c>
      <c r="J57" t="s">
        <v>1154</v>
      </c>
      <c r="K57" t="s">
        <v>1205</v>
      </c>
      <c r="L57" s="40">
        <v>21687.747747747744</v>
      </c>
      <c r="M57" s="40">
        <v>520506</v>
      </c>
      <c r="N57" s="40">
        <v>23423</v>
      </c>
      <c r="O57" s="40">
        <v>562162</v>
      </c>
      <c r="Q57" s="40">
        <v>0</v>
      </c>
      <c r="R57" s="35">
        <v>45909</v>
      </c>
      <c r="T57" t="s">
        <v>1214</v>
      </c>
      <c r="U57" t="s">
        <v>126</v>
      </c>
      <c r="V57" t="s">
        <v>139</v>
      </c>
      <c r="W57">
        <v>20420</v>
      </c>
      <c r="X57" t="s">
        <v>1120</v>
      </c>
      <c r="AA57" t="s">
        <v>140</v>
      </c>
      <c r="AB57" t="s">
        <v>141</v>
      </c>
      <c r="AC57">
        <v>11611</v>
      </c>
      <c r="AD57">
        <v>11612</v>
      </c>
      <c r="AF57">
        <v>1</v>
      </c>
    </row>
    <row r="58" spans="1:32">
      <c r="A58">
        <v>1</v>
      </c>
      <c r="B58">
        <v>56</v>
      </c>
      <c r="C58" t="s">
        <v>1106</v>
      </c>
      <c r="D58" t="s">
        <v>628</v>
      </c>
      <c r="E58" t="s">
        <v>1112</v>
      </c>
      <c r="F58">
        <v>24</v>
      </c>
      <c r="G58" t="s">
        <v>671</v>
      </c>
      <c r="H58" t="s">
        <v>1036</v>
      </c>
      <c r="I58" t="s">
        <v>1037</v>
      </c>
      <c r="J58" t="s">
        <v>1155</v>
      </c>
      <c r="K58" t="s">
        <v>1206</v>
      </c>
      <c r="L58" s="40">
        <v>21687.747747747744</v>
      </c>
      <c r="M58" s="40">
        <v>520506</v>
      </c>
      <c r="N58" s="40">
        <v>23423</v>
      </c>
      <c r="O58" s="40">
        <v>562162</v>
      </c>
      <c r="Q58" s="40">
        <v>0</v>
      </c>
      <c r="R58" s="35">
        <v>45909</v>
      </c>
      <c r="T58" t="s">
        <v>1214</v>
      </c>
      <c r="U58" t="s">
        <v>126</v>
      </c>
      <c r="V58" t="s">
        <v>139</v>
      </c>
      <c r="W58">
        <v>20420</v>
      </c>
      <c r="X58" t="s">
        <v>1120</v>
      </c>
      <c r="AA58" t="s">
        <v>140</v>
      </c>
      <c r="AB58" t="s">
        <v>141</v>
      </c>
      <c r="AC58">
        <v>11611</v>
      </c>
      <c r="AD58">
        <v>11612</v>
      </c>
      <c r="AF58">
        <v>1</v>
      </c>
    </row>
    <row r="59" spans="1:32">
      <c r="A59">
        <v>1</v>
      </c>
      <c r="B59">
        <v>57</v>
      </c>
      <c r="C59" t="s">
        <v>1107</v>
      </c>
      <c r="D59" t="s">
        <v>628</v>
      </c>
      <c r="E59" t="s">
        <v>1113</v>
      </c>
      <c r="F59">
        <v>24</v>
      </c>
      <c r="G59" t="s">
        <v>671</v>
      </c>
      <c r="H59" t="s">
        <v>1036</v>
      </c>
      <c r="I59" t="s">
        <v>1037</v>
      </c>
      <c r="J59" t="s">
        <v>1156</v>
      </c>
      <c r="K59" t="s">
        <v>1207</v>
      </c>
      <c r="L59" s="40">
        <v>21687.747747747744</v>
      </c>
      <c r="M59" s="40">
        <v>520506</v>
      </c>
      <c r="N59" s="40">
        <v>23423</v>
      </c>
      <c r="O59" s="40">
        <v>562162</v>
      </c>
      <c r="Q59" s="40">
        <v>0</v>
      </c>
      <c r="R59" s="35">
        <v>45909</v>
      </c>
      <c r="T59" t="s">
        <v>1214</v>
      </c>
      <c r="U59" t="s">
        <v>126</v>
      </c>
      <c r="V59" t="s">
        <v>139</v>
      </c>
      <c r="W59">
        <v>20420</v>
      </c>
      <c r="X59" t="s">
        <v>1120</v>
      </c>
      <c r="AA59" t="s">
        <v>140</v>
      </c>
      <c r="AB59" t="s">
        <v>141</v>
      </c>
      <c r="AC59">
        <v>11611</v>
      </c>
      <c r="AD59">
        <v>11612</v>
      </c>
      <c r="AF59">
        <v>1</v>
      </c>
    </row>
    <row r="60" spans="1:32">
      <c r="A60">
        <v>1</v>
      </c>
      <c r="B60">
        <v>58</v>
      </c>
      <c r="C60" t="s">
        <v>1108</v>
      </c>
      <c r="D60" t="s">
        <v>628</v>
      </c>
      <c r="E60" t="s">
        <v>1114</v>
      </c>
      <c r="F60">
        <v>24</v>
      </c>
      <c r="G60" t="s">
        <v>671</v>
      </c>
      <c r="H60" t="s">
        <v>1036</v>
      </c>
      <c r="I60" t="s">
        <v>1037</v>
      </c>
      <c r="J60" t="s">
        <v>1157</v>
      </c>
      <c r="K60" t="s">
        <v>1208</v>
      </c>
      <c r="L60" s="40">
        <v>21687.747747747744</v>
      </c>
      <c r="M60" s="40">
        <v>520506</v>
      </c>
      <c r="N60" s="40">
        <v>23423</v>
      </c>
      <c r="O60" s="40">
        <v>562162</v>
      </c>
      <c r="Q60" s="40">
        <v>0</v>
      </c>
      <c r="R60" s="35">
        <v>45909</v>
      </c>
      <c r="T60" t="s">
        <v>1214</v>
      </c>
      <c r="U60" t="s">
        <v>126</v>
      </c>
      <c r="V60" t="s">
        <v>139</v>
      </c>
      <c r="W60">
        <v>20420</v>
      </c>
      <c r="X60" t="s">
        <v>1120</v>
      </c>
      <c r="AA60" t="s">
        <v>140</v>
      </c>
      <c r="AB60" t="s">
        <v>141</v>
      </c>
      <c r="AC60">
        <v>11611</v>
      </c>
      <c r="AD60">
        <v>11612</v>
      </c>
      <c r="AF60">
        <v>1</v>
      </c>
    </row>
    <row r="61" spans="1:32">
      <c r="A61">
        <v>1</v>
      </c>
      <c r="B61">
        <v>163</v>
      </c>
      <c r="C61" t="s">
        <v>1225</v>
      </c>
      <c r="D61" t="s">
        <v>628</v>
      </c>
      <c r="E61" t="s">
        <v>1226</v>
      </c>
      <c r="F61">
        <v>6</v>
      </c>
      <c r="G61" t="s">
        <v>671</v>
      </c>
      <c r="H61" t="s">
        <v>1036</v>
      </c>
      <c r="I61" t="s">
        <v>1037</v>
      </c>
      <c r="J61" t="s">
        <v>1241</v>
      </c>
      <c r="K61" t="s">
        <v>1250</v>
      </c>
      <c r="M61" s="40">
        <v>0</v>
      </c>
      <c r="O61" s="40">
        <v>0</v>
      </c>
      <c r="Q61" s="40">
        <v>0</v>
      </c>
      <c r="R61" s="35"/>
      <c r="T61" t="s">
        <v>1214</v>
      </c>
      <c r="U61" t="s">
        <v>126</v>
      </c>
      <c r="V61" t="s">
        <v>139</v>
      </c>
      <c r="W61">
        <v>21500</v>
      </c>
      <c r="X61" t="s">
        <v>1227</v>
      </c>
      <c r="AA61" t="s">
        <v>140</v>
      </c>
      <c r="AB61" t="s">
        <v>141</v>
      </c>
      <c r="AC61">
        <v>11611</v>
      </c>
      <c r="AD61">
        <v>11612</v>
      </c>
      <c r="AF61">
        <v>1</v>
      </c>
    </row>
    <row r="62" spans="1:32">
      <c r="A62">
        <v>1</v>
      </c>
      <c r="B62">
        <v>59</v>
      </c>
      <c r="C62" t="s">
        <v>1084</v>
      </c>
      <c r="D62" t="s">
        <v>628</v>
      </c>
      <c r="E62" t="s">
        <v>1078</v>
      </c>
      <c r="F62">
        <v>24</v>
      </c>
      <c r="G62" t="s">
        <v>671</v>
      </c>
      <c r="H62" t="s">
        <v>1036</v>
      </c>
      <c r="I62" t="s">
        <v>1037</v>
      </c>
      <c r="J62" t="s">
        <v>1158</v>
      </c>
      <c r="K62" t="s">
        <v>1182</v>
      </c>
      <c r="L62" s="40">
        <v>21687.747747747744</v>
      </c>
      <c r="M62" s="40">
        <v>520506</v>
      </c>
      <c r="N62" s="40">
        <v>23423</v>
      </c>
      <c r="O62" s="40">
        <v>562162</v>
      </c>
      <c r="Q62" s="40">
        <v>0</v>
      </c>
      <c r="R62" s="35">
        <v>45864</v>
      </c>
      <c r="T62" t="s">
        <v>1214</v>
      </c>
      <c r="U62" t="s">
        <v>126</v>
      </c>
      <c r="V62" t="s">
        <v>139</v>
      </c>
      <c r="W62">
        <v>20400</v>
      </c>
      <c r="X62" t="s">
        <v>670</v>
      </c>
      <c r="AA62" t="s">
        <v>140</v>
      </c>
      <c r="AB62" t="s">
        <v>141</v>
      </c>
      <c r="AC62">
        <v>11611</v>
      </c>
      <c r="AD62">
        <v>11612</v>
      </c>
      <c r="AF62">
        <v>1</v>
      </c>
    </row>
    <row r="63" spans="1:32">
      <c r="A63">
        <v>1</v>
      </c>
      <c r="B63">
        <v>60</v>
      </c>
      <c r="C63" t="s">
        <v>489</v>
      </c>
      <c r="D63" t="s">
        <v>628</v>
      </c>
      <c r="E63" t="s">
        <v>610</v>
      </c>
      <c r="F63">
        <v>48</v>
      </c>
      <c r="G63" t="s">
        <v>705</v>
      </c>
      <c r="H63" t="s">
        <v>1038</v>
      </c>
      <c r="I63" t="s">
        <v>1039</v>
      </c>
      <c r="J63" t="s">
        <v>834</v>
      </c>
      <c r="K63" t="s">
        <v>951</v>
      </c>
      <c r="L63" s="40">
        <v>9175.5855855855862</v>
      </c>
      <c r="M63" s="40">
        <v>440428</v>
      </c>
      <c r="N63" s="40">
        <v>9910</v>
      </c>
      <c r="O63" s="40">
        <v>475676</v>
      </c>
      <c r="Q63" s="40">
        <v>0</v>
      </c>
      <c r="R63" s="35">
        <v>45848</v>
      </c>
      <c r="T63" t="s">
        <v>1214</v>
      </c>
      <c r="U63" t="s">
        <v>126</v>
      </c>
      <c r="V63" t="s">
        <v>139</v>
      </c>
      <c r="W63">
        <v>20100</v>
      </c>
      <c r="X63" t="s">
        <v>708</v>
      </c>
      <c r="Y63" t="s">
        <v>1060</v>
      </c>
      <c r="Z63" t="s">
        <v>377</v>
      </c>
      <c r="AA63" t="s">
        <v>140</v>
      </c>
      <c r="AB63" t="s">
        <v>141</v>
      </c>
      <c r="AC63">
        <v>11611</v>
      </c>
      <c r="AD63">
        <v>11612</v>
      </c>
      <c r="AE63">
        <v>101</v>
      </c>
      <c r="AF63">
        <v>1</v>
      </c>
    </row>
    <row r="64" spans="1:32">
      <c r="A64">
        <v>1</v>
      </c>
      <c r="B64">
        <v>61</v>
      </c>
      <c r="C64" t="s">
        <v>490</v>
      </c>
      <c r="D64" t="s">
        <v>628</v>
      </c>
      <c r="E64" t="s">
        <v>611</v>
      </c>
      <c r="F64">
        <v>48</v>
      </c>
      <c r="G64" t="s">
        <v>705</v>
      </c>
      <c r="H64" t="s">
        <v>1038</v>
      </c>
      <c r="I64" t="s">
        <v>1039</v>
      </c>
      <c r="J64" t="s">
        <v>835</v>
      </c>
      <c r="K64" t="s">
        <v>952</v>
      </c>
      <c r="L64" s="40">
        <v>16682.882882882881</v>
      </c>
      <c r="M64" s="40">
        <v>800778</v>
      </c>
      <c r="N64" s="40">
        <v>18018</v>
      </c>
      <c r="O64" s="40">
        <v>864865</v>
      </c>
      <c r="Q64" s="40">
        <v>0</v>
      </c>
      <c r="R64" s="35">
        <v>45848</v>
      </c>
      <c r="T64" t="s">
        <v>1214</v>
      </c>
      <c r="U64" t="s">
        <v>126</v>
      </c>
      <c r="V64" t="s">
        <v>139</v>
      </c>
      <c r="W64">
        <v>20210</v>
      </c>
      <c r="X64" t="s">
        <v>709</v>
      </c>
      <c r="Y64" t="s">
        <v>1060</v>
      </c>
      <c r="Z64" t="s">
        <v>377</v>
      </c>
      <c r="AA64" t="s">
        <v>140</v>
      </c>
      <c r="AB64" t="s">
        <v>141</v>
      </c>
      <c r="AC64">
        <v>11611</v>
      </c>
      <c r="AD64">
        <v>11612</v>
      </c>
      <c r="AE64">
        <v>101</v>
      </c>
      <c r="AF64">
        <v>1</v>
      </c>
    </row>
    <row r="65" spans="1:32">
      <c r="A65">
        <v>1</v>
      </c>
      <c r="B65">
        <v>62</v>
      </c>
      <c r="C65" t="s">
        <v>491</v>
      </c>
      <c r="D65" t="s">
        <v>628</v>
      </c>
      <c r="E65" t="s">
        <v>612</v>
      </c>
      <c r="F65">
        <v>48</v>
      </c>
      <c r="G65" t="s">
        <v>705</v>
      </c>
      <c r="H65" t="s">
        <v>1038</v>
      </c>
      <c r="I65" t="s">
        <v>1039</v>
      </c>
      <c r="J65" t="s">
        <v>836</v>
      </c>
      <c r="K65" t="s">
        <v>953</v>
      </c>
      <c r="L65" s="40">
        <v>9175.5855855855862</v>
      </c>
      <c r="M65" s="40">
        <v>440428</v>
      </c>
      <c r="N65" s="40">
        <v>9910</v>
      </c>
      <c r="O65" s="40">
        <v>475676</v>
      </c>
      <c r="Q65" s="40">
        <v>0</v>
      </c>
      <c r="R65" s="35">
        <v>45848</v>
      </c>
      <c r="T65" t="s">
        <v>1214</v>
      </c>
      <c r="U65" t="s">
        <v>126</v>
      </c>
      <c r="V65" t="s">
        <v>139</v>
      </c>
      <c r="W65">
        <v>20100</v>
      </c>
      <c r="X65" t="s">
        <v>708</v>
      </c>
      <c r="Y65" t="s">
        <v>1060</v>
      </c>
      <c r="Z65" t="s">
        <v>377</v>
      </c>
      <c r="AA65" t="s">
        <v>140</v>
      </c>
      <c r="AB65" t="s">
        <v>141</v>
      </c>
      <c r="AC65">
        <v>11611</v>
      </c>
      <c r="AD65">
        <v>11612</v>
      </c>
      <c r="AE65">
        <v>101</v>
      </c>
      <c r="AF65">
        <v>1</v>
      </c>
    </row>
    <row r="66" spans="1:32">
      <c r="A66">
        <v>1</v>
      </c>
      <c r="B66">
        <v>63</v>
      </c>
      <c r="C66" t="s">
        <v>492</v>
      </c>
      <c r="D66" t="s">
        <v>628</v>
      </c>
      <c r="E66" t="s">
        <v>613</v>
      </c>
      <c r="F66">
        <v>48</v>
      </c>
      <c r="G66" t="s">
        <v>705</v>
      </c>
      <c r="H66" t="s">
        <v>1038</v>
      </c>
      <c r="I66" t="s">
        <v>1039</v>
      </c>
      <c r="J66" t="s">
        <v>837</v>
      </c>
      <c r="K66" t="s">
        <v>954</v>
      </c>
      <c r="L66" s="40">
        <v>16682.882882882881</v>
      </c>
      <c r="M66" s="40">
        <v>800778</v>
      </c>
      <c r="N66" s="40">
        <v>18018</v>
      </c>
      <c r="O66" s="40">
        <v>864865</v>
      </c>
      <c r="Q66" s="40">
        <v>0</v>
      </c>
      <c r="R66" s="35">
        <v>45848</v>
      </c>
      <c r="T66" t="s">
        <v>1214</v>
      </c>
      <c r="U66" t="s">
        <v>126</v>
      </c>
      <c r="V66" t="s">
        <v>139</v>
      </c>
      <c r="W66">
        <v>20210</v>
      </c>
      <c r="X66" t="s">
        <v>709</v>
      </c>
      <c r="Y66" t="s">
        <v>1060</v>
      </c>
      <c r="Z66" t="s">
        <v>377</v>
      </c>
      <c r="AA66" t="s">
        <v>140</v>
      </c>
      <c r="AB66" t="s">
        <v>141</v>
      </c>
      <c r="AC66">
        <v>11611</v>
      </c>
      <c r="AD66">
        <v>11612</v>
      </c>
      <c r="AE66">
        <v>101</v>
      </c>
      <c r="AF66">
        <v>1</v>
      </c>
    </row>
    <row r="67" spans="1:32">
      <c r="A67">
        <v>1</v>
      </c>
      <c r="B67">
        <v>64</v>
      </c>
      <c r="C67" t="s">
        <v>487</v>
      </c>
      <c r="D67" t="s">
        <v>628</v>
      </c>
      <c r="E67" t="s">
        <v>608</v>
      </c>
      <c r="F67">
        <v>48</v>
      </c>
      <c r="G67" t="s">
        <v>705</v>
      </c>
      <c r="H67" t="s">
        <v>1038</v>
      </c>
      <c r="I67" t="s">
        <v>1039</v>
      </c>
      <c r="J67" t="s">
        <v>838</v>
      </c>
      <c r="K67" t="s">
        <v>955</v>
      </c>
      <c r="L67" s="40">
        <v>9175.5855855855862</v>
      </c>
      <c r="M67" s="40">
        <v>440428</v>
      </c>
      <c r="N67" s="40">
        <v>9910</v>
      </c>
      <c r="O67" s="40">
        <v>475676</v>
      </c>
      <c r="Q67" s="40">
        <v>0</v>
      </c>
      <c r="R67" s="35">
        <v>45848</v>
      </c>
      <c r="T67" t="s">
        <v>1214</v>
      </c>
      <c r="U67" t="s">
        <v>126</v>
      </c>
      <c r="V67" t="s">
        <v>139</v>
      </c>
      <c r="W67">
        <v>20100</v>
      </c>
      <c r="X67" t="s">
        <v>708</v>
      </c>
      <c r="Y67" t="s">
        <v>1060</v>
      </c>
      <c r="Z67" t="s">
        <v>377</v>
      </c>
      <c r="AA67" t="s">
        <v>140</v>
      </c>
      <c r="AB67" t="s">
        <v>141</v>
      </c>
      <c r="AC67">
        <v>11611</v>
      </c>
      <c r="AD67">
        <v>11612</v>
      </c>
      <c r="AE67">
        <v>101</v>
      </c>
      <c r="AF67">
        <v>1</v>
      </c>
    </row>
    <row r="68" spans="1:32">
      <c r="A68">
        <v>1</v>
      </c>
      <c r="B68">
        <v>65</v>
      </c>
      <c r="C68" t="s">
        <v>488</v>
      </c>
      <c r="D68" t="s">
        <v>628</v>
      </c>
      <c r="E68" t="s">
        <v>609</v>
      </c>
      <c r="F68">
        <v>48</v>
      </c>
      <c r="G68" t="s">
        <v>705</v>
      </c>
      <c r="H68" t="s">
        <v>1038</v>
      </c>
      <c r="I68" t="s">
        <v>1039</v>
      </c>
      <c r="J68" t="s">
        <v>839</v>
      </c>
      <c r="K68" t="s">
        <v>956</v>
      </c>
      <c r="L68" s="40">
        <v>16682.882882882881</v>
      </c>
      <c r="M68" s="40">
        <v>800778</v>
      </c>
      <c r="N68" s="40">
        <v>18018</v>
      </c>
      <c r="O68" s="40">
        <v>864865</v>
      </c>
      <c r="Q68" s="40">
        <v>0</v>
      </c>
      <c r="R68" s="35">
        <v>45848</v>
      </c>
      <c r="T68" t="s">
        <v>1214</v>
      </c>
      <c r="U68" t="s">
        <v>126</v>
      </c>
      <c r="V68" t="s">
        <v>139</v>
      </c>
      <c r="W68">
        <v>20210</v>
      </c>
      <c r="X68" t="s">
        <v>709</v>
      </c>
      <c r="Y68" t="s">
        <v>1060</v>
      </c>
      <c r="Z68" t="s">
        <v>377</v>
      </c>
      <c r="AA68" t="s">
        <v>140</v>
      </c>
      <c r="AB68" t="s">
        <v>141</v>
      </c>
      <c r="AC68">
        <v>11611</v>
      </c>
      <c r="AD68">
        <v>11612</v>
      </c>
      <c r="AE68">
        <v>101</v>
      </c>
      <c r="AF68">
        <v>1</v>
      </c>
    </row>
    <row r="69" spans="1:32">
      <c r="A69">
        <v>1</v>
      </c>
      <c r="B69">
        <v>66</v>
      </c>
      <c r="C69" t="s">
        <v>493</v>
      </c>
      <c r="D69" t="s">
        <v>628</v>
      </c>
      <c r="E69" t="s">
        <v>614</v>
      </c>
      <c r="F69">
        <v>48</v>
      </c>
      <c r="G69" t="s">
        <v>705</v>
      </c>
      <c r="H69" t="s">
        <v>1038</v>
      </c>
      <c r="I69" t="s">
        <v>1039</v>
      </c>
      <c r="J69" t="s">
        <v>840</v>
      </c>
      <c r="K69" t="s">
        <v>957</v>
      </c>
      <c r="L69" s="40">
        <v>9175.5855855855862</v>
      </c>
      <c r="M69" s="40">
        <v>440428</v>
      </c>
      <c r="N69" s="40">
        <v>9910</v>
      </c>
      <c r="O69" s="40">
        <v>475676</v>
      </c>
      <c r="Q69" s="40">
        <v>0</v>
      </c>
      <c r="R69" s="35">
        <v>45848</v>
      </c>
      <c r="T69" t="s">
        <v>1214</v>
      </c>
      <c r="U69" t="s">
        <v>126</v>
      </c>
      <c r="V69" t="s">
        <v>139</v>
      </c>
      <c r="W69">
        <v>20100</v>
      </c>
      <c r="X69" t="s">
        <v>708</v>
      </c>
      <c r="Y69" t="s">
        <v>1060</v>
      </c>
      <c r="Z69" t="s">
        <v>377</v>
      </c>
      <c r="AA69" t="s">
        <v>140</v>
      </c>
      <c r="AB69" t="s">
        <v>141</v>
      </c>
      <c r="AC69">
        <v>11611</v>
      </c>
      <c r="AD69">
        <v>11612</v>
      </c>
      <c r="AE69">
        <v>101</v>
      </c>
      <c r="AF69">
        <v>1</v>
      </c>
    </row>
    <row r="70" spans="1:32">
      <c r="A70">
        <v>1</v>
      </c>
      <c r="B70">
        <v>67</v>
      </c>
      <c r="C70" t="s">
        <v>494</v>
      </c>
      <c r="D70" t="s">
        <v>628</v>
      </c>
      <c r="E70" t="s">
        <v>615</v>
      </c>
      <c r="F70">
        <v>48</v>
      </c>
      <c r="G70" t="s">
        <v>705</v>
      </c>
      <c r="H70" t="s">
        <v>1038</v>
      </c>
      <c r="I70" t="s">
        <v>1039</v>
      </c>
      <c r="J70" t="s">
        <v>841</v>
      </c>
      <c r="K70" t="s">
        <v>958</v>
      </c>
      <c r="L70" s="40">
        <v>16682.882882882881</v>
      </c>
      <c r="M70" s="40">
        <v>800778</v>
      </c>
      <c r="N70" s="40">
        <v>18018</v>
      </c>
      <c r="O70" s="40">
        <v>864865</v>
      </c>
      <c r="Q70" s="40">
        <v>0</v>
      </c>
      <c r="R70" s="35">
        <v>45848</v>
      </c>
      <c r="T70" t="s">
        <v>1214</v>
      </c>
      <c r="U70" t="s">
        <v>126</v>
      </c>
      <c r="V70" t="s">
        <v>139</v>
      </c>
      <c r="W70">
        <v>20210</v>
      </c>
      <c r="X70" t="s">
        <v>709</v>
      </c>
      <c r="Y70" t="s">
        <v>1060</v>
      </c>
      <c r="Z70" t="s">
        <v>377</v>
      </c>
      <c r="AA70" t="s">
        <v>140</v>
      </c>
      <c r="AB70" t="s">
        <v>141</v>
      </c>
      <c r="AC70">
        <v>11611</v>
      </c>
      <c r="AD70">
        <v>11612</v>
      </c>
      <c r="AE70">
        <v>101</v>
      </c>
      <c r="AF70">
        <v>1</v>
      </c>
    </row>
    <row r="71" spans="1:32">
      <c r="A71">
        <v>1</v>
      </c>
      <c r="C71" t="s">
        <v>1283</v>
      </c>
      <c r="D71" t="s">
        <v>628</v>
      </c>
      <c r="E71" t="s">
        <v>1282</v>
      </c>
      <c r="F71">
        <v>48</v>
      </c>
      <c r="G71" t="s">
        <v>705</v>
      </c>
      <c r="H71" t="s">
        <v>1038</v>
      </c>
      <c r="I71" t="s">
        <v>1039</v>
      </c>
      <c r="J71" t="s">
        <v>1296</v>
      </c>
      <c r="K71" t="s">
        <v>1314</v>
      </c>
      <c r="L71" s="40">
        <v>16682.882882882881</v>
      </c>
      <c r="M71" s="40">
        <v>800778</v>
      </c>
      <c r="N71" s="40">
        <v>18018</v>
      </c>
      <c r="O71" s="40">
        <v>864865</v>
      </c>
      <c r="Q71" s="40">
        <v>0</v>
      </c>
      <c r="R71" s="35"/>
      <c r="T71" t="s">
        <v>1214</v>
      </c>
      <c r="U71" t="s">
        <v>126</v>
      </c>
      <c r="V71" t="s">
        <v>139</v>
      </c>
      <c r="W71">
        <v>20210</v>
      </c>
      <c r="X71" t="s">
        <v>709</v>
      </c>
      <c r="AA71" t="s">
        <v>140</v>
      </c>
      <c r="AB71" t="s">
        <v>141</v>
      </c>
      <c r="AC71">
        <v>11611</v>
      </c>
      <c r="AD71">
        <v>11612</v>
      </c>
      <c r="AF71">
        <v>1</v>
      </c>
    </row>
    <row r="72" spans="1:32">
      <c r="C72" t="s">
        <v>1310</v>
      </c>
      <c r="D72" t="s">
        <v>628</v>
      </c>
      <c r="E72" t="s">
        <v>1311</v>
      </c>
      <c r="F72">
        <v>48</v>
      </c>
      <c r="G72" t="s">
        <v>705</v>
      </c>
      <c r="H72" t="s">
        <v>1038</v>
      </c>
      <c r="I72" t="s">
        <v>1039</v>
      </c>
      <c r="J72" t="s">
        <v>1312</v>
      </c>
      <c r="K72" t="s">
        <v>1315</v>
      </c>
      <c r="L72" s="40">
        <v>9175.5855855855862</v>
      </c>
      <c r="M72" s="40">
        <v>440428</v>
      </c>
      <c r="N72" s="40">
        <v>9910</v>
      </c>
      <c r="O72" s="40">
        <v>475676</v>
      </c>
      <c r="Q72" s="40">
        <v>0</v>
      </c>
      <c r="R72" s="35"/>
      <c r="T72" t="s">
        <v>1214</v>
      </c>
      <c r="U72" t="s">
        <v>126</v>
      </c>
      <c r="V72" t="s">
        <v>139</v>
      </c>
      <c r="W72">
        <v>20100</v>
      </c>
      <c r="X72" t="s">
        <v>708</v>
      </c>
      <c r="AA72" t="s">
        <v>140</v>
      </c>
      <c r="AB72" t="s">
        <v>141</v>
      </c>
      <c r="AC72">
        <v>11611</v>
      </c>
      <c r="AD72">
        <v>11612</v>
      </c>
      <c r="AF72">
        <v>1</v>
      </c>
    </row>
    <row r="73" spans="1:32">
      <c r="A73">
        <v>1</v>
      </c>
      <c r="B73">
        <v>68</v>
      </c>
      <c r="C73" t="s">
        <v>472</v>
      </c>
      <c r="D73" t="s">
        <v>628</v>
      </c>
      <c r="E73" t="s">
        <v>593</v>
      </c>
      <c r="F73">
        <v>48</v>
      </c>
      <c r="G73" t="s">
        <v>733</v>
      </c>
      <c r="H73" t="s">
        <v>1040</v>
      </c>
      <c r="I73" t="s">
        <v>1041</v>
      </c>
      <c r="J73" t="s">
        <v>842</v>
      </c>
      <c r="K73" t="s">
        <v>1316</v>
      </c>
      <c r="L73" s="40">
        <v>7340.468468468468</v>
      </c>
      <c r="M73" s="40">
        <v>352342</v>
      </c>
      <c r="N73" s="40">
        <v>7928</v>
      </c>
      <c r="O73" s="40">
        <v>380541</v>
      </c>
      <c r="Q73" s="40">
        <v>0</v>
      </c>
      <c r="R73" s="35">
        <v>45848</v>
      </c>
      <c r="T73" t="s">
        <v>1214</v>
      </c>
      <c r="U73" t="s">
        <v>126</v>
      </c>
      <c r="V73" t="s">
        <v>139</v>
      </c>
      <c r="W73">
        <v>10110</v>
      </c>
      <c r="X73" t="s">
        <v>706</v>
      </c>
      <c r="Y73" t="s">
        <v>1060</v>
      </c>
      <c r="Z73" t="s">
        <v>377</v>
      </c>
      <c r="AA73" t="s">
        <v>140</v>
      </c>
      <c r="AB73" t="s">
        <v>141</v>
      </c>
      <c r="AC73">
        <v>11611</v>
      </c>
      <c r="AD73">
        <v>11612</v>
      </c>
      <c r="AE73">
        <v>101</v>
      </c>
      <c r="AF73">
        <v>1</v>
      </c>
    </row>
    <row r="74" spans="1:32">
      <c r="A74">
        <v>1</v>
      </c>
      <c r="B74">
        <v>69</v>
      </c>
      <c r="C74" t="s">
        <v>473</v>
      </c>
      <c r="D74" t="s">
        <v>628</v>
      </c>
      <c r="E74" t="s">
        <v>594</v>
      </c>
      <c r="F74">
        <v>48</v>
      </c>
      <c r="G74" t="s">
        <v>733</v>
      </c>
      <c r="H74" t="s">
        <v>1040</v>
      </c>
      <c r="I74" t="s">
        <v>1041</v>
      </c>
      <c r="J74" t="s">
        <v>843</v>
      </c>
      <c r="K74" t="s">
        <v>959</v>
      </c>
      <c r="L74" s="40">
        <v>11094.117117117115</v>
      </c>
      <c r="M74" s="40">
        <v>532518</v>
      </c>
      <c r="N74" s="40">
        <v>11982</v>
      </c>
      <c r="O74" s="40">
        <v>575135</v>
      </c>
      <c r="Q74" s="40">
        <v>0</v>
      </c>
      <c r="R74" s="35">
        <v>45848</v>
      </c>
      <c r="T74" t="s">
        <v>1214</v>
      </c>
      <c r="U74" t="s">
        <v>126</v>
      </c>
      <c r="V74" t="s">
        <v>139</v>
      </c>
      <c r="W74">
        <v>10200</v>
      </c>
      <c r="X74" t="s">
        <v>707</v>
      </c>
      <c r="Y74" t="s">
        <v>1060</v>
      </c>
      <c r="Z74" t="s">
        <v>377</v>
      </c>
      <c r="AA74" t="s">
        <v>140</v>
      </c>
      <c r="AB74" t="s">
        <v>141</v>
      </c>
      <c r="AC74">
        <v>11611</v>
      </c>
      <c r="AD74">
        <v>11612</v>
      </c>
      <c r="AE74">
        <v>101</v>
      </c>
      <c r="AF74">
        <v>1</v>
      </c>
    </row>
    <row r="75" spans="1:32">
      <c r="A75">
        <v>1</v>
      </c>
      <c r="B75">
        <v>70</v>
      </c>
      <c r="C75" t="s">
        <v>480</v>
      </c>
      <c r="D75" t="s">
        <v>628</v>
      </c>
      <c r="E75" t="s">
        <v>601</v>
      </c>
      <c r="F75">
        <v>96</v>
      </c>
      <c r="G75" t="s">
        <v>733</v>
      </c>
      <c r="H75" t="s">
        <v>1040</v>
      </c>
      <c r="I75" t="s">
        <v>1041</v>
      </c>
      <c r="J75" t="s">
        <v>844</v>
      </c>
      <c r="K75" t="s">
        <v>960</v>
      </c>
      <c r="L75" s="40">
        <v>7340.468468468468</v>
      </c>
      <c r="M75" s="40">
        <v>704685</v>
      </c>
      <c r="N75" s="40">
        <v>7928</v>
      </c>
      <c r="O75" s="40">
        <v>761081</v>
      </c>
      <c r="Q75" s="40">
        <v>0</v>
      </c>
      <c r="R75" s="35">
        <v>45848</v>
      </c>
      <c r="T75" t="s">
        <v>1214</v>
      </c>
      <c r="U75" t="s">
        <v>126</v>
      </c>
      <c r="V75" t="s">
        <v>139</v>
      </c>
      <c r="W75">
        <v>10110</v>
      </c>
      <c r="X75" t="s">
        <v>706</v>
      </c>
      <c r="Y75" t="s">
        <v>1060</v>
      </c>
      <c r="Z75" t="s">
        <v>377</v>
      </c>
      <c r="AA75" t="s">
        <v>140</v>
      </c>
      <c r="AB75" t="s">
        <v>141</v>
      </c>
      <c r="AC75">
        <v>11611</v>
      </c>
      <c r="AD75">
        <v>11612</v>
      </c>
      <c r="AE75">
        <v>101</v>
      </c>
      <c r="AF75">
        <v>1</v>
      </c>
    </row>
    <row r="76" spans="1:32">
      <c r="A76">
        <v>1</v>
      </c>
      <c r="B76">
        <v>71</v>
      </c>
      <c r="C76" t="s">
        <v>481</v>
      </c>
      <c r="D76" t="s">
        <v>628</v>
      </c>
      <c r="E76" t="s">
        <v>602</v>
      </c>
      <c r="F76">
        <v>48</v>
      </c>
      <c r="G76" t="s">
        <v>733</v>
      </c>
      <c r="H76" t="s">
        <v>1040</v>
      </c>
      <c r="I76" t="s">
        <v>1041</v>
      </c>
      <c r="J76" t="s">
        <v>845</v>
      </c>
      <c r="K76" t="s">
        <v>961</v>
      </c>
      <c r="L76" s="40">
        <v>11094.117117117115</v>
      </c>
      <c r="M76" s="40">
        <v>532518</v>
      </c>
      <c r="N76" s="40">
        <v>11982</v>
      </c>
      <c r="O76" s="40">
        <v>575135</v>
      </c>
      <c r="Q76" s="40">
        <v>0</v>
      </c>
      <c r="R76" s="35">
        <v>45848</v>
      </c>
      <c r="T76" t="s">
        <v>1214</v>
      </c>
      <c r="U76" t="s">
        <v>126</v>
      </c>
      <c r="V76" t="s">
        <v>139</v>
      </c>
      <c r="W76">
        <v>10200</v>
      </c>
      <c r="X76" t="s">
        <v>707</v>
      </c>
      <c r="Y76" t="s">
        <v>1060</v>
      </c>
      <c r="Z76" t="s">
        <v>377</v>
      </c>
      <c r="AA76" t="s">
        <v>140</v>
      </c>
      <c r="AB76" t="s">
        <v>141</v>
      </c>
      <c r="AC76">
        <v>11611</v>
      </c>
      <c r="AD76">
        <v>11612</v>
      </c>
      <c r="AE76">
        <v>101</v>
      </c>
      <c r="AF76">
        <v>1</v>
      </c>
    </row>
    <row r="77" spans="1:32">
      <c r="A77">
        <v>1</v>
      </c>
      <c r="B77">
        <v>72</v>
      </c>
      <c r="C77" t="s">
        <v>474</v>
      </c>
      <c r="D77" t="s">
        <v>628</v>
      </c>
      <c r="E77" t="s">
        <v>595</v>
      </c>
      <c r="F77">
        <v>96</v>
      </c>
      <c r="G77" t="s">
        <v>733</v>
      </c>
      <c r="H77" t="s">
        <v>1040</v>
      </c>
      <c r="I77" t="s">
        <v>1041</v>
      </c>
      <c r="J77" t="s">
        <v>846</v>
      </c>
      <c r="K77" t="s">
        <v>962</v>
      </c>
      <c r="L77" s="40">
        <v>7340.468468468468</v>
      </c>
      <c r="M77" s="40">
        <v>704685</v>
      </c>
      <c r="N77" s="40">
        <v>7928</v>
      </c>
      <c r="O77" s="40">
        <v>761081</v>
      </c>
      <c r="Q77" s="40">
        <v>0</v>
      </c>
      <c r="R77" s="35">
        <v>45848</v>
      </c>
      <c r="T77" t="s">
        <v>1214</v>
      </c>
      <c r="U77" t="s">
        <v>126</v>
      </c>
      <c r="V77" t="s">
        <v>139</v>
      </c>
      <c r="W77">
        <v>10110</v>
      </c>
      <c r="X77" t="s">
        <v>706</v>
      </c>
      <c r="Y77" t="s">
        <v>1060</v>
      </c>
      <c r="Z77" t="s">
        <v>377</v>
      </c>
      <c r="AA77" t="s">
        <v>140</v>
      </c>
      <c r="AB77" t="s">
        <v>141</v>
      </c>
      <c r="AC77">
        <v>11611</v>
      </c>
      <c r="AD77">
        <v>11612</v>
      </c>
      <c r="AE77">
        <v>101</v>
      </c>
      <c r="AF77">
        <v>1</v>
      </c>
    </row>
    <row r="78" spans="1:32">
      <c r="A78">
        <v>1</v>
      </c>
      <c r="B78">
        <v>73</v>
      </c>
      <c r="C78" t="s">
        <v>475</v>
      </c>
      <c r="D78" t="s">
        <v>628</v>
      </c>
      <c r="E78" t="s">
        <v>596</v>
      </c>
      <c r="F78">
        <v>48</v>
      </c>
      <c r="G78" t="s">
        <v>733</v>
      </c>
      <c r="H78" t="s">
        <v>1040</v>
      </c>
      <c r="I78" t="s">
        <v>1041</v>
      </c>
      <c r="J78" t="s">
        <v>847</v>
      </c>
      <c r="K78" t="s">
        <v>963</v>
      </c>
      <c r="L78" s="40">
        <v>11094.117117117115</v>
      </c>
      <c r="M78" s="40">
        <v>532518</v>
      </c>
      <c r="N78" s="40">
        <v>11982</v>
      </c>
      <c r="O78" s="40">
        <v>575135</v>
      </c>
      <c r="Q78" s="40">
        <v>0</v>
      </c>
      <c r="R78" s="35">
        <v>45848</v>
      </c>
      <c r="T78" t="s">
        <v>1214</v>
      </c>
      <c r="U78" t="s">
        <v>126</v>
      </c>
      <c r="V78" t="s">
        <v>139</v>
      </c>
      <c r="W78">
        <v>10200</v>
      </c>
      <c r="X78" t="s">
        <v>707</v>
      </c>
      <c r="Y78" t="s">
        <v>1060</v>
      </c>
      <c r="Z78" t="s">
        <v>377</v>
      </c>
      <c r="AA78" t="s">
        <v>140</v>
      </c>
      <c r="AB78" t="s">
        <v>141</v>
      </c>
      <c r="AC78">
        <v>11611</v>
      </c>
      <c r="AD78">
        <v>11612</v>
      </c>
      <c r="AE78">
        <v>101</v>
      </c>
      <c r="AF78">
        <v>1</v>
      </c>
    </row>
    <row r="79" spans="1:32">
      <c r="A79">
        <v>1</v>
      </c>
      <c r="B79">
        <v>74</v>
      </c>
      <c r="C79" t="s">
        <v>470</v>
      </c>
      <c r="D79" t="s">
        <v>628</v>
      </c>
      <c r="E79" t="s">
        <v>591</v>
      </c>
      <c r="F79">
        <v>96</v>
      </c>
      <c r="G79" t="s">
        <v>733</v>
      </c>
      <c r="H79" t="s">
        <v>1040</v>
      </c>
      <c r="I79" t="s">
        <v>1041</v>
      </c>
      <c r="J79" t="s">
        <v>848</v>
      </c>
      <c r="K79" t="s">
        <v>964</v>
      </c>
      <c r="L79" s="40">
        <v>7340.468468468468</v>
      </c>
      <c r="M79" s="40">
        <v>704685</v>
      </c>
      <c r="N79" s="40">
        <v>7928</v>
      </c>
      <c r="O79" s="40">
        <v>761081</v>
      </c>
      <c r="Q79" s="40">
        <v>0</v>
      </c>
      <c r="R79" s="35">
        <v>45848</v>
      </c>
      <c r="T79" t="s">
        <v>1214</v>
      </c>
      <c r="U79" t="s">
        <v>126</v>
      </c>
      <c r="V79" t="s">
        <v>139</v>
      </c>
      <c r="W79">
        <v>10110</v>
      </c>
      <c r="X79" t="s">
        <v>706</v>
      </c>
      <c r="Y79" t="s">
        <v>1060</v>
      </c>
      <c r="Z79" t="s">
        <v>377</v>
      </c>
      <c r="AA79" t="s">
        <v>140</v>
      </c>
      <c r="AB79" t="s">
        <v>141</v>
      </c>
      <c r="AC79">
        <v>11611</v>
      </c>
      <c r="AD79">
        <v>11612</v>
      </c>
      <c r="AE79">
        <v>101</v>
      </c>
      <c r="AF79">
        <v>1</v>
      </c>
    </row>
    <row r="80" spans="1:32">
      <c r="A80">
        <v>1</v>
      </c>
      <c r="B80">
        <v>75</v>
      </c>
      <c r="C80" t="s">
        <v>471</v>
      </c>
      <c r="D80" t="s">
        <v>628</v>
      </c>
      <c r="E80" t="s">
        <v>592</v>
      </c>
      <c r="F80">
        <v>48</v>
      </c>
      <c r="G80" t="s">
        <v>733</v>
      </c>
      <c r="H80" t="s">
        <v>1040</v>
      </c>
      <c r="I80" t="s">
        <v>1041</v>
      </c>
      <c r="J80" t="s">
        <v>849</v>
      </c>
      <c r="K80" t="s">
        <v>965</v>
      </c>
      <c r="L80" s="40">
        <v>11094.117117117115</v>
      </c>
      <c r="M80" s="40">
        <v>532518</v>
      </c>
      <c r="N80" s="40">
        <v>11982</v>
      </c>
      <c r="O80" s="40">
        <v>575135</v>
      </c>
      <c r="Q80" s="40">
        <v>0</v>
      </c>
      <c r="R80" s="35">
        <v>45848</v>
      </c>
      <c r="T80" t="s">
        <v>1214</v>
      </c>
      <c r="U80" t="s">
        <v>126</v>
      </c>
      <c r="V80" t="s">
        <v>139</v>
      </c>
      <c r="W80">
        <v>10200</v>
      </c>
      <c r="X80" t="s">
        <v>707</v>
      </c>
      <c r="Y80" t="s">
        <v>1060</v>
      </c>
      <c r="Z80" t="s">
        <v>377</v>
      </c>
      <c r="AA80" t="s">
        <v>140</v>
      </c>
      <c r="AB80" t="s">
        <v>141</v>
      </c>
      <c r="AC80">
        <v>11611</v>
      </c>
      <c r="AD80">
        <v>11612</v>
      </c>
      <c r="AE80">
        <v>101</v>
      </c>
      <c r="AF80">
        <v>1</v>
      </c>
    </row>
    <row r="81" spans="1:32">
      <c r="A81">
        <v>1</v>
      </c>
      <c r="B81">
        <v>76</v>
      </c>
      <c r="C81" t="s">
        <v>476</v>
      </c>
      <c r="D81" t="s">
        <v>628</v>
      </c>
      <c r="E81" t="s">
        <v>597</v>
      </c>
      <c r="F81">
        <v>96</v>
      </c>
      <c r="G81" t="s">
        <v>733</v>
      </c>
      <c r="H81" t="s">
        <v>1040</v>
      </c>
      <c r="I81" t="s">
        <v>1041</v>
      </c>
      <c r="J81" t="s">
        <v>850</v>
      </c>
      <c r="K81" t="s">
        <v>966</v>
      </c>
      <c r="L81" s="40">
        <v>7340.468468468468</v>
      </c>
      <c r="M81" s="40">
        <v>704685</v>
      </c>
      <c r="N81" s="40">
        <v>7928</v>
      </c>
      <c r="O81" s="40">
        <v>761081</v>
      </c>
      <c r="Q81" s="40">
        <v>0</v>
      </c>
      <c r="R81" s="35">
        <v>45848</v>
      </c>
      <c r="T81" t="s">
        <v>1214</v>
      </c>
      <c r="U81" t="s">
        <v>126</v>
      </c>
      <c r="V81" t="s">
        <v>139</v>
      </c>
      <c r="W81">
        <v>10110</v>
      </c>
      <c r="X81" t="s">
        <v>706</v>
      </c>
      <c r="Y81" t="s">
        <v>1060</v>
      </c>
      <c r="Z81" t="s">
        <v>377</v>
      </c>
      <c r="AA81" t="s">
        <v>140</v>
      </c>
      <c r="AB81" t="s">
        <v>141</v>
      </c>
      <c r="AC81">
        <v>11611</v>
      </c>
      <c r="AD81">
        <v>11612</v>
      </c>
      <c r="AE81">
        <v>101</v>
      </c>
      <c r="AF81">
        <v>1</v>
      </c>
    </row>
    <row r="82" spans="1:32">
      <c r="A82">
        <v>1</v>
      </c>
      <c r="B82">
        <v>77</v>
      </c>
      <c r="C82" t="s">
        <v>477</v>
      </c>
      <c r="D82" t="s">
        <v>628</v>
      </c>
      <c r="E82" t="s">
        <v>598</v>
      </c>
      <c r="F82">
        <v>48</v>
      </c>
      <c r="G82" t="s">
        <v>733</v>
      </c>
      <c r="H82" t="s">
        <v>1040</v>
      </c>
      <c r="I82" t="s">
        <v>1041</v>
      </c>
      <c r="J82" t="s">
        <v>851</v>
      </c>
      <c r="K82" t="s">
        <v>967</v>
      </c>
      <c r="L82" s="40">
        <v>11094.117117117115</v>
      </c>
      <c r="M82" s="40">
        <v>532518</v>
      </c>
      <c r="N82" s="40">
        <v>11982</v>
      </c>
      <c r="O82" s="40">
        <v>575135</v>
      </c>
      <c r="Q82" s="40">
        <v>0</v>
      </c>
      <c r="R82" s="35">
        <v>45848</v>
      </c>
      <c r="T82" t="s">
        <v>1214</v>
      </c>
      <c r="U82" t="s">
        <v>126</v>
      </c>
      <c r="V82" t="s">
        <v>139</v>
      </c>
      <c r="W82">
        <v>10200</v>
      </c>
      <c r="X82" t="s">
        <v>707</v>
      </c>
      <c r="Y82" t="s">
        <v>1060</v>
      </c>
      <c r="Z82" t="s">
        <v>377</v>
      </c>
      <c r="AA82" t="s">
        <v>140</v>
      </c>
      <c r="AB82" t="s">
        <v>141</v>
      </c>
      <c r="AC82">
        <v>11611</v>
      </c>
      <c r="AD82">
        <v>11612</v>
      </c>
      <c r="AE82">
        <v>101</v>
      </c>
      <c r="AF82">
        <v>1</v>
      </c>
    </row>
    <row r="83" spans="1:32">
      <c r="A83">
        <v>1</v>
      </c>
      <c r="B83">
        <v>78</v>
      </c>
      <c r="C83" t="s">
        <v>478</v>
      </c>
      <c r="D83" t="s">
        <v>628</v>
      </c>
      <c r="E83" t="s">
        <v>599</v>
      </c>
      <c r="F83">
        <v>96</v>
      </c>
      <c r="G83" t="s">
        <v>733</v>
      </c>
      <c r="H83" t="s">
        <v>1040</v>
      </c>
      <c r="I83" t="s">
        <v>1041</v>
      </c>
      <c r="J83" t="s">
        <v>852</v>
      </c>
      <c r="K83" t="s">
        <v>968</v>
      </c>
      <c r="L83" s="40">
        <v>7340.468468468468</v>
      </c>
      <c r="M83" s="40">
        <v>704685</v>
      </c>
      <c r="N83" s="40">
        <v>7928</v>
      </c>
      <c r="O83" s="40">
        <v>761081</v>
      </c>
      <c r="Q83" s="40">
        <v>0</v>
      </c>
      <c r="R83" s="35">
        <v>45848</v>
      </c>
      <c r="T83" t="s">
        <v>1214</v>
      </c>
      <c r="U83" t="s">
        <v>126</v>
      </c>
      <c r="V83" t="s">
        <v>139</v>
      </c>
      <c r="W83">
        <v>10110</v>
      </c>
      <c r="X83" t="s">
        <v>706</v>
      </c>
      <c r="Y83" t="s">
        <v>1060</v>
      </c>
      <c r="Z83" t="s">
        <v>377</v>
      </c>
      <c r="AA83" t="s">
        <v>140</v>
      </c>
      <c r="AB83" t="s">
        <v>141</v>
      </c>
      <c r="AC83">
        <v>11611</v>
      </c>
      <c r="AD83">
        <v>11612</v>
      </c>
      <c r="AE83">
        <v>101</v>
      </c>
      <c r="AF83">
        <v>1</v>
      </c>
    </row>
    <row r="84" spans="1:32">
      <c r="A84">
        <v>1</v>
      </c>
      <c r="B84">
        <v>79</v>
      </c>
      <c r="C84" t="s">
        <v>479</v>
      </c>
      <c r="D84" t="s">
        <v>628</v>
      </c>
      <c r="E84" t="s">
        <v>600</v>
      </c>
      <c r="F84">
        <v>48</v>
      </c>
      <c r="G84" t="s">
        <v>733</v>
      </c>
      <c r="H84" t="s">
        <v>1040</v>
      </c>
      <c r="I84" t="s">
        <v>1041</v>
      </c>
      <c r="J84" t="s">
        <v>853</v>
      </c>
      <c r="K84" t="s">
        <v>969</v>
      </c>
      <c r="L84" s="40">
        <v>11094.117117117115</v>
      </c>
      <c r="M84" s="40">
        <v>532518</v>
      </c>
      <c r="N84" s="40">
        <v>11982</v>
      </c>
      <c r="O84" s="40">
        <v>575135</v>
      </c>
      <c r="Q84" s="40">
        <v>0</v>
      </c>
      <c r="R84" s="35">
        <v>45848</v>
      </c>
      <c r="T84" t="s">
        <v>1214</v>
      </c>
      <c r="U84" t="s">
        <v>126</v>
      </c>
      <c r="V84" t="s">
        <v>139</v>
      </c>
      <c r="W84">
        <v>10200</v>
      </c>
      <c r="X84" t="s">
        <v>707</v>
      </c>
      <c r="Y84" t="s">
        <v>1060</v>
      </c>
      <c r="Z84" t="s">
        <v>377</v>
      </c>
      <c r="AA84" t="s">
        <v>140</v>
      </c>
      <c r="AB84" t="s">
        <v>141</v>
      </c>
      <c r="AC84">
        <v>11611</v>
      </c>
      <c r="AD84">
        <v>11612</v>
      </c>
      <c r="AE84">
        <v>101</v>
      </c>
      <c r="AF84">
        <v>1</v>
      </c>
    </row>
    <row r="85" spans="1:32">
      <c r="A85">
        <v>1</v>
      </c>
      <c r="B85">
        <v>80</v>
      </c>
      <c r="C85" t="s">
        <v>1134</v>
      </c>
      <c r="D85" t="s">
        <v>628</v>
      </c>
      <c r="E85" t="s">
        <v>1137</v>
      </c>
      <c r="F85">
        <v>48</v>
      </c>
      <c r="G85" t="s">
        <v>733</v>
      </c>
      <c r="H85" t="s">
        <v>1040</v>
      </c>
      <c r="I85" t="s">
        <v>1041</v>
      </c>
      <c r="J85" t="s">
        <v>1159</v>
      </c>
      <c r="K85" t="s">
        <v>1183</v>
      </c>
      <c r="L85" s="40">
        <v>11094.117117117115</v>
      </c>
      <c r="M85" s="40">
        <v>532518</v>
      </c>
      <c r="N85" s="40">
        <v>11982</v>
      </c>
      <c r="O85" s="40">
        <v>575135</v>
      </c>
      <c r="Q85" s="40">
        <v>0</v>
      </c>
      <c r="R85" s="35">
        <v>45936</v>
      </c>
      <c r="T85" t="s">
        <v>1214</v>
      </c>
      <c r="U85" t="s">
        <v>126</v>
      </c>
      <c r="V85" t="s">
        <v>139</v>
      </c>
      <c r="W85">
        <v>20200</v>
      </c>
      <c r="X85" t="s">
        <v>707</v>
      </c>
      <c r="Y85" t="s">
        <v>1060</v>
      </c>
      <c r="AA85" t="s">
        <v>140</v>
      </c>
      <c r="AB85" t="s">
        <v>141</v>
      </c>
      <c r="AC85">
        <v>11611</v>
      </c>
      <c r="AD85">
        <v>11612</v>
      </c>
      <c r="AE85">
        <v>101</v>
      </c>
      <c r="AF85">
        <v>1</v>
      </c>
    </row>
    <row r="86" spans="1:32">
      <c r="A86">
        <v>1</v>
      </c>
      <c r="B86">
        <v>81</v>
      </c>
      <c r="C86" t="s">
        <v>1133</v>
      </c>
      <c r="D86" t="s">
        <v>628</v>
      </c>
      <c r="E86" t="s">
        <v>1136</v>
      </c>
      <c r="F86">
        <v>48</v>
      </c>
      <c r="G86" t="s">
        <v>733</v>
      </c>
      <c r="H86" t="s">
        <v>1040</v>
      </c>
      <c r="I86" t="s">
        <v>1041</v>
      </c>
      <c r="J86" t="s">
        <v>1160</v>
      </c>
      <c r="K86" t="s">
        <v>1184</v>
      </c>
      <c r="L86" s="40">
        <v>11094.117117117115</v>
      </c>
      <c r="M86" s="40">
        <v>532518</v>
      </c>
      <c r="N86" s="40">
        <v>11982</v>
      </c>
      <c r="O86" s="40">
        <v>575135</v>
      </c>
      <c r="Q86" s="40">
        <v>0</v>
      </c>
      <c r="R86" s="35">
        <v>45936</v>
      </c>
      <c r="T86" t="s">
        <v>1214</v>
      </c>
      <c r="U86" t="s">
        <v>126</v>
      </c>
      <c r="V86" t="s">
        <v>139</v>
      </c>
      <c r="W86">
        <v>20200</v>
      </c>
      <c r="X86" t="s">
        <v>707</v>
      </c>
      <c r="Y86" t="s">
        <v>1060</v>
      </c>
      <c r="AA86" t="s">
        <v>140</v>
      </c>
      <c r="AB86" t="s">
        <v>141</v>
      </c>
      <c r="AC86">
        <v>11611</v>
      </c>
      <c r="AD86">
        <v>11612</v>
      </c>
      <c r="AE86">
        <v>101</v>
      </c>
      <c r="AF86">
        <v>1</v>
      </c>
    </row>
    <row r="87" spans="1:32">
      <c r="A87">
        <v>1</v>
      </c>
      <c r="B87">
        <v>82</v>
      </c>
      <c r="C87" t="s">
        <v>1135</v>
      </c>
      <c r="D87" t="s">
        <v>628</v>
      </c>
      <c r="E87" t="s">
        <v>1136</v>
      </c>
      <c r="F87">
        <v>48</v>
      </c>
      <c r="G87" t="s">
        <v>733</v>
      </c>
      <c r="H87" t="s">
        <v>1040</v>
      </c>
      <c r="I87" t="s">
        <v>1041</v>
      </c>
      <c r="J87" t="s">
        <v>1161</v>
      </c>
      <c r="K87" t="s">
        <v>1185</v>
      </c>
      <c r="L87" s="40">
        <v>11094.117117117115</v>
      </c>
      <c r="M87" s="40">
        <v>532518</v>
      </c>
      <c r="N87" s="40">
        <v>11982</v>
      </c>
      <c r="O87" s="40">
        <v>575135</v>
      </c>
      <c r="Q87" s="40">
        <v>0</v>
      </c>
      <c r="R87" s="35">
        <v>45936</v>
      </c>
      <c r="T87" t="s">
        <v>1214</v>
      </c>
      <c r="U87" t="s">
        <v>126</v>
      </c>
      <c r="V87" t="s">
        <v>139</v>
      </c>
      <c r="W87">
        <v>20200</v>
      </c>
      <c r="X87" t="s">
        <v>707</v>
      </c>
      <c r="Y87" t="s">
        <v>1060</v>
      </c>
      <c r="AA87" t="s">
        <v>140</v>
      </c>
      <c r="AB87" t="s">
        <v>141</v>
      </c>
      <c r="AC87">
        <v>11611</v>
      </c>
      <c r="AD87">
        <v>11612</v>
      </c>
      <c r="AE87">
        <v>101</v>
      </c>
      <c r="AF87">
        <v>1</v>
      </c>
    </row>
    <row r="88" spans="1:32">
      <c r="A88">
        <v>1</v>
      </c>
      <c r="B88">
        <v>83</v>
      </c>
      <c r="C88" t="s">
        <v>1144</v>
      </c>
      <c r="D88" t="s">
        <v>628</v>
      </c>
      <c r="E88" t="s">
        <v>1145</v>
      </c>
      <c r="F88">
        <v>48</v>
      </c>
      <c r="G88" t="s">
        <v>733</v>
      </c>
      <c r="H88" t="s">
        <v>1040</v>
      </c>
      <c r="I88" t="s">
        <v>1041</v>
      </c>
      <c r="J88" t="s">
        <v>1162</v>
      </c>
      <c r="K88" t="s">
        <v>1209</v>
      </c>
      <c r="L88" s="40">
        <v>11094.117117117117</v>
      </c>
      <c r="M88" s="40">
        <v>532518</v>
      </c>
      <c r="N88" s="40">
        <v>11982</v>
      </c>
      <c r="O88" s="40">
        <v>575135</v>
      </c>
      <c r="Q88" s="40">
        <v>0</v>
      </c>
      <c r="R88" s="35"/>
      <c r="T88" t="s">
        <v>1214</v>
      </c>
      <c r="U88" t="s">
        <v>126</v>
      </c>
      <c r="V88" t="s">
        <v>139</v>
      </c>
      <c r="W88">
        <v>10200</v>
      </c>
      <c r="X88" t="s">
        <v>707</v>
      </c>
      <c r="AA88" t="s">
        <v>140</v>
      </c>
      <c r="AB88" t="s">
        <v>141</v>
      </c>
      <c r="AC88">
        <v>11611</v>
      </c>
      <c r="AD88">
        <v>11612</v>
      </c>
      <c r="AF88">
        <v>1</v>
      </c>
    </row>
    <row r="89" spans="1:32">
      <c r="A89">
        <v>1</v>
      </c>
      <c r="B89">
        <v>84</v>
      </c>
      <c r="C89">
        <v>161702000</v>
      </c>
      <c r="D89" t="s">
        <v>628</v>
      </c>
      <c r="E89" t="s">
        <v>1138</v>
      </c>
      <c r="F89">
        <v>48</v>
      </c>
      <c r="G89" t="s">
        <v>732</v>
      </c>
      <c r="H89" t="s">
        <v>1052</v>
      </c>
      <c r="I89" t="s">
        <v>1053</v>
      </c>
      <c r="J89" t="s">
        <v>1163</v>
      </c>
      <c r="K89" t="s">
        <v>1186</v>
      </c>
      <c r="L89" s="40">
        <v>24398.716216216217</v>
      </c>
      <c r="M89" s="40">
        <v>1171138</v>
      </c>
      <c r="N89" s="40">
        <v>26351</v>
      </c>
      <c r="O89" s="40">
        <v>1264865</v>
      </c>
      <c r="Q89" s="40">
        <v>0</v>
      </c>
      <c r="R89" s="35">
        <v>45936</v>
      </c>
      <c r="T89" t="s">
        <v>1214</v>
      </c>
      <c r="U89" t="s">
        <v>126</v>
      </c>
      <c r="V89" t="s">
        <v>139</v>
      </c>
      <c r="W89">
        <v>20030</v>
      </c>
      <c r="X89" t="s">
        <v>718</v>
      </c>
      <c r="Y89" t="s">
        <v>1060</v>
      </c>
      <c r="AA89" t="s">
        <v>140</v>
      </c>
      <c r="AB89" t="s">
        <v>141</v>
      </c>
      <c r="AC89">
        <v>11611</v>
      </c>
      <c r="AD89">
        <v>11612</v>
      </c>
      <c r="AE89">
        <v>101</v>
      </c>
      <c r="AF89">
        <v>1</v>
      </c>
    </row>
    <row r="90" spans="1:32">
      <c r="A90">
        <v>1</v>
      </c>
      <c r="B90">
        <v>164</v>
      </c>
      <c r="C90">
        <v>101701006</v>
      </c>
      <c r="D90" t="s">
        <v>628</v>
      </c>
      <c r="E90" t="s">
        <v>1229</v>
      </c>
      <c r="F90">
        <v>48</v>
      </c>
      <c r="G90" t="s">
        <v>705</v>
      </c>
      <c r="H90" t="s">
        <v>1256</v>
      </c>
      <c r="I90" t="s">
        <v>1037</v>
      </c>
      <c r="J90" t="s">
        <v>1242</v>
      </c>
      <c r="K90" t="s">
        <v>1251</v>
      </c>
      <c r="M90" s="40">
        <v>0</v>
      </c>
      <c r="O90" s="40">
        <v>0</v>
      </c>
      <c r="Q90" s="40">
        <v>0</v>
      </c>
      <c r="R90" s="35"/>
      <c r="T90" t="s">
        <v>1214</v>
      </c>
      <c r="U90" t="s">
        <v>126</v>
      </c>
      <c r="V90" t="s">
        <v>139</v>
      </c>
      <c r="W90">
        <v>20050</v>
      </c>
      <c r="X90" t="s">
        <v>1231</v>
      </c>
      <c r="AA90" t="s">
        <v>140</v>
      </c>
      <c r="AB90" t="s">
        <v>141</v>
      </c>
      <c r="AC90">
        <v>11611</v>
      </c>
      <c r="AD90">
        <v>11612</v>
      </c>
      <c r="AF90">
        <v>1</v>
      </c>
    </row>
    <row r="91" spans="1:32">
      <c r="A91">
        <v>1</v>
      </c>
      <c r="B91">
        <v>164</v>
      </c>
      <c r="C91">
        <v>171701001</v>
      </c>
      <c r="D91" t="s">
        <v>628</v>
      </c>
      <c r="E91" t="s">
        <v>1261</v>
      </c>
      <c r="F91">
        <v>24</v>
      </c>
      <c r="G91" t="s">
        <v>705</v>
      </c>
      <c r="H91" t="s">
        <v>1317</v>
      </c>
      <c r="I91" t="s">
        <v>1318</v>
      </c>
      <c r="J91" t="s">
        <v>1297</v>
      </c>
      <c r="K91" t="s">
        <v>1319</v>
      </c>
      <c r="L91" s="40">
        <v>40873.063063063069</v>
      </c>
      <c r="M91" s="40">
        <v>980954</v>
      </c>
      <c r="N91" s="40">
        <v>44144</v>
      </c>
      <c r="O91" s="40">
        <v>1059459</v>
      </c>
      <c r="Q91" s="40">
        <v>0</v>
      </c>
      <c r="R91" s="35">
        <v>46044</v>
      </c>
      <c r="T91" t="s">
        <v>1214</v>
      </c>
      <c r="U91" t="s">
        <v>126</v>
      </c>
      <c r="V91" t="s">
        <v>139</v>
      </c>
      <c r="W91">
        <v>20300</v>
      </c>
      <c r="X91" t="s">
        <v>1263</v>
      </c>
      <c r="AA91" t="s">
        <v>140</v>
      </c>
      <c r="AB91" t="s">
        <v>141</v>
      </c>
      <c r="AC91">
        <v>11611</v>
      </c>
      <c r="AD91">
        <v>11612</v>
      </c>
      <c r="AF91">
        <v>1</v>
      </c>
    </row>
    <row r="92" spans="1:32">
      <c r="A92">
        <v>1</v>
      </c>
      <c r="B92">
        <v>168</v>
      </c>
      <c r="C92">
        <v>171701000</v>
      </c>
      <c r="D92" t="s">
        <v>628</v>
      </c>
      <c r="E92" t="s">
        <v>1268</v>
      </c>
      <c r="F92">
        <v>48</v>
      </c>
      <c r="G92" t="s">
        <v>705</v>
      </c>
      <c r="H92" t="s">
        <v>1317</v>
      </c>
      <c r="I92" t="s">
        <v>1318</v>
      </c>
      <c r="J92" t="s">
        <v>1298</v>
      </c>
      <c r="K92" t="s">
        <v>1320</v>
      </c>
      <c r="L92" s="40">
        <v>22521.89189189189</v>
      </c>
      <c r="M92" s="40">
        <v>1081051</v>
      </c>
      <c r="N92" s="40">
        <v>24324</v>
      </c>
      <c r="O92" s="40">
        <v>1167568</v>
      </c>
      <c r="Q92" s="40">
        <v>0</v>
      </c>
      <c r="R92" s="35"/>
      <c r="T92" t="s">
        <v>1214</v>
      </c>
      <c r="U92" t="s">
        <v>126</v>
      </c>
      <c r="V92" t="s">
        <v>139</v>
      </c>
      <c r="W92">
        <v>20150</v>
      </c>
      <c r="X92" t="s">
        <v>1269</v>
      </c>
      <c r="AA92" t="s">
        <v>140</v>
      </c>
      <c r="AB92" t="s">
        <v>141</v>
      </c>
      <c r="AC92">
        <v>11611</v>
      </c>
      <c r="AD92">
        <v>11612</v>
      </c>
      <c r="AF92">
        <v>1</v>
      </c>
    </row>
    <row r="93" spans="1:32">
      <c r="A93">
        <v>1</v>
      </c>
      <c r="B93">
        <v>85</v>
      </c>
      <c r="C93" t="s">
        <v>496</v>
      </c>
      <c r="D93" t="s">
        <v>628</v>
      </c>
      <c r="E93" t="s">
        <v>617</v>
      </c>
      <c r="F93">
        <v>48</v>
      </c>
      <c r="G93" t="s">
        <v>732</v>
      </c>
      <c r="H93" t="s">
        <v>1042</v>
      </c>
      <c r="I93" t="s">
        <v>1043</v>
      </c>
      <c r="J93" t="s">
        <v>854</v>
      </c>
      <c r="K93" t="s">
        <v>970</v>
      </c>
      <c r="L93" s="40">
        <v>8591.6846846846838</v>
      </c>
      <c r="M93" s="40">
        <v>412401</v>
      </c>
      <c r="N93" s="40">
        <v>9279</v>
      </c>
      <c r="O93" s="40">
        <v>445405</v>
      </c>
      <c r="Q93" s="40">
        <v>0</v>
      </c>
      <c r="R93" s="35">
        <v>45848</v>
      </c>
      <c r="T93" t="s">
        <v>1214</v>
      </c>
      <c r="U93" t="s">
        <v>126</v>
      </c>
      <c r="V93" t="s">
        <v>139</v>
      </c>
      <c r="W93">
        <v>20130</v>
      </c>
      <c r="X93" t="s">
        <v>710</v>
      </c>
      <c r="Y93" t="s">
        <v>1060</v>
      </c>
      <c r="Z93" t="s">
        <v>377</v>
      </c>
      <c r="AA93" t="s">
        <v>140</v>
      </c>
      <c r="AB93" t="s">
        <v>141</v>
      </c>
      <c r="AC93">
        <v>11611</v>
      </c>
      <c r="AD93">
        <v>11612</v>
      </c>
      <c r="AE93">
        <v>101</v>
      </c>
      <c r="AF93">
        <v>1</v>
      </c>
    </row>
    <row r="94" spans="1:32">
      <c r="A94">
        <v>1</v>
      </c>
      <c r="C94" t="s">
        <v>1289</v>
      </c>
      <c r="D94" t="s">
        <v>628</v>
      </c>
      <c r="E94" t="s">
        <v>1286</v>
      </c>
      <c r="F94">
        <v>48</v>
      </c>
      <c r="G94" t="s">
        <v>732</v>
      </c>
      <c r="H94" t="s">
        <v>1042</v>
      </c>
      <c r="I94" t="s">
        <v>1043</v>
      </c>
      <c r="J94" t="s">
        <v>1299</v>
      </c>
      <c r="K94" t="s">
        <v>1321</v>
      </c>
      <c r="M94" s="40">
        <v>0</v>
      </c>
      <c r="O94" s="40">
        <v>0</v>
      </c>
      <c r="Q94" s="40">
        <v>0</v>
      </c>
      <c r="R94" s="35"/>
      <c r="T94" t="s">
        <v>1214</v>
      </c>
      <c r="U94" t="s">
        <v>126</v>
      </c>
      <c r="V94" t="s">
        <v>139</v>
      </c>
      <c r="W94">
        <v>20260</v>
      </c>
      <c r="X94" t="s">
        <v>1287</v>
      </c>
      <c r="AA94" t="s">
        <v>140</v>
      </c>
      <c r="AB94" t="s">
        <v>141</v>
      </c>
      <c r="AC94">
        <v>11611</v>
      </c>
      <c r="AD94">
        <v>11612</v>
      </c>
      <c r="AF94">
        <v>1</v>
      </c>
    </row>
    <row r="95" spans="1:32">
      <c r="A95">
        <v>1</v>
      </c>
      <c r="B95">
        <v>86</v>
      </c>
      <c r="C95" t="s">
        <v>497</v>
      </c>
      <c r="D95" t="s">
        <v>628</v>
      </c>
      <c r="E95" t="s">
        <v>618</v>
      </c>
      <c r="F95">
        <v>48</v>
      </c>
      <c r="G95" t="s">
        <v>732</v>
      </c>
      <c r="H95" t="s">
        <v>1042</v>
      </c>
      <c r="I95" t="s">
        <v>1043</v>
      </c>
      <c r="J95" t="s">
        <v>855</v>
      </c>
      <c r="K95" t="s">
        <v>971</v>
      </c>
      <c r="L95" s="40">
        <v>8591.6846846846838</v>
      </c>
      <c r="M95" s="40">
        <v>412401</v>
      </c>
      <c r="N95" s="40">
        <v>9279</v>
      </c>
      <c r="O95" s="40">
        <v>445405</v>
      </c>
      <c r="Q95" s="40">
        <v>0</v>
      </c>
      <c r="R95" s="35">
        <v>45848</v>
      </c>
      <c r="T95" t="s">
        <v>1214</v>
      </c>
      <c r="U95" t="s">
        <v>126</v>
      </c>
      <c r="V95" t="s">
        <v>139</v>
      </c>
      <c r="W95">
        <v>20130</v>
      </c>
      <c r="X95" t="s">
        <v>710</v>
      </c>
      <c r="Y95" t="s">
        <v>1060</v>
      </c>
      <c r="Z95" t="s">
        <v>377</v>
      </c>
      <c r="AA95" t="s">
        <v>140</v>
      </c>
      <c r="AB95" t="s">
        <v>141</v>
      </c>
      <c r="AC95">
        <v>11611</v>
      </c>
      <c r="AD95">
        <v>11612</v>
      </c>
      <c r="AE95">
        <v>101</v>
      </c>
      <c r="AF95">
        <v>1</v>
      </c>
    </row>
    <row r="96" spans="1:32">
      <c r="A96">
        <v>1</v>
      </c>
      <c r="B96">
        <v>87</v>
      </c>
      <c r="C96" t="s">
        <v>495</v>
      </c>
      <c r="D96" t="s">
        <v>628</v>
      </c>
      <c r="E96" t="s">
        <v>616</v>
      </c>
      <c r="F96">
        <v>48</v>
      </c>
      <c r="G96" t="s">
        <v>732</v>
      </c>
      <c r="H96" t="s">
        <v>1042</v>
      </c>
      <c r="I96" t="s">
        <v>1043</v>
      </c>
      <c r="J96" t="s">
        <v>856</v>
      </c>
      <c r="K96" t="s">
        <v>972</v>
      </c>
      <c r="L96" s="40">
        <v>8591.6846846846838</v>
      </c>
      <c r="M96" s="40">
        <v>412401</v>
      </c>
      <c r="N96" s="40">
        <v>9279</v>
      </c>
      <c r="O96" s="40">
        <v>445405</v>
      </c>
      <c r="Q96" s="40">
        <v>0</v>
      </c>
      <c r="R96" s="35">
        <v>45848</v>
      </c>
      <c r="T96" t="s">
        <v>1214</v>
      </c>
      <c r="U96" t="s">
        <v>126</v>
      </c>
      <c r="V96" t="s">
        <v>139</v>
      </c>
      <c r="W96">
        <v>20130</v>
      </c>
      <c r="X96" t="s">
        <v>710</v>
      </c>
      <c r="Y96" t="s">
        <v>1060</v>
      </c>
      <c r="Z96" t="s">
        <v>377</v>
      </c>
      <c r="AA96" t="s">
        <v>140</v>
      </c>
      <c r="AB96" t="s">
        <v>141</v>
      </c>
      <c r="AC96">
        <v>11611</v>
      </c>
      <c r="AD96">
        <v>11612</v>
      </c>
      <c r="AE96">
        <v>101</v>
      </c>
      <c r="AF96">
        <v>1</v>
      </c>
    </row>
    <row r="97" spans="1:32">
      <c r="A97">
        <v>1</v>
      </c>
      <c r="B97">
        <v>88</v>
      </c>
      <c r="C97" t="s">
        <v>502</v>
      </c>
      <c r="D97" t="s">
        <v>628</v>
      </c>
      <c r="E97" t="s">
        <v>624</v>
      </c>
      <c r="F97">
        <v>48</v>
      </c>
      <c r="G97" t="s">
        <v>732</v>
      </c>
      <c r="H97" t="s">
        <v>1044</v>
      </c>
      <c r="I97" t="s">
        <v>1045</v>
      </c>
      <c r="J97" t="s">
        <v>857</v>
      </c>
      <c r="K97" t="s">
        <v>973</v>
      </c>
      <c r="L97" s="40">
        <v>17517.027027027023</v>
      </c>
      <c r="M97" s="40">
        <v>840817</v>
      </c>
      <c r="N97" s="40">
        <v>18919</v>
      </c>
      <c r="O97" s="40">
        <v>908108</v>
      </c>
      <c r="Q97" s="40">
        <v>0</v>
      </c>
      <c r="R97" s="35">
        <v>45848</v>
      </c>
      <c r="T97" t="s">
        <v>1214</v>
      </c>
      <c r="U97" t="s">
        <v>126</v>
      </c>
      <c r="V97" t="s">
        <v>139</v>
      </c>
      <c r="W97">
        <v>20080</v>
      </c>
      <c r="X97" t="s">
        <v>719</v>
      </c>
      <c r="Y97" t="s">
        <v>1060</v>
      </c>
      <c r="Z97" t="s">
        <v>377</v>
      </c>
      <c r="AA97" t="s">
        <v>140</v>
      </c>
      <c r="AB97" t="s">
        <v>141</v>
      </c>
      <c r="AC97">
        <v>11611</v>
      </c>
      <c r="AD97">
        <v>11612</v>
      </c>
      <c r="AE97">
        <v>101</v>
      </c>
      <c r="AF97">
        <v>1</v>
      </c>
    </row>
    <row r="98" spans="1:32">
      <c r="A98">
        <v>1</v>
      </c>
      <c r="B98">
        <v>89</v>
      </c>
      <c r="C98">
        <v>191702002</v>
      </c>
      <c r="D98" t="s">
        <v>628</v>
      </c>
      <c r="E98" t="s">
        <v>1096</v>
      </c>
      <c r="F98">
        <v>48</v>
      </c>
      <c r="G98" t="s">
        <v>732</v>
      </c>
      <c r="H98" t="s">
        <v>1044</v>
      </c>
      <c r="I98" t="s">
        <v>1045</v>
      </c>
      <c r="J98" t="s">
        <v>1164</v>
      </c>
      <c r="K98" t="s">
        <v>1210</v>
      </c>
      <c r="M98" s="40">
        <v>0</v>
      </c>
      <c r="O98" s="40">
        <v>0</v>
      </c>
      <c r="Q98" s="40">
        <v>0</v>
      </c>
      <c r="R98" s="35"/>
      <c r="T98" t="s">
        <v>1214</v>
      </c>
      <c r="U98" t="s">
        <v>126</v>
      </c>
      <c r="V98" t="s">
        <v>139</v>
      </c>
      <c r="W98">
        <v>20080</v>
      </c>
      <c r="X98" t="s">
        <v>719</v>
      </c>
      <c r="AA98" t="s">
        <v>140</v>
      </c>
      <c r="AB98" t="s">
        <v>141</v>
      </c>
      <c r="AC98">
        <v>11611</v>
      </c>
      <c r="AD98">
        <v>11612</v>
      </c>
      <c r="AF98">
        <v>1</v>
      </c>
    </row>
    <row r="99" spans="1:32">
      <c r="A99">
        <v>1</v>
      </c>
      <c r="B99">
        <v>90</v>
      </c>
      <c r="C99" t="s">
        <v>501</v>
      </c>
      <c r="D99" t="s">
        <v>628</v>
      </c>
      <c r="E99" t="s">
        <v>622</v>
      </c>
      <c r="F99">
        <v>48</v>
      </c>
      <c r="G99" t="s">
        <v>732</v>
      </c>
      <c r="H99" t="s">
        <v>1044</v>
      </c>
      <c r="I99" t="s">
        <v>1045</v>
      </c>
      <c r="J99" t="s">
        <v>858</v>
      </c>
      <c r="K99" t="s">
        <v>974</v>
      </c>
      <c r="L99" s="40">
        <v>17517.027027027023</v>
      </c>
      <c r="M99" s="40">
        <v>840817</v>
      </c>
      <c r="N99" s="40">
        <v>18919</v>
      </c>
      <c r="O99" s="40">
        <v>908108</v>
      </c>
      <c r="Q99" s="40">
        <v>0</v>
      </c>
      <c r="R99" s="35">
        <v>45848</v>
      </c>
      <c r="T99" t="s">
        <v>1214</v>
      </c>
      <c r="U99" t="s">
        <v>126</v>
      </c>
      <c r="V99" t="s">
        <v>139</v>
      </c>
      <c r="W99">
        <v>20080</v>
      </c>
      <c r="X99" t="s">
        <v>719</v>
      </c>
      <c r="Y99" t="s">
        <v>1060</v>
      </c>
      <c r="Z99" t="s">
        <v>377</v>
      </c>
      <c r="AA99" t="s">
        <v>140</v>
      </c>
      <c r="AB99" t="s">
        <v>141</v>
      </c>
      <c r="AC99">
        <v>11611</v>
      </c>
      <c r="AD99">
        <v>11612</v>
      </c>
      <c r="AE99">
        <v>101</v>
      </c>
      <c r="AF99">
        <v>1</v>
      </c>
    </row>
    <row r="100" spans="1:32">
      <c r="A100">
        <v>1</v>
      </c>
      <c r="D100" t="s">
        <v>628</v>
      </c>
      <c r="G100" t="s">
        <v>732</v>
      </c>
      <c r="H100" t="s">
        <v>1044</v>
      </c>
      <c r="I100" t="s">
        <v>1045</v>
      </c>
      <c r="J100" t="s">
        <v>1300</v>
      </c>
      <c r="K100" t="s">
        <v>1322</v>
      </c>
      <c r="M100" s="40">
        <v>0</v>
      </c>
      <c r="O100" s="40">
        <v>0</v>
      </c>
      <c r="Q100" s="40">
        <v>0</v>
      </c>
      <c r="R100" s="35"/>
      <c r="T100" t="s">
        <v>1214</v>
      </c>
      <c r="U100" t="s">
        <v>126</v>
      </c>
      <c r="V100" t="s">
        <v>139</v>
      </c>
      <c r="W100">
        <v>20080</v>
      </c>
      <c r="X100" t="s">
        <v>719</v>
      </c>
      <c r="AA100" t="s">
        <v>140</v>
      </c>
      <c r="AB100" t="s">
        <v>141</v>
      </c>
      <c r="AC100">
        <v>11611</v>
      </c>
      <c r="AD100">
        <v>11612</v>
      </c>
      <c r="AF100">
        <v>1</v>
      </c>
    </row>
    <row r="101" spans="1:32">
      <c r="A101">
        <v>1</v>
      </c>
      <c r="B101">
        <v>91</v>
      </c>
      <c r="C101">
        <v>191702000</v>
      </c>
      <c r="D101" t="s">
        <v>628</v>
      </c>
      <c r="E101" t="s">
        <v>623</v>
      </c>
      <c r="F101">
        <v>12</v>
      </c>
      <c r="G101" t="s">
        <v>732</v>
      </c>
      <c r="H101" t="s">
        <v>1044</v>
      </c>
      <c r="I101" t="s">
        <v>1045</v>
      </c>
      <c r="J101" t="s">
        <v>859</v>
      </c>
      <c r="K101" t="s">
        <v>1337</v>
      </c>
      <c r="L101" s="40">
        <v>41707.207207207204</v>
      </c>
      <c r="M101" s="40">
        <v>500486</v>
      </c>
      <c r="N101" s="40">
        <v>45045</v>
      </c>
      <c r="O101" s="40">
        <v>540541</v>
      </c>
      <c r="Q101" s="40">
        <v>0</v>
      </c>
      <c r="R101" s="35">
        <v>45848</v>
      </c>
      <c r="T101" t="s">
        <v>1214</v>
      </c>
      <c r="U101" t="s">
        <v>126</v>
      </c>
      <c r="V101" t="s">
        <v>139</v>
      </c>
      <c r="W101">
        <v>20020</v>
      </c>
      <c r="X101" t="s">
        <v>717</v>
      </c>
      <c r="Y101" t="s">
        <v>1060</v>
      </c>
      <c r="Z101" t="s">
        <v>377</v>
      </c>
      <c r="AA101" t="s">
        <v>140</v>
      </c>
      <c r="AB101" t="s">
        <v>141</v>
      </c>
      <c r="AC101">
        <v>11611</v>
      </c>
      <c r="AD101">
        <v>11612</v>
      </c>
      <c r="AE101">
        <v>101</v>
      </c>
      <c r="AF101">
        <v>1</v>
      </c>
    </row>
    <row r="102" spans="1:32">
      <c r="A102">
        <v>1</v>
      </c>
      <c r="C102" t="s">
        <v>1313</v>
      </c>
      <c r="D102" t="s">
        <v>628</v>
      </c>
      <c r="F102">
        <v>12</v>
      </c>
      <c r="G102" t="s">
        <v>1295</v>
      </c>
      <c r="H102" t="s">
        <v>1044</v>
      </c>
      <c r="I102" t="s">
        <v>1045</v>
      </c>
      <c r="J102" t="s">
        <v>1301</v>
      </c>
      <c r="K102" t="s">
        <v>1323</v>
      </c>
      <c r="L102" s="40">
        <v>41707.207207207204</v>
      </c>
      <c r="M102" s="40">
        <v>500486</v>
      </c>
      <c r="N102" s="40">
        <v>45045</v>
      </c>
      <c r="O102" s="40">
        <v>540541</v>
      </c>
      <c r="Q102" s="40">
        <v>0</v>
      </c>
      <c r="R102" s="35"/>
      <c r="T102" t="s">
        <v>1214</v>
      </c>
      <c r="U102" t="s">
        <v>126</v>
      </c>
      <c r="V102" t="s">
        <v>139</v>
      </c>
      <c r="W102">
        <v>20</v>
      </c>
      <c r="X102" t="s">
        <v>717</v>
      </c>
      <c r="AA102" t="s">
        <v>140</v>
      </c>
      <c r="AB102" t="s">
        <v>141</v>
      </c>
      <c r="AC102">
        <v>11611</v>
      </c>
      <c r="AD102">
        <v>11612</v>
      </c>
      <c r="AF102">
        <v>1</v>
      </c>
    </row>
    <row r="103" spans="1:32">
      <c r="A103">
        <v>1</v>
      </c>
      <c r="B103">
        <v>162</v>
      </c>
      <c r="C103">
        <v>191702001</v>
      </c>
      <c r="D103" t="s">
        <v>628</v>
      </c>
      <c r="E103" t="s">
        <v>1219</v>
      </c>
      <c r="F103">
        <v>120</v>
      </c>
      <c r="G103" t="s">
        <v>187</v>
      </c>
      <c r="H103" t="s">
        <v>1044</v>
      </c>
      <c r="I103" t="s">
        <v>1045</v>
      </c>
      <c r="J103" t="s">
        <v>1243</v>
      </c>
      <c r="K103" t="s">
        <v>1252</v>
      </c>
      <c r="M103" s="40">
        <v>0</v>
      </c>
      <c r="O103" s="40">
        <v>0</v>
      </c>
      <c r="Q103" s="40">
        <v>0</v>
      </c>
      <c r="R103" s="35"/>
      <c r="T103" t="s">
        <v>1214</v>
      </c>
      <c r="U103" t="s">
        <v>126</v>
      </c>
      <c r="V103" t="s">
        <v>139</v>
      </c>
      <c r="W103">
        <v>20</v>
      </c>
      <c r="X103" t="s">
        <v>717</v>
      </c>
      <c r="AA103" t="s">
        <v>140</v>
      </c>
      <c r="AB103" t="s">
        <v>141</v>
      </c>
      <c r="AC103">
        <v>11611</v>
      </c>
      <c r="AD103">
        <v>11612</v>
      </c>
      <c r="AF103">
        <v>1</v>
      </c>
    </row>
    <row r="104" spans="1:32">
      <c r="A104">
        <v>1</v>
      </c>
      <c r="C104">
        <v>191701700</v>
      </c>
      <c r="D104" t="s">
        <v>628</v>
      </c>
      <c r="E104" t="s">
        <v>1280</v>
      </c>
      <c r="F104">
        <v>48</v>
      </c>
      <c r="G104" t="s">
        <v>187</v>
      </c>
      <c r="H104" t="s">
        <v>1044</v>
      </c>
      <c r="I104" t="s">
        <v>1045</v>
      </c>
      <c r="J104" t="s">
        <v>1302</v>
      </c>
      <c r="K104" t="s">
        <v>1324</v>
      </c>
      <c r="M104" s="40">
        <v>0</v>
      </c>
      <c r="O104" s="40">
        <v>0</v>
      </c>
      <c r="Q104" s="40">
        <v>0</v>
      </c>
      <c r="R104" s="35"/>
      <c r="T104" t="s">
        <v>1214</v>
      </c>
      <c r="U104" t="s">
        <v>126</v>
      </c>
      <c r="V104" t="s">
        <v>139</v>
      </c>
      <c r="W104">
        <v>10080</v>
      </c>
      <c r="X104" t="s">
        <v>719</v>
      </c>
      <c r="AA104" t="s">
        <v>140</v>
      </c>
      <c r="AB104" t="s">
        <v>141</v>
      </c>
      <c r="AC104">
        <v>11611</v>
      </c>
      <c r="AD104">
        <v>11612</v>
      </c>
      <c r="AF104">
        <v>1</v>
      </c>
    </row>
    <row r="105" spans="1:32">
      <c r="A105">
        <v>1</v>
      </c>
      <c r="B105">
        <v>93</v>
      </c>
      <c r="C105" t="s">
        <v>394</v>
      </c>
      <c r="D105" t="s">
        <v>628</v>
      </c>
      <c r="E105" t="s">
        <v>515</v>
      </c>
      <c r="F105">
        <v>144</v>
      </c>
      <c r="G105" t="s">
        <v>187</v>
      </c>
      <c r="H105" t="s">
        <v>1046</v>
      </c>
      <c r="I105" t="s">
        <v>1047</v>
      </c>
      <c r="J105" t="s">
        <v>860</v>
      </c>
      <c r="K105" t="s">
        <v>975</v>
      </c>
      <c r="L105" s="40">
        <v>3586.8198198198197</v>
      </c>
      <c r="M105" s="40">
        <v>516502</v>
      </c>
      <c r="N105" s="40">
        <v>3874</v>
      </c>
      <c r="O105" s="40">
        <v>557838</v>
      </c>
      <c r="Q105" s="40">
        <v>0</v>
      </c>
      <c r="R105" s="35">
        <v>45848</v>
      </c>
      <c r="T105" t="s">
        <v>1214</v>
      </c>
      <c r="U105" t="s">
        <v>126</v>
      </c>
      <c r="V105" t="s">
        <v>139</v>
      </c>
      <c r="W105">
        <v>10080</v>
      </c>
      <c r="X105" t="s">
        <v>770</v>
      </c>
      <c r="Y105" t="s">
        <v>1060</v>
      </c>
      <c r="Z105" t="s">
        <v>377</v>
      </c>
      <c r="AA105" t="s">
        <v>140</v>
      </c>
      <c r="AB105" t="s">
        <v>141</v>
      </c>
      <c r="AC105">
        <v>11611</v>
      </c>
      <c r="AD105">
        <v>11612</v>
      </c>
      <c r="AE105">
        <v>101</v>
      </c>
      <c r="AF105">
        <v>1</v>
      </c>
    </row>
    <row r="106" spans="1:32">
      <c r="A106">
        <v>1</v>
      </c>
      <c r="B106">
        <v>94</v>
      </c>
      <c r="C106" t="s">
        <v>398</v>
      </c>
      <c r="D106" t="s">
        <v>628</v>
      </c>
      <c r="E106" t="s">
        <v>519</v>
      </c>
      <c r="F106">
        <v>144</v>
      </c>
      <c r="G106" t="s">
        <v>187</v>
      </c>
      <c r="H106" t="s">
        <v>1046</v>
      </c>
      <c r="I106" t="s">
        <v>1047</v>
      </c>
      <c r="J106" t="s">
        <v>861</v>
      </c>
      <c r="K106" t="s">
        <v>976</v>
      </c>
      <c r="L106" s="40">
        <v>3586.8198198198197</v>
      </c>
      <c r="M106" s="40">
        <v>516502</v>
      </c>
      <c r="N106" s="40">
        <v>3874</v>
      </c>
      <c r="O106" s="40">
        <v>557838</v>
      </c>
      <c r="Q106" s="40">
        <v>0</v>
      </c>
      <c r="R106" s="35">
        <v>45848</v>
      </c>
      <c r="T106" t="s">
        <v>1214</v>
      </c>
      <c r="U106" t="s">
        <v>126</v>
      </c>
      <c r="V106" t="s">
        <v>139</v>
      </c>
      <c r="W106">
        <v>10080</v>
      </c>
      <c r="X106" t="s">
        <v>770</v>
      </c>
      <c r="Y106" t="s">
        <v>1060</v>
      </c>
      <c r="Z106" t="s">
        <v>377</v>
      </c>
      <c r="AA106" t="s">
        <v>140</v>
      </c>
      <c r="AB106" t="s">
        <v>141</v>
      </c>
      <c r="AC106">
        <v>11611</v>
      </c>
      <c r="AD106">
        <v>11612</v>
      </c>
      <c r="AE106">
        <v>101</v>
      </c>
      <c r="AF106">
        <v>1</v>
      </c>
    </row>
    <row r="107" spans="1:32">
      <c r="A107">
        <v>1</v>
      </c>
      <c r="B107">
        <v>95</v>
      </c>
      <c r="C107" t="s">
        <v>395</v>
      </c>
      <c r="D107" t="s">
        <v>628</v>
      </c>
      <c r="E107" t="s">
        <v>516</v>
      </c>
      <c r="F107">
        <v>144</v>
      </c>
      <c r="G107" t="s">
        <v>187</v>
      </c>
      <c r="H107" t="s">
        <v>1046</v>
      </c>
      <c r="I107" t="s">
        <v>1047</v>
      </c>
      <c r="J107" t="s">
        <v>862</v>
      </c>
      <c r="K107" t="s">
        <v>977</v>
      </c>
      <c r="L107" s="40">
        <v>3586.8198198198197</v>
      </c>
      <c r="M107" s="40">
        <v>516502</v>
      </c>
      <c r="N107" s="40">
        <v>3874</v>
      </c>
      <c r="O107" s="40">
        <v>557838</v>
      </c>
      <c r="Q107" s="40">
        <v>0</v>
      </c>
      <c r="R107" s="35">
        <v>45848</v>
      </c>
      <c r="T107" t="s">
        <v>1214</v>
      </c>
      <c r="U107" t="s">
        <v>126</v>
      </c>
      <c r="V107" t="s">
        <v>139</v>
      </c>
      <c r="W107">
        <v>10080</v>
      </c>
      <c r="X107" t="s">
        <v>770</v>
      </c>
      <c r="Y107" t="s">
        <v>1060</v>
      </c>
      <c r="Z107" t="s">
        <v>377</v>
      </c>
      <c r="AA107" t="s">
        <v>140</v>
      </c>
      <c r="AB107" t="s">
        <v>141</v>
      </c>
      <c r="AC107">
        <v>11611</v>
      </c>
      <c r="AD107">
        <v>11612</v>
      </c>
      <c r="AE107">
        <v>101</v>
      </c>
      <c r="AF107">
        <v>1</v>
      </c>
    </row>
    <row r="108" spans="1:32">
      <c r="A108">
        <v>1</v>
      </c>
      <c r="B108">
        <v>96</v>
      </c>
      <c r="C108" t="s">
        <v>393</v>
      </c>
      <c r="D108" t="s">
        <v>628</v>
      </c>
      <c r="E108" t="s">
        <v>514</v>
      </c>
      <c r="F108">
        <v>144</v>
      </c>
      <c r="G108" t="s">
        <v>187</v>
      </c>
      <c r="H108" t="s">
        <v>1046</v>
      </c>
      <c r="I108" t="s">
        <v>1047</v>
      </c>
      <c r="J108" t="s">
        <v>863</v>
      </c>
      <c r="K108" t="s">
        <v>978</v>
      </c>
      <c r="L108" s="40">
        <v>3586.8198198198197</v>
      </c>
      <c r="M108" s="40">
        <v>516502</v>
      </c>
      <c r="N108" s="40">
        <v>3874</v>
      </c>
      <c r="O108" s="40">
        <v>557838</v>
      </c>
      <c r="Q108" s="40">
        <v>0</v>
      </c>
      <c r="R108" s="35">
        <v>45848</v>
      </c>
      <c r="T108" t="s">
        <v>1214</v>
      </c>
      <c r="U108" t="s">
        <v>126</v>
      </c>
      <c r="V108" t="s">
        <v>139</v>
      </c>
      <c r="W108">
        <v>10080</v>
      </c>
      <c r="X108" t="s">
        <v>770</v>
      </c>
      <c r="Y108" t="s">
        <v>1060</v>
      </c>
      <c r="Z108" t="s">
        <v>377</v>
      </c>
      <c r="AA108" t="s">
        <v>140</v>
      </c>
      <c r="AB108" t="s">
        <v>141</v>
      </c>
      <c r="AC108">
        <v>11611</v>
      </c>
      <c r="AD108">
        <v>11612</v>
      </c>
      <c r="AE108">
        <v>101</v>
      </c>
      <c r="AF108">
        <v>1</v>
      </c>
    </row>
    <row r="109" spans="1:32">
      <c r="A109">
        <v>1</v>
      </c>
      <c r="B109">
        <v>97</v>
      </c>
      <c r="C109" t="s">
        <v>396</v>
      </c>
      <c r="D109" t="s">
        <v>628</v>
      </c>
      <c r="E109" t="s">
        <v>517</v>
      </c>
      <c r="F109">
        <v>144</v>
      </c>
      <c r="G109" t="s">
        <v>187</v>
      </c>
      <c r="H109" t="s">
        <v>1046</v>
      </c>
      <c r="I109" t="s">
        <v>1047</v>
      </c>
      <c r="J109" t="s">
        <v>864</v>
      </c>
      <c r="K109" t="s">
        <v>979</v>
      </c>
      <c r="L109" s="40">
        <v>3586.8198198198197</v>
      </c>
      <c r="M109" s="40">
        <v>516502</v>
      </c>
      <c r="N109" s="40">
        <v>3874</v>
      </c>
      <c r="O109" s="40">
        <v>557838</v>
      </c>
      <c r="Q109" s="40">
        <v>0</v>
      </c>
      <c r="R109" s="35">
        <v>45848</v>
      </c>
      <c r="T109" t="s">
        <v>1214</v>
      </c>
      <c r="U109" t="s">
        <v>126</v>
      </c>
      <c r="V109" t="s">
        <v>139</v>
      </c>
      <c r="W109">
        <v>10080</v>
      </c>
      <c r="X109" t="s">
        <v>770</v>
      </c>
      <c r="Y109" t="s">
        <v>1060</v>
      </c>
      <c r="Z109" t="s">
        <v>377</v>
      </c>
      <c r="AA109" t="s">
        <v>140</v>
      </c>
      <c r="AB109" t="s">
        <v>141</v>
      </c>
      <c r="AC109">
        <v>11611</v>
      </c>
      <c r="AD109">
        <v>11612</v>
      </c>
      <c r="AE109">
        <v>101</v>
      </c>
      <c r="AF109">
        <v>1</v>
      </c>
    </row>
    <row r="110" spans="1:32">
      <c r="A110">
        <v>1</v>
      </c>
      <c r="B110">
        <v>98</v>
      </c>
      <c r="C110" t="s">
        <v>397</v>
      </c>
      <c r="D110" t="s">
        <v>628</v>
      </c>
      <c r="E110" t="s">
        <v>518</v>
      </c>
      <c r="F110">
        <v>144</v>
      </c>
      <c r="G110" t="s">
        <v>187</v>
      </c>
      <c r="H110" t="s">
        <v>1046</v>
      </c>
      <c r="I110" t="s">
        <v>1047</v>
      </c>
      <c r="J110" t="s">
        <v>865</v>
      </c>
      <c r="K110" t="s">
        <v>980</v>
      </c>
      <c r="L110" s="40">
        <v>3586.8198198198197</v>
      </c>
      <c r="M110" s="40">
        <v>516502</v>
      </c>
      <c r="N110" s="40">
        <v>3874</v>
      </c>
      <c r="O110" s="40">
        <v>557838</v>
      </c>
      <c r="Q110" s="40">
        <v>0</v>
      </c>
      <c r="R110" s="35">
        <v>45848</v>
      </c>
      <c r="T110" t="s">
        <v>1214</v>
      </c>
      <c r="U110" t="s">
        <v>126</v>
      </c>
      <c r="V110" t="s">
        <v>139</v>
      </c>
      <c r="W110">
        <v>10080</v>
      </c>
      <c r="X110" t="s">
        <v>770</v>
      </c>
      <c r="Y110" t="s">
        <v>1060</v>
      </c>
      <c r="Z110" t="s">
        <v>377</v>
      </c>
      <c r="AA110" t="s">
        <v>140</v>
      </c>
      <c r="AB110" t="s">
        <v>141</v>
      </c>
      <c r="AC110">
        <v>11611</v>
      </c>
      <c r="AD110">
        <v>11612</v>
      </c>
      <c r="AE110">
        <v>101</v>
      </c>
      <c r="AF110">
        <v>1</v>
      </c>
    </row>
    <row r="111" spans="1:32">
      <c r="A111">
        <v>1</v>
      </c>
      <c r="B111">
        <v>99</v>
      </c>
      <c r="C111" t="s">
        <v>1140</v>
      </c>
      <c r="D111" t="s">
        <v>628</v>
      </c>
      <c r="E111" t="s">
        <v>1141</v>
      </c>
      <c r="F111">
        <v>24</v>
      </c>
      <c r="G111" t="s">
        <v>736</v>
      </c>
      <c r="H111" t="s">
        <v>1046</v>
      </c>
      <c r="I111" t="s">
        <v>1047</v>
      </c>
      <c r="J111" t="s">
        <v>1244</v>
      </c>
      <c r="K111" t="s">
        <v>1253</v>
      </c>
      <c r="L111" s="40">
        <v>2627.5540540540537</v>
      </c>
      <c r="M111" s="40">
        <v>63061</v>
      </c>
      <c r="N111" s="40">
        <v>2838</v>
      </c>
      <c r="O111" s="40">
        <v>68108</v>
      </c>
      <c r="Q111" s="40">
        <v>0</v>
      </c>
      <c r="R111" s="35">
        <v>45960</v>
      </c>
      <c r="T111" t="s">
        <v>1214</v>
      </c>
      <c r="U111" t="s">
        <v>126</v>
      </c>
      <c r="V111" t="s">
        <v>139</v>
      </c>
      <c r="W111">
        <v>10060</v>
      </c>
      <c r="X111" t="s">
        <v>772</v>
      </c>
      <c r="Y111" t="s">
        <v>1060</v>
      </c>
      <c r="Z111" t="s">
        <v>377</v>
      </c>
      <c r="AA111" t="s">
        <v>140</v>
      </c>
      <c r="AB111" t="s">
        <v>141</v>
      </c>
      <c r="AC111">
        <v>11611</v>
      </c>
      <c r="AD111">
        <v>11612</v>
      </c>
      <c r="AE111">
        <v>101</v>
      </c>
      <c r="AF111">
        <v>1</v>
      </c>
    </row>
    <row r="112" spans="1:32">
      <c r="A112">
        <v>1</v>
      </c>
      <c r="B112">
        <v>100</v>
      </c>
      <c r="C112" t="s">
        <v>1142</v>
      </c>
      <c r="D112" t="s">
        <v>628</v>
      </c>
      <c r="E112" t="s">
        <v>1143</v>
      </c>
      <c r="F112">
        <v>24</v>
      </c>
      <c r="G112" t="s">
        <v>736</v>
      </c>
      <c r="H112" t="s">
        <v>1046</v>
      </c>
      <c r="I112" t="s">
        <v>1047</v>
      </c>
      <c r="J112" t="s">
        <v>1245</v>
      </c>
      <c r="K112" t="s">
        <v>1254</v>
      </c>
      <c r="L112" s="40">
        <v>2627.5540540540537</v>
      </c>
      <c r="M112" s="40">
        <v>63061</v>
      </c>
      <c r="N112" s="40">
        <v>2838</v>
      </c>
      <c r="O112" s="40">
        <v>68108</v>
      </c>
      <c r="Q112" s="40">
        <v>0</v>
      </c>
      <c r="R112" s="35">
        <v>45960</v>
      </c>
      <c r="T112" t="s">
        <v>1214</v>
      </c>
      <c r="U112" t="s">
        <v>126</v>
      </c>
      <c r="V112" t="s">
        <v>139</v>
      </c>
      <c r="W112">
        <v>10060</v>
      </c>
      <c r="X112" t="s">
        <v>772</v>
      </c>
      <c r="Y112" t="s">
        <v>1060</v>
      </c>
      <c r="Z112" t="s">
        <v>377</v>
      </c>
      <c r="AA112" t="s">
        <v>140</v>
      </c>
      <c r="AB112" t="s">
        <v>141</v>
      </c>
      <c r="AC112">
        <v>11611</v>
      </c>
      <c r="AD112">
        <v>11612</v>
      </c>
      <c r="AE112">
        <v>101</v>
      </c>
      <c r="AF112">
        <v>1</v>
      </c>
    </row>
    <row r="113" spans="1:32">
      <c r="A113">
        <v>1</v>
      </c>
      <c r="C113" t="s">
        <v>1276</v>
      </c>
      <c r="D113" t="s">
        <v>631</v>
      </c>
      <c r="E113" t="s">
        <v>1277</v>
      </c>
      <c r="F113">
        <v>72</v>
      </c>
      <c r="G113" t="s">
        <v>187</v>
      </c>
      <c r="H113" t="s">
        <v>1046</v>
      </c>
      <c r="I113" t="s">
        <v>1047</v>
      </c>
      <c r="J113" t="s">
        <v>1303</v>
      </c>
      <c r="K113" t="s">
        <v>1325</v>
      </c>
      <c r="M113" s="40">
        <v>0</v>
      </c>
      <c r="O113" s="40">
        <v>0</v>
      </c>
      <c r="Q113" s="40">
        <v>0</v>
      </c>
      <c r="R113" s="35"/>
      <c r="T113" t="s">
        <v>1214</v>
      </c>
      <c r="U113" t="s">
        <v>126</v>
      </c>
      <c r="V113" t="s">
        <v>139</v>
      </c>
      <c r="W113">
        <v>10060</v>
      </c>
      <c r="X113" t="s">
        <v>772</v>
      </c>
      <c r="AA113" t="s">
        <v>140</v>
      </c>
      <c r="AB113" t="s">
        <v>141</v>
      </c>
      <c r="AC113">
        <v>11611</v>
      </c>
      <c r="AD113">
        <v>11612</v>
      </c>
      <c r="AF113">
        <v>1</v>
      </c>
    </row>
    <row r="114" spans="1:32">
      <c r="A114">
        <v>1</v>
      </c>
      <c r="B114">
        <v>165</v>
      </c>
      <c r="C114" t="s">
        <v>1258</v>
      </c>
      <c r="D114" t="s">
        <v>628</v>
      </c>
      <c r="E114" t="s">
        <v>1257</v>
      </c>
      <c r="F114">
        <v>24</v>
      </c>
      <c r="G114" t="s">
        <v>736</v>
      </c>
      <c r="H114" t="s">
        <v>1046</v>
      </c>
      <c r="I114" t="s">
        <v>1047</v>
      </c>
      <c r="J114" t="s">
        <v>1304</v>
      </c>
      <c r="K114" t="s">
        <v>1326</v>
      </c>
      <c r="L114" s="40">
        <v>2627.5540540540537</v>
      </c>
      <c r="M114" s="40">
        <v>63061</v>
      </c>
      <c r="N114" s="40">
        <v>2838</v>
      </c>
      <c r="O114" s="40">
        <v>68108</v>
      </c>
      <c r="Q114" s="40">
        <v>0</v>
      </c>
      <c r="R114" s="35">
        <v>46044</v>
      </c>
      <c r="T114" t="s">
        <v>1214</v>
      </c>
      <c r="U114" t="s">
        <v>126</v>
      </c>
      <c r="V114" t="s">
        <v>139</v>
      </c>
      <c r="W114">
        <v>10060</v>
      </c>
      <c r="X114" t="s">
        <v>772</v>
      </c>
      <c r="AA114" t="s">
        <v>140</v>
      </c>
      <c r="AB114" t="s">
        <v>141</v>
      </c>
      <c r="AC114">
        <v>11611</v>
      </c>
      <c r="AD114">
        <v>11612</v>
      </c>
      <c r="AF114">
        <v>1</v>
      </c>
    </row>
    <row r="115" spans="1:32">
      <c r="A115">
        <v>1</v>
      </c>
      <c r="F115">
        <v>72</v>
      </c>
      <c r="G115" t="s">
        <v>187</v>
      </c>
      <c r="H115" t="s">
        <v>1046</v>
      </c>
      <c r="I115" t="s">
        <v>1047</v>
      </c>
      <c r="J115" t="s">
        <v>1165</v>
      </c>
      <c r="K115" t="s">
        <v>1211</v>
      </c>
      <c r="M115" s="40">
        <v>0</v>
      </c>
      <c r="O115" s="40">
        <v>0</v>
      </c>
      <c r="Q115" s="40">
        <v>0</v>
      </c>
      <c r="R115" s="35"/>
      <c r="T115" t="s">
        <v>1214</v>
      </c>
      <c r="U115" t="s">
        <v>126</v>
      </c>
      <c r="V115" t="s">
        <v>139</v>
      </c>
      <c r="W115">
        <v>10060</v>
      </c>
      <c r="X115" t="s">
        <v>772</v>
      </c>
      <c r="AA115" t="s">
        <v>140</v>
      </c>
      <c r="AB115" t="s">
        <v>141</v>
      </c>
      <c r="AC115">
        <v>11611</v>
      </c>
      <c r="AD115">
        <v>11612</v>
      </c>
      <c r="AF115">
        <v>1</v>
      </c>
    </row>
    <row r="116" spans="1:32">
      <c r="A116">
        <v>1</v>
      </c>
      <c r="F116">
        <v>72</v>
      </c>
      <c r="G116" t="s">
        <v>187</v>
      </c>
      <c r="H116" t="s">
        <v>1046</v>
      </c>
      <c r="I116" t="s">
        <v>1047</v>
      </c>
      <c r="J116" t="s">
        <v>1166</v>
      </c>
      <c r="K116" t="s">
        <v>1212</v>
      </c>
      <c r="M116" s="40">
        <v>0</v>
      </c>
      <c r="O116" s="40">
        <v>0</v>
      </c>
      <c r="Q116" s="40">
        <v>0</v>
      </c>
      <c r="R116" s="35"/>
      <c r="T116" t="s">
        <v>1214</v>
      </c>
      <c r="U116" t="s">
        <v>126</v>
      </c>
      <c r="V116" t="s">
        <v>139</v>
      </c>
      <c r="W116">
        <v>60</v>
      </c>
      <c r="X116" t="s">
        <v>772</v>
      </c>
      <c r="AA116" t="s">
        <v>140</v>
      </c>
      <c r="AB116" t="s">
        <v>141</v>
      </c>
      <c r="AC116">
        <v>11611</v>
      </c>
      <c r="AD116">
        <v>11612</v>
      </c>
      <c r="AF116">
        <v>1</v>
      </c>
    </row>
    <row r="117" spans="1:32">
      <c r="A117">
        <v>1</v>
      </c>
      <c r="B117">
        <v>101</v>
      </c>
      <c r="C117" t="s">
        <v>451</v>
      </c>
      <c r="D117" t="s">
        <v>628</v>
      </c>
      <c r="E117" t="s">
        <v>572</v>
      </c>
      <c r="F117">
        <v>48</v>
      </c>
      <c r="G117" t="s">
        <v>671</v>
      </c>
      <c r="H117" t="s">
        <v>1048</v>
      </c>
      <c r="I117" t="s">
        <v>1049</v>
      </c>
      <c r="J117" t="s">
        <v>866</v>
      </c>
      <c r="K117" t="s">
        <v>981</v>
      </c>
      <c r="L117" s="40">
        <v>10927.28828828829</v>
      </c>
      <c r="M117" s="40">
        <v>524510</v>
      </c>
      <c r="N117" s="40">
        <v>11802</v>
      </c>
      <c r="O117" s="40">
        <v>566486</v>
      </c>
      <c r="Q117" s="40">
        <v>0</v>
      </c>
      <c r="R117" s="35">
        <v>45848</v>
      </c>
      <c r="T117" t="s">
        <v>1214</v>
      </c>
      <c r="U117" t="s">
        <v>126</v>
      </c>
      <c r="V117" t="s">
        <v>139</v>
      </c>
      <c r="W117">
        <v>20180</v>
      </c>
      <c r="X117" t="s">
        <v>688</v>
      </c>
      <c r="Y117" t="s">
        <v>1060</v>
      </c>
      <c r="Z117" t="s">
        <v>377</v>
      </c>
      <c r="AA117" t="s">
        <v>140</v>
      </c>
      <c r="AB117" t="s">
        <v>141</v>
      </c>
      <c r="AC117">
        <v>11611</v>
      </c>
      <c r="AD117">
        <v>11612</v>
      </c>
      <c r="AE117">
        <v>101</v>
      </c>
      <c r="AF117">
        <v>1</v>
      </c>
    </row>
    <row r="118" spans="1:32">
      <c r="A118">
        <v>1</v>
      </c>
      <c r="B118">
        <v>102</v>
      </c>
      <c r="C118" t="s">
        <v>438</v>
      </c>
      <c r="D118" t="s">
        <v>628</v>
      </c>
      <c r="E118" t="s">
        <v>559</v>
      </c>
      <c r="F118">
        <v>48</v>
      </c>
      <c r="G118" t="s">
        <v>671</v>
      </c>
      <c r="H118" t="s">
        <v>1048</v>
      </c>
      <c r="I118" t="s">
        <v>1049</v>
      </c>
      <c r="J118" t="s">
        <v>867</v>
      </c>
      <c r="K118" t="s">
        <v>982</v>
      </c>
      <c r="L118" s="40">
        <v>10927.28828828829</v>
      </c>
      <c r="M118" s="40">
        <v>524510</v>
      </c>
      <c r="N118" s="40">
        <v>11802</v>
      </c>
      <c r="O118" s="40">
        <v>566486</v>
      </c>
      <c r="Q118" s="40">
        <v>0</v>
      </c>
      <c r="R118" s="35">
        <v>45848</v>
      </c>
      <c r="T118" t="s">
        <v>1214</v>
      </c>
      <c r="U118" t="s">
        <v>126</v>
      </c>
      <c r="V118" t="s">
        <v>139</v>
      </c>
      <c r="W118">
        <v>20180</v>
      </c>
      <c r="X118" t="s">
        <v>688</v>
      </c>
      <c r="Y118" t="s">
        <v>1060</v>
      </c>
      <c r="Z118" t="s">
        <v>377</v>
      </c>
      <c r="AA118" t="s">
        <v>140</v>
      </c>
      <c r="AB118" t="s">
        <v>141</v>
      </c>
      <c r="AC118">
        <v>11611</v>
      </c>
      <c r="AD118">
        <v>11612</v>
      </c>
      <c r="AE118">
        <v>101</v>
      </c>
      <c r="AF118">
        <v>1</v>
      </c>
    </row>
    <row r="119" spans="1:32">
      <c r="A119">
        <v>1</v>
      </c>
      <c r="B119">
        <v>103</v>
      </c>
      <c r="C119" t="s">
        <v>442</v>
      </c>
      <c r="D119" t="s">
        <v>628</v>
      </c>
      <c r="E119" t="s">
        <v>563</v>
      </c>
      <c r="F119">
        <v>48</v>
      </c>
      <c r="G119" t="s">
        <v>671</v>
      </c>
      <c r="H119" t="s">
        <v>1048</v>
      </c>
      <c r="I119" t="s">
        <v>1049</v>
      </c>
      <c r="J119" t="s">
        <v>868</v>
      </c>
      <c r="K119" t="s">
        <v>983</v>
      </c>
      <c r="L119" s="40">
        <v>10927.28828828829</v>
      </c>
      <c r="M119" s="40">
        <v>524510</v>
      </c>
      <c r="N119" s="40">
        <v>11802</v>
      </c>
      <c r="O119" s="40">
        <v>566486</v>
      </c>
      <c r="Q119" s="40">
        <v>0</v>
      </c>
      <c r="R119" s="35">
        <v>45848</v>
      </c>
      <c r="T119" t="s">
        <v>1214</v>
      </c>
      <c r="U119" t="s">
        <v>126</v>
      </c>
      <c r="V119" t="s">
        <v>139</v>
      </c>
      <c r="W119">
        <v>20180</v>
      </c>
      <c r="X119" t="s">
        <v>688</v>
      </c>
      <c r="Y119" t="s">
        <v>1060</v>
      </c>
      <c r="Z119" t="s">
        <v>377</v>
      </c>
      <c r="AA119" t="s">
        <v>140</v>
      </c>
      <c r="AB119" t="s">
        <v>141</v>
      </c>
      <c r="AC119">
        <v>11611</v>
      </c>
      <c r="AD119">
        <v>11612</v>
      </c>
      <c r="AE119">
        <v>101</v>
      </c>
      <c r="AF119">
        <v>1</v>
      </c>
    </row>
    <row r="120" spans="1:32">
      <c r="A120">
        <v>1</v>
      </c>
      <c r="B120">
        <v>104</v>
      </c>
      <c r="C120" t="s">
        <v>447</v>
      </c>
      <c r="D120" t="s">
        <v>628</v>
      </c>
      <c r="E120" t="s">
        <v>568</v>
      </c>
      <c r="F120">
        <v>48</v>
      </c>
      <c r="G120" t="s">
        <v>671</v>
      </c>
      <c r="H120" t="s">
        <v>1048</v>
      </c>
      <c r="I120" t="s">
        <v>1049</v>
      </c>
      <c r="J120" t="s">
        <v>869</v>
      </c>
      <c r="K120" t="s">
        <v>984</v>
      </c>
      <c r="L120" s="40">
        <v>10927.28828828829</v>
      </c>
      <c r="M120" s="40">
        <v>524510</v>
      </c>
      <c r="N120" s="40">
        <v>11802</v>
      </c>
      <c r="O120" s="40">
        <v>566486</v>
      </c>
      <c r="Q120" s="40">
        <v>0</v>
      </c>
      <c r="R120" s="35">
        <v>45848</v>
      </c>
      <c r="T120" t="s">
        <v>1214</v>
      </c>
      <c r="U120" t="s">
        <v>126</v>
      </c>
      <c r="V120" t="s">
        <v>139</v>
      </c>
      <c r="W120">
        <v>20180</v>
      </c>
      <c r="X120" t="s">
        <v>688</v>
      </c>
      <c r="Y120" t="s">
        <v>1060</v>
      </c>
      <c r="Z120" t="s">
        <v>377</v>
      </c>
      <c r="AA120" t="s">
        <v>140</v>
      </c>
      <c r="AB120" t="s">
        <v>141</v>
      </c>
      <c r="AC120">
        <v>11611</v>
      </c>
      <c r="AD120">
        <v>11612</v>
      </c>
      <c r="AE120">
        <v>101</v>
      </c>
      <c r="AF120">
        <v>1</v>
      </c>
    </row>
    <row r="121" spans="1:32">
      <c r="A121">
        <v>1</v>
      </c>
      <c r="B121">
        <v>105</v>
      </c>
      <c r="C121" t="s">
        <v>432</v>
      </c>
      <c r="D121" t="s">
        <v>628</v>
      </c>
      <c r="E121" t="s">
        <v>553</v>
      </c>
      <c r="F121">
        <v>48</v>
      </c>
      <c r="G121" t="s">
        <v>671</v>
      </c>
      <c r="H121" t="s">
        <v>1048</v>
      </c>
      <c r="I121" t="s">
        <v>1049</v>
      </c>
      <c r="J121" t="s">
        <v>870</v>
      </c>
      <c r="K121" t="s">
        <v>985</v>
      </c>
      <c r="L121" s="40">
        <v>10927.28828828829</v>
      </c>
      <c r="M121" s="40">
        <v>524510</v>
      </c>
      <c r="N121" s="40">
        <v>11802</v>
      </c>
      <c r="O121" s="40">
        <v>566486</v>
      </c>
      <c r="Q121" s="40">
        <v>0</v>
      </c>
      <c r="R121" s="35">
        <v>45848</v>
      </c>
      <c r="T121" t="s">
        <v>1214</v>
      </c>
      <c r="U121" t="s">
        <v>126</v>
      </c>
      <c r="V121" t="s">
        <v>139</v>
      </c>
      <c r="W121">
        <v>20180</v>
      </c>
      <c r="X121" t="s">
        <v>688</v>
      </c>
      <c r="Y121" t="s">
        <v>1060</v>
      </c>
      <c r="Z121" t="s">
        <v>377</v>
      </c>
      <c r="AA121" t="s">
        <v>140</v>
      </c>
      <c r="AB121" t="s">
        <v>141</v>
      </c>
      <c r="AC121">
        <v>11611</v>
      </c>
      <c r="AD121">
        <v>11612</v>
      </c>
      <c r="AE121">
        <v>101</v>
      </c>
      <c r="AF121">
        <v>1</v>
      </c>
    </row>
    <row r="122" spans="1:32">
      <c r="A122">
        <v>1</v>
      </c>
      <c r="B122">
        <v>106</v>
      </c>
      <c r="C122" t="s">
        <v>433</v>
      </c>
      <c r="D122" t="s">
        <v>628</v>
      </c>
      <c r="E122" t="s">
        <v>554</v>
      </c>
      <c r="F122">
        <v>48</v>
      </c>
      <c r="G122" t="s">
        <v>705</v>
      </c>
      <c r="H122" t="s">
        <v>1048</v>
      </c>
      <c r="I122" t="s">
        <v>1049</v>
      </c>
      <c r="J122" t="s">
        <v>1167</v>
      </c>
      <c r="K122" t="s">
        <v>1187</v>
      </c>
      <c r="L122" s="40">
        <v>16682.882882882881</v>
      </c>
      <c r="M122" s="40">
        <v>800778</v>
      </c>
      <c r="N122" s="40">
        <v>18018</v>
      </c>
      <c r="O122" s="40">
        <v>864865</v>
      </c>
      <c r="Q122" s="40">
        <v>0</v>
      </c>
      <c r="R122" s="35">
        <v>45848</v>
      </c>
      <c r="T122" t="s">
        <v>1214</v>
      </c>
      <c r="U122" t="s">
        <v>126</v>
      </c>
      <c r="V122" t="s">
        <v>139</v>
      </c>
      <c r="W122">
        <v>20225</v>
      </c>
      <c r="X122" t="s">
        <v>697</v>
      </c>
      <c r="Y122" t="s">
        <v>1060</v>
      </c>
      <c r="Z122" t="s">
        <v>377</v>
      </c>
      <c r="AA122" t="s">
        <v>140</v>
      </c>
      <c r="AB122" t="s">
        <v>141</v>
      </c>
      <c r="AC122">
        <v>11611</v>
      </c>
      <c r="AD122">
        <v>11612</v>
      </c>
      <c r="AE122">
        <v>101</v>
      </c>
      <c r="AF122">
        <v>1</v>
      </c>
    </row>
    <row r="123" spans="1:32">
      <c r="A123">
        <v>1</v>
      </c>
      <c r="B123">
        <v>107</v>
      </c>
      <c r="C123" t="s">
        <v>434</v>
      </c>
      <c r="D123" t="s">
        <v>628</v>
      </c>
      <c r="E123" t="s">
        <v>555</v>
      </c>
      <c r="F123">
        <v>24</v>
      </c>
      <c r="G123" t="s">
        <v>730</v>
      </c>
      <c r="H123" t="s">
        <v>1048</v>
      </c>
      <c r="I123" t="s">
        <v>1049</v>
      </c>
      <c r="J123" t="s">
        <v>871</v>
      </c>
      <c r="K123" t="s">
        <v>986</v>
      </c>
      <c r="L123">
        <v>31697.477477477474</v>
      </c>
      <c r="M123">
        <v>760739</v>
      </c>
      <c r="N123">
        <v>34234</v>
      </c>
      <c r="O123">
        <v>821622</v>
      </c>
      <c r="P123"/>
      <c r="Q123">
        <v>0</v>
      </c>
      <c r="R123" s="35">
        <v>45848</v>
      </c>
      <c r="T123" t="s">
        <v>1214</v>
      </c>
      <c r="U123" t="s">
        <v>126</v>
      </c>
      <c r="V123" t="s">
        <v>139</v>
      </c>
      <c r="W123">
        <v>20480</v>
      </c>
      <c r="X123" t="s">
        <v>673</v>
      </c>
      <c r="Y123" t="s">
        <v>1060</v>
      </c>
      <c r="Z123" t="s">
        <v>377</v>
      </c>
      <c r="AA123" t="s">
        <v>140</v>
      </c>
      <c r="AB123" t="s">
        <v>141</v>
      </c>
      <c r="AC123">
        <v>11611</v>
      </c>
      <c r="AD123">
        <v>11612</v>
      </c>
      <c r="AE123">
        <v>101</v>
      </c>
      <c r="AF123">
        <v>1</v>
      </c>
    </row>
    <row r="124" spans="1:32">
      <c r="A124">
        <v>1</v>
      </c>
      <c r="B124">
        <v>108</v>
      </c>
      <c r="C124" t="s">
        <v>452</v>
      </c>
      <c r="D124" t="s">
        <v>628</v>
      </c>
      <c r="E124" t="s">
        <v>573</v>
      </c>
      <c r="F124">
        <v>48</v>
      </c>
      <c r="G124" t="s">
        <v>705</v>
      </c>
      <c r="H124" t="s">
        <v>1048</v>
      </c>
      <c r="I124" t="s">
        <v>1049</v>
      </c>
      <c r="J124" t="s">
        <v>1168</v>
      </c>
      <c r="K124" t="s">
        <v>1188</v>
      </c>
      <c r="L124">
        <v>16682.882882882881</v>
      </c>
      <c r="M124">
        <v>800778</v>
      </c>
      <c r="N124">
        <v>18018</v>
      </c>
      <c r="O124">
        <v>864865</v>
      </c>
      <c r="P124"/>
      <c r="Q124">
        <v>0</v>
      </c>
      <c r="R124" s="35">
        <v>45848</v>
      </c>
      <c r="T124" t="s">
        <v>1214</v>
      </c>
      <c r="U124" t="s">
        <v>126</v>
      </c>
      <c r="V124" t="s">
        <v>139</v>
      </c>
      <c r="W124">
        <v>20225</v>
      </c>
      <c r="X124" t="s">
        <v>697</v>
      </c>
      <c r="Y124" t="s">
        <v>1060</v>
      </c>
      <c r="Z124" t="s">
        <v>377</v>
      </c>
      <c r="AA124" t="s">
        <v>140</v>
      </c>
      <c r="AB124" t="s">
        <v>141</v>
      </c>
      <c r="AC124">
        <v>11611</v>
      </c>
      <c r="AD124">
        <v>11612</v>
      </c>
      <c r="AE124">
        <v>101</v>
      </c>
      <c r="AF124">
        <v>1</v>
      </c>
    </row>
    <row r="125" spans="1:32">
      <c r="A125">
        <v>1</v>
      </c>
      <c r="B125">
        <v>109</v>
      </c>
      <c r="C125" t="s">
        <v>453</v>
      </c>
      <c r="D125" t="s">
        <v>628</v>
      </c>
      <c r="E125" t="s">
        <v>574</v>
      </c>
      <c r="F125">
        <v>24</v>
      </c>
      <c r="G125" t="s">
        <v>730</v>
      </c>
      <c r="H125" t="s">
        <v>1048</v>
      </c>
      <c r="I125" t="s">
        <v>1049</v>
      </c>
      <c r="J125" t="s">
        <v>872</v>
      </c>
      <c r="K125" t="s">
        <v>987</v>
      </c>
      <c r="L125">
        <v>31697.477477477474</v>
      </c>
      <c r="M125">
        <v>760739</v>
      </c>
      <c r="N125">
        <v>34234</v>
      </c>
      <c r="O125">
        <v>821622</v>
      </c>
      <c r="P125"/>
      <c r="Q125">
        <v>0</v>
      </c>
      <c r="R125" s="35">
        <v>45848</v>
      </c>
      <c r="T125" t="s">
        <v>1214</v>
      </c>
      <c r="U125" t="s">
        <v>126</v>
      </c>
      <c r="V125" t="s">
        <v>139</v>
      </c>
      <c r="W125">
        <v>20480</v>
      </c>
      <c r="X125" t="s">
        <v>673</v>
      </c>
      <c r="Y125" t="s">
        <v>1060</v>
      </c>
      <c r="Z125" t="s">
        <v>377</v>
      </c>
      <c r="AA125" t="s">
        <v>140</v>
      </c>
      <c r="AB125" t="s">
        <v>141</v>
      </c>
      <c r="AC125">
        <v>11611</v>
      </c>
      <c r="AD125">
        <v>11612</v>
      </c>
      <c r="AE125">
        <v>101</v>
      </c>
      <c r="AF125">
        <v>1</v>
      </c>
    </row>
    <row r="126" spans="1:32">
      <c r="A126">
        <v>1</v>
      </c>
      <c r="B126">
        <v>110</v>
      </c>
      <c r="C126" t="s">
        <v>439</v>
      </c>
      <c r="D126" t="s">
        <v>628</v>
      </c>
      <c r="E126" t="s">
        <v>560</v>
      </c>
      <c r="F126">
        <v>48</v>
      </c>
      <c r="G126" t="s">
        <v>705</v>
      </c>
      <c r="H126" t="s">
        <v>1048</v>
      </c>
      <c r="I126" t="s">
        <v>1049</v>
      </c>
      <c r="J126" t="s">
        <v>873</v>
      </c>
      <c r="K126" t="s">
        <v>988</v>
      </c>
      <c r="L126">
        <v>16682.882882882881</v>
      </c>
      <c r="M126">
        <v>800778</v>
      </c>
      <c r="N126">
        <v>18018</v>
      </c>
      <c r="O126">
        <v>864865</v>
      </c>
      <c r="P126"/>
      <c r="Q126">
        <v>0</v>
      </c>
      <c r="R126" s="35">
        <v>45848</v>
      </c>
      <c r="T126" t="s">
        <v>1214</v>
      </c>
      <c r="U126" t="s">
        <v>126</v>
      </c>
      <c r="V126" t="s">
        <v>139</v>
      </c>
      <c r="W126">
        <v>20225</v>
      </c>
      <c r="X126" t="s">
        <v>697</v>
      </c>
      <c r="Y126" t="s">
        <v>1060</v>
      </c>
      <c r="Z126" t="s">
        <v>377</v>
      </c>
      <c r="AA126" t="s">
        <v>140</v>
      </c>
      <c r="AB126" t="s">
        <v>141</v>
      </c>
      <c r="AC126">
        <v>11611</v>
      </c>
      <c r="AD126">
        <v>11612</v>
      </c>
      <c r="AE126">
        <v>101</v>
      </c>
      <c r="AF126">
        <v>1</v>
      </c>
    </row>
    <row r="127" spans="1:32">
      <c r="A127">
        <v>1</v>
      </c>
      <c r="B127">
        <v>111</v>
      </c>
      <c r="C127" t="s">
        <v>440</v>
      </c>
      <c r="D127" t="s">
        <v>628</v>
      </c>
      <c r="E127" t="s">
        <v>561</v>
      </c>
      <c r="F127">
        <v>24</v>
      </c>
      <c r="G127" t="s">
        <v>705</v>
      </c>
      <c r="H127" t="s">
        <v>1048</v>
      </c>
      <c r="I127" t="s">
        <v>1049</v>
      </c>
      <c r="J127" t="s">
        <v>874</v>
      </c>
      <c r="K127" t="s">
        <v>989</v>
      </c>
      <c r="L127">
        <v>31697.477477477474</v>
      </c>
      <c r="M127">
        <v>760739</v>
      </c>
      <c r="N127">
        <v>34234</v>
      </c>
      <c r="O127">
        <v>821622</v>
      </c>
      <c r="P127"/>
      <c r="Q127">
        <v>0</v>
      </c>
      <c r="R127" s="35">
        <v>45848</v>
      </c>
      <c r="T127" t="s">
        <v>1214</v>
      </c>
      <c r="U127" t="s">
        <v>126</v>
      </c>
      <c r="V127" t="s">
        <v>139</v>
      </c>
      <c r="W127">
        <v>20480</v>
      </c>
      <c r="X127" t="s">
        <v>673</v>
      </c>
      <c r="Y127" t="s">
        <v>1060</v>
      </c>
      <c r="Z127" t="s">
        <v>377</v>
      </c>
      <c r="AA127" t="s">
        <v>140</v>
      </c>
      <c r="AB127" t="s">
        <v>141</v>
      </c>
      <c r="AC127">
        <v>11611</v>
      </c>
      <c r="AD127">
        <v>11612</v>
      </c>
      <c r="AE127">
        <v>101</v>
      </c>
      <c r="AF127">
        <v>1</v>
      </c>
    </row>
    <row r="128" spans="1:32">
      <c r="A128">
        <v>1</v>
      </c>
      <c r="B128">
        <v>112</v>
      </c>
      <c r="C128" t="s">
        <v>429</v>
      </c>
      <c r="D128" t="s">
        <v>628</v>
      </c>
      <c r="E128" t="s">
        <v>550</v>
      </c>
      <c r="F128">
        <v>48</v>
      </c>
      <c r="G128" t="s">
        <v>705</v>
      </c>
      <c r="H128" t="s">
        <v>1048</v>
      </c>
      <c r="I128" t="s">
        <v>1049</v>
      </c>
      <c r="J128" t="s">
        <v>875</v>
      </c>
      <c r="K128" t="s">
        <v>990</v>
      </c>
      <c r="L128">
        <v>16682.882882882881</v>
      </c>
      <c r="M128">
        <v>800778</v>
      </c>
      <c r="N128">
        <v>18018</v>
      </c>
      <c r="O128">
        <v>864865</v>
      </c>
      <c r="P128"/>
      <c r="Q128">
        <v>0</v>
      </c>
      <c r="R128" s="35">
        <v>45848</v>
      </c>
      <c r="T128" t="s">
        <v>1214</v>
      </c>
      <c r="U128" t="s">
        <v>126</v>
      </c>
      <c r="V128" t="s">
        <v>139</v>
      </c>
      <c r="W128">
        <v>20225</v>
      </c>
      <c r="X128" t="s">
        <v>697</v>
      </c>
      <c r="Y128" t="s">
        <v>1060</v>
      </c>
      <c r="Z128" t="s">
        <v>377</v>
      </c>
      <c r="AA128" t="s">
        <v>140</v>
      </c>
      <c r="AB128" t="s">
        <v>141</v>
      </c>
      <c r="AC128">
        <v>11611</v>
      </c>
      <c r="AD128">
        <v>11612</v>
      </c>
      <c r="AE128">
        <v>101</v>
      </c>
      <c r="AF128">
        <v>1</v>
      </c>
    </row>
    <row r="129" spans="1:32">
      <c r="A129">
        <v>1</v>
      </c>
      <c r="B129">
        <v>113</v>
      </c>
      <c r="C129" t="s">
        <v>430</v>
      </c>
      <c r="D129" t="s">
        <v>628</v>
      </c>
      <c r="E129" t="s">
        <v>551</v>
      </c>
      <c r="F129">
        <v>24</v>
      </c>
      <c r="G129" t="s">
        <v>731</v>
      </c>
      <c r="H129" t="s">
        <v>1048</v>
      </c>
      <c r="I129" t="s">
        <v>1049</v>
      </c>
      <c r="J129" t="s">
        <v>876</v>
      </c>
      <c r="K129" t="s">
        <v>991</v>
      </c>
      <c r="L129">
        <v>31697.477477477474</v>
      </c>
      <c r="M129">
        <v>760739</v>
      </c>
      <c r="N129">
        <v>34234</v>
      </c>
      <c r="O129">
        <v>821622</v>
      </c>
      <c r="P129"/>
      <c r="Q129">
        <v>0</v>
      </c>
      <c r="R129" s="35">
        <v>45848</v>
      </c>
      <c r="T129" t="s">
        <v>1214</v>
      </c>
      <c r="U129" t="s">
        <v>126</v>
      </c>
      <c r="V129" t="s">
        <v>139</v>
      </c>
      <c r="W129">
        <v>20480</v>
      </c>
      <c r="X129" t="s">
        <v>673</v>
      </c>
      <c r="Y129" t="s">
        <v>1060</v>
      </c>
      <c r="Z129" t="s">
        <v>377</v>
      </c>
      <c r="AA129" t="s">
        <v>140</v>
      </c>
      <c r="AB129" t="s">
        <v>141</v>
      </c>
      <c r="AC129">
        <v>11611</v>
      </c>
      <c r="AD129">
        <v>11612</v>
      </c>
      <c r="AE129">
        <v>101</v>
      </c>
      <c r="AF129">
        <v>1</v>
      </c>
    </row>
    <row r="130" spans="1:32">
      <c r="A130">
        <v>1</v>
      </c>
      <c r="B130">
        <v>114</v>
      </c>
      <c r="C130" t="s">
        <v>443</v>
      </c>
      <c r="D130" t="s">
        <v>628</v>
      </c>
      <c r="E130" t="s">
        <v>564</v>
      </c>
      <c r="F130">
        <v>48</v>
      </c>
      <c r="G130" t="s">
        <v>705</v>
      </c>
      <c r="H130" t="s">
        <v>1048</v>
      </c>
      <c r="I130" t="s">
        <v>1049</v>
      </c>
      <c r="J130" t="s">
        <v>1169</v>
      </c>
      <c r="K130" t="s">
        <v>1189</v>
      </c>
      <c r="L130">
        <v>16682.882882882881</v>
      </c>
      <c r="M130">
        <v>800778</v>
      </c>
      <c r="N130">
        <v>18018</v>
      </c>
      <c r="O130">
        <v>864865</v>
      </c>
      <c r="P130"/>
      <c r="Q130">
        <v>0</v>
      </c>
      <c r="R130" s="35">
        <v>45848</v>
      </c>
      <c r="T130" t="s">
        <v>1214</v>
      </c>
      <c r="U130" t="s">
        <v>126</v>
      </c>
      <c r="V130" t="s">
        <v>139</v>
      </c>
      <c r="W130">
        <v>20225</v>
      </c>
      <c r="X130" t="s">
        <v>697</v>
      </c>
      <c r="Y130" t="s">
        <v>1060</v>
      </c>
      <c r="Z130" t="s">
        <v>377</v>
      </c>
      <c r="AA130" t="s">
        <v>140</v>
      </c>
      <c r="AB130" t="s">
        <v>141</v>
      </c>
      <c r="AC130">
        <v>11611</v>
      </c>
      <c r="AD130">
        <v>11612</v>
      </c>
      <c r="AE130">
        <v>101</v>
      </c>
      <c r="AF130">
        <v>1</v>
      </c>
    </row>
    <row r="131" spans="1:32">
      <c r="A131">
        <v>1</v>
      </c>
      <c r="B131">
        <v>115</v>
      </c>
      <c r="C131" t="s">
        <v>444</v>
      </c>
      <c r="D131" t="s">
        <v>628</v>
      </c>
      <c r="E131" t="s">
        <v>565</v>
      </c>
      <c r="F131">
        <v>24</v>
      </c>
      <c r="G131" t="s">
        <v>730</v>
      </c>
      <c r="H131" t="s">
        <v>1048</v>
      </c>
      <c r="I131" t="s">
        <v>1049</v>
      </c>
      <c r="J131" t="s">
        <v>877</v>
      </c>
      <c r="K131" t="s">
        <v>992</v>
      </c>
      <c r="L131">
        <v>31697.477477477474</v>
      </c>
      <c r="M131">
        <v>760739</v>
      </c>
      <c r="N131">
        <v>34234</v>
      </c>
      <c r="O131">
        <v>821622</v>
      </c>
      <c r="P131"/>
      <c r="Q131">
        <v>0</v>
      </c>
      <c r="R131" s="35">
        <v>45848</v>
      </c>
      <c r="T131" t="s">
        <v>1214</v>
      </c>
      <c r="U131" t="s">
        <v>126</v>
      </c>
      <c r="V131" t="s">
        <v>139</v>
      </c>
      <c r="W131">
        <v>20480</v>
      </c>
      <c r="X131" t="s">
        <v>673</v>
      </c>
      <c r="Y131" t="s">
        <v>1060</v>
      </c>
      <c r="Z131" t="s">
        <v>377</v>
      </c>
      <c r="AA131" t="s">
        <v>140</v>
      </c>
      <c r="AB131" t="s">
        <v>141</v>
      </c>
      <c r="AC131">
        <v>11611</v>
      </c>
      <c r="AD131">
        <v>11612</v>
      </c>
      <c r="AE131">
        <v>101</v>
      </c>
      <c r="AF131">
        <v>1</v>
      </c>
    </row>
    <row r="132" spans="1:32">
      <c r="A132">
        <v>1</v>
      </c>
      <c r="B132">
        <v>116</v>
      </c>
      <c r="C132" t="s">
        <v>428</v>
      </c>
      <c r="D132" t="s">
        <v>628</v>
      </c>
      <c r="E132" t="s">
        <v>549</v>
      </c>
      <c r="F132">
        <v>48</v>
      </c>
      <c r="G132" t="s">
        <v>671</v>
      </c>
      <c r="H132" t="s">
        <v>1048</v>
      </c>
      <c r="I132" t="s">
        <v>1049</v>
      </c>
      <c r="J132" t="s">
        <v>878</v>
      </c>
      <c r="K132" t="s">
        <v>1063</v>
      </c>
      <c r="L132">
        <v>10927.28828828829</v>
      </c>
      <c r="M132">
        <v>524510</v>
      </c>
      <c r="N132">
        <v>11802</v>
      </c>
      <c r="O132">
        <v>566486</v>
      </c>
      <c r="P132"/>
      <c r="Q132">
        <v>0</v>
      </c>
      <c r="R132" s="35">
        <v>45848</v>
      </c>
      <c r="T132" t="s">
        <v>1214</v>
      </c>
      <c r="U132" t="s">
        <v>126</v>
      </c>
      <c r="V132" t="s">
        <v>139</v>
      </c>
      <c r="W132">
        <v>20180</v>
      </c>
      <c r="X132" t="s">
        <v>688</v>
      </c>
      <c r="Y132" t="s">
        <v>1060</v>
      </c>
      <c r="Z132" t="s">
        <v>377</v>
      </c>
      <c r="AA132" t="s">
        <v>140</v>
      </c>
      <c r="AB132" t="s">
        <v>141</v>
      </c>
      <c r="AC132">
        <v>11611</v>
      </c>
      <c r="AD132">
        <v>11612</v>
      </c>
      <c r="AE132">
        <v>101</v>
      </c>
      <c r="AF132">
        <v>1</v>
      </c>
    </row>
    <row r="133" spans="1:32">
      <c r="A133">
        <v>1</v>
      </c>
      <c r="B133">
        <v>117</v>
      </c>
      <c r="C133" t="s">
        <v>448</v>
      </c>
      <c r="D133" t="s">
        <v>628</v>
      </c>
      <c r="E133" t="s">
        <v>569</v>
      </c>
      <c r="F133">
        <v>48</v>
      </c>
      <c r="G133" t="s">
        <v>705</v>
      </c>
      <c r="H133" t="s">
        <v>1048</v>
      </c>
      <c r="I133" t="s">
        <v>1049</v>
      </c>
      <c r="J133" t="s">
        <v>1170</v>
      </c>
      <c r="K133" t="s">
        <v>1190</v>
      </c>
      <c r="L133">
        <v>16682.882882882881</v>
      </c>
      <c r="M133">
        <v>800778</v>
      </c>
      <c r="N133">
        <v>18018</v>
      </c>
      <c r="O133">
        <v>864865</v>
      </c>
      <c r="P133"/>
      <c r="Q133">
        <v>0</v>
      </c>
      <c r="R133" s="35">
        <v>45848</v>
      </c>
      <c r="T133" t="s">
        <v>1214</v>
      </c>
      <c r="U133" t="s">
        <v>126</v>
      </c>
      <c r="V133" t="s">
        <v>139</v>
      </c>
      <c r="W133">
        <v>20225</v>
      </c>
      <c r="X133" t="s">
        <v>697</v>
      </c>
      <c r="Y133" t="s">
        <v>1060</v>
      </c>
      <c r="Z133" t="s">
        <v>377</v>
      </c>
      <c r="AA133" t="s">
        <v>140</v>
      </c>
      <c r="AB133" t="s">
        <v>141</v>
      </c>
      <c r="AC133">
        <v>11611</v>
      </c>
      <c r="AD133">
        <v>11612</v>
      </c>
      <c r="AE133">
        <v>101</v>
      </c>
      <c r="AF133">
        <v>1</v>
      </c>
    </row>
    <row r="134" spans="1:32">
      <c r="A134">
        <v>1</v>
      </c>
      <c r="B134">
        <v>118</v>
      </c>
      <c r="C134" t="s">
        <v>449</v>
      </c>
      <c r="D134" t="s">
        <v>628</v>
      </c>
      <c r="E134" t="s">
        <v>570</v>
      </c>
      <c r="F134">
        <v>24</v>
      </c>
      <c r="G134" t="s">
        <v>730</v>
      </c>
      <c r="H134" t="s">
        <v>1048</v>
      </c>
      <c r="I134" t="s">
        <v>1049</v>
      </c>
      <c r="J134" t="s">
        <v>1062</v>
      </c>
      <c r="K134" t="s">
        <v>1064</v>
      </c>
      <c r="L134">
        <v>31697.477477477474</v>
      </c>
      <c r="M134">
        <v>760739</v>
      </c>
      <c r="N134">
        <v>34234</v>
      </c>
      <c r="O134">
        <v>821622</v>
      </c>
      <c r="P134"/>
      <c r="Q134">
        <v>0</v>
      </c>
      <c r="R134" s="35">
        <v>45848</v>
      </c>
      <c r="T134" t="s">
        <v>1214</v>
      </c>
      <c r="U134" t="s">
        <v>126</v>
      </c>
      <c r="V134" t="s">
        <v>139</v>
      </c>
      <c r="W134">
        <v>20480</v>
      </c>
      <c r="X134" t="s">
        <v>673</v>
      </c>
      <c r="Y134" t="s">
        <v>1060</v>
      </c>
      <c r="Z134" t="s">
        <v>377</v>
      </c>
      <c r="AA134" t="s">
        <v>140</v>
      </c>
      <c r="AB134" t="s">
        <v>141</v>
      </c>
      <c r="AC134">
        <v>11611</v>
      </c>
      <c r="AD134">
        <v>11612</v>
      </c>
      <c r="AE134">
        <v>101</v>
      </c>
      <c r="AF134">
        <v>1</v>
      </c>
    </row>
    <row r="135" spans="1:32">
      <c r="A135">
        <v>1</v>
      </c>
      <c r="B135">
        <v>119</v>
      </c>
      <c r="C135" t="s">
        <v>498</v>
      </c>
      <c r="D135" t="s">
        <v>628</v>
      </c>
      <c r="E135" t="s">
        <v>619</v>
      </c>
      <c r="F135">
        <v>48</v>
      </c>
      <c r="G135" t="s">
        <v>732</v>
      </c>
      <c r="H135" t="s">
        <v>1050</v>
      </c>
      <c r="I135" t="s">
        <v>1051</v>
      </c>
      <c r="J135" t="s">
        <v>879</v>
      </c>
      <c r="K135" t="s">
        <v>993</v>
      </c>
      <c r="L135">
        <v>28360.900900900899</v>
      </c>
      <c r="M135">
        <v>1361323</v>
      </c>
      <c r="N135">
        <v>30631</v>
      </c>
      <c r="O135">
        <v>1470270</v>
      </c>
      <c r="P135"/>
      <c r="Q135">
        <v>0</v>
      </c>
      <c r="R135" s="35">
        <v>45848</v>
      </c>
      <c r="T135" t="s">
        <v>1214</v>
      </c>
      <c r="U135" t="s">
        <v>126</v>
      </c>
      <c r="V135" t="s">
        <v>139</v>
      </c>
      <c r="W135">
        <v>20020</v>
      </c>
      <c r="X135" t="s">
        <v>717</v>
      </c>
      <c r="Y135" t="s">
        <v>1060</v>
      </c>
      <c r="Z135" t="s">
        <v>377</v>
      </c>
      <c r="AA135" t="s">
        <v>140</v>
      </c>
      <c r="AB135" t="s">
        <v>141</v>
      </c>
      <c r="AC135">
        <v>11611</v>
      </c>
      <c r="AD135">
        <v>11612</v>
      </c>
      <c r="AE135">
        <v>101</v>
      </c>
      <c r="AF135">
        <v>1</v>
      </c>
    </row>
    <row r="136" spans="1:32">
      <c r="A136">
        <v>1</v>
      </c>
      <c r="B136">
        <v>120</v>
      </c>
      <c r="C136" t="s">
        <v>499</v>
      </c>
      <c r="D136" t="s">
        <v>628</v>
      </c>
      <c r="E136" t="s">
        <v>620</v>
      </c>
      <c r="F136">
        <v>48</v>
      </c>
      <c r="G136" t="s">
        <v>733</v>
      </c>
      <c r="H136" t="s">
        <v>1050</v>
      </c>
      <c r="I136" t="s">
        <v>1051</v>
      </c>
      <c r="J136" t="s">
        <v>880</v>
      </c>
      <c r="K136" t="s">
        <v>994</v>
      </c>
      <c r="L136">
        <v>37536.486486486487</v>
      </c>
      <c r="M136">
        <v>1801751</v>
      </c>
      <c r="N136">
        <v>40541</v>
      </c>
      <c r="O136">
        <v>1945946</v>
      </c>
      <c r="P136"/>
      <c r="Q136">
        <v>0</v>
      </c>
      <c r="R136" s="35">
        <v>45848</v>
      </c>
      <c r="T136" t="s">
        <v>1214</v>
      </c>
      <c r="U136" t="s">
        <v>126</v>
      </c>
      <c r="V136" t="s">
        <v>139</v>
      </c>
      <c r="W136">
        <v>10030</v>
      </c>
      <c r="X136" t="s">
        <v>768</v>
      </c>
      <c r="Y136" t="s">
        <v>1060</v>
      </c>
      <c r="Z136" t="s">
        <v>377</v>
      </c>
      <c r="AA136" t="s">
        <v>140</v>
      </c>
      <c r="AB136" t="s">
        <v>141</v>
      </c>
      <c r="AC136">
        <v>11611</v>
      </c>
      <c r="AD136">
        <v>11612</v>
      </c>
      <c r="AE136">
        <v>101</v>
      </c>
      <c r="AF136">
        <v>1</v>
      </c>
    </row>
    <row r="137" spans="1:32">
      <c r="A137">
        <v>1</v>
      </c>
      <c r="B137">
        <v>169</v>
      </c>
      <c r="C137">
        <v>101701008</v>
      </c>
      <c r="D137" t="s">
        <v>628</v>
      </c>
      <c r="E137" t="s">
        <v>1333</v>
      </c>
      <c r="F137">
        <v>96</v>
      </c>
      <c r="G137" t="s">
        <v>733</v>
      </c>
      <c r="H137" t="s">
        <v>1050</v>
      </c>
      <c r="I137" t="s">
        <v>1051</v>
      </c>
      <c r="J137" t="s">
        <v>1336</v>
      </c>
      <c r="K137" t="s">
        <v>1338</v>
      </c>
      <c r="L137"/>
      <c r="M137">
        <v>0</v>
      </c>
      <c r="N137"/>
      <c r="O137">
        <v>0</v>
      </c>
      <c r="P137"/>
      <c r="Q137">
        <v>0</v>
      </c>
      <c r="R137" s="35"/>
      <c r="T137" t="s">
        <v>1214</v>
      </c>
      <c r="U137" t="s">
        <v>126</v>
      </c>
      <c r="V137" t="s">
        <v>139</v>
      </c>
      <c r="W137">
        <v>10015</v>
      </c>
      <c r="X137" t="s">
        <v>1334</v>
      </c>
      <c r="AA137" t="s">
        <v>140</v>
      </c>
      <c r="AB137" t="s">
        <v>141</v>
      </c>
      <c r="AC137">
        <v>11611</v>
      </c>
      <c r="AD137">
        <v>11612</v>
      </c>
      <c r="AF137">
        <v>1</v>
      </c>
    </row>
    <row r="138" spans="1:32">
      <c r="A138">
        <v>1</v>
      </c>
      <c r="B138">
        <v>121</v>
      </c>
      <c r="C138" t="s">
        <v>500</v>
      </c>
      <c r="D138" t="s">
        <v>628</v>
      </c>
      <c r="E138" t="s">
        <v>621</v>
      </c>
      <c r="F138">
        <v>48</v>
      </c>
      <c r="G138" t="s">
        <v>732</v>
      </c>
      <c r="H138" t="s">
        <v>1052</v>
      </c>
      <c r="I138" t="s">
        <v>1053</v>
      </c>
      <c r="J138" t="s">
        <v>881</v>
      </c>
      <c r="K138" t="s">
        <v>995</v>
      </c>
      <c r="L138">
        <v>24398.716216216217</v>
      </c>
      <c r="M138">
        <v>1171138</v>
      </c>
      <c r="N138">
        <v>26351</v>
      </c>
      <c r="O138">
        <v>1264865</v>
      </c>
      <c r="P138"/>
      <c r="Q138">
        <v>0</v>
      </c>
      <c r="R138" s="35">
        <v>45848</v>
      </c>
      <c r="T138" t="s">
        <v>1214</v>
      </c>
      <c r="U138" t="s">
        <v>126</v>
      </c>
      <c r="V138" t="s">
        <v>139</v>
      </c>
      <c r="W138">
        <v>20030</v>
      </c>
      <c r="X138" t="s">
        <v>718</v>
      </c>
      <c r="Y138" t="s">
        <v>1060</v>
      </c>
      <c r="Z138" t="s">
        <v>377</v>
      </c>
      <c r="AA138" t="s">
        <v>140</v>
      </c>
      <c r="AB138" t="s">
        <v>141</v>
      </c>
      <c r="AC138">
        <v>11611</v>
      </c>
      <c r="AD138">
        <v>11612</v>
      </c>
      <c r="AE138">
        <v>101</v>
      </c>
      <c r="AF138">
        <v>1</v>
      </c>
    </row>
    <row r="139" spans="1:32">
      <c r="A139">
        <v>1</v>
      </c>
      <c r="B139">
        <v>166</v>
      </c>
      <c r="C139">
        <v>131702001</v>
      </c>
      <c r="D139" t="s">
        <v>628</v>
      </c>
      <c r="E139" t="s">
        <v>1266</v>
      </c>
      <c r="F139">
        <v>120</v>
      </c>
      <c r="G139" t="s">
        <v>732</v>
      </c>
      <c r="H139" t="s">
        <v>1271</v>
      </c>
      <c r="I139" t="s">
        <v>1327</v>
      </c>
      <c r="J139" t="s">
        <v>1305</v>
      </c>
      <c r="K139" t="s">
        <v>1328</v>
      </c>
      <c r="L139">
        <v>11260.945945945945</v>
      </c>
      <c r="M139">
        <v>1351314</v>
      </c>
      <c r="N139">
        <v>12162</v>
      </c>
      <c r="O139">
        <v>1459459</v>
      </c>
      <c r="P139"/>
      <c r="Q139">
        <v>0</v>
      </c>
      <c r="R139" s="35"/>
      <c r="T139" t="s">
        <v>1214</v>
      </c>
      <c r="U139" t="s">
        <v>126</v>
      </c>
      <c r="V139" t="s">
        <v>139</v>
      </c>
      <c r="W139">
        <v>10010</v>
      </c>
      <c r="X139" t="s">
        <v>1272</v>
      </c>
      <c r="AA139" t="s">
        <v>140</v>
      </c>
      <c r="AB139" t="s">
        <v>141</v>
      </c>
      <c r="AC139">
        <v>11611</v>
      </c>
      <c r="AD139">
        <v>11612</v>
      </c>
      <c r="AF139">
        <v>1</v>
      </c>
    </row>
    <row r="140" spans="1:32">
      <c r="A140">
        <v>1</v>
      </c>
      <c r="B140">
        <v>167</v>
      </c>
      <c r="C140">
        <v>131703001</v>
      </c>
      <c r="D140" t="s">
        <v>628</v>
      </c>
      <c r="E140" t="s">
        <v>1267</v>
      </c>
      <c r="F140">
        <v>120</v>
      </c>
      <c r="G140" t="s">
        <v>732</v>
      </c>
      <c r="H140" t="s">
        <v>1271</v>
      </c>
      <c r="I140" t="s">
        <v>1327</v>
      </c>
      <c r="J140" t="s">
        <v>1306</v>
      </c>
      <c r="K140" t="s">
        <v>1329</v>
      </c>
      <c r="L140">
        <v>11260.945945945945</v>
      </c>
      <c r="M140">
        <v>1351314</v>
      </c>
      <c r="N140">
        <v>12162</v>
      </c>
      <c r="O140">
        <v>1459459</v>
      </c>
      <c r="P140"/>
      <c r="Q140">
        <v>0</v>
      </c>
      <c r="R140" s="35"/>
      <c r="T140" t="s">
        <v>1214</v>
      </c>
      <c r="U140" t="s">
        <v>126</v>
      </c>
      <c r="V140" t="s">
        <v>139</v>
      </c>
      <c r="W140">
        <v>10010</v>
      </c>
      <c r="X140" t="s">
        <v>1272</v>
      </c>
      <c r="AA140" t="s">
        <v>140</v>
      </c>
      <c r="AB140" t="s">
        <v>141</v>
      </c>
      <c r="AC140">
        <v>11611</v>
      </c>
      <c r="AD140">
        <v>11612</v>
      </c>
      <c r="AF140">
        <v>1</v>
      </c>
    </row>
    <row r="141" spans="1:32">
      <c r="A141">
        <v>1</v>
      </c>
      <c r="B141">
        <v>122</v>
      </c>
      <c r="C141" t="s">
        <v>463</v>
      </c>
      <c r="D141" t="s">
        <v>629</v>
      </c>
      <c r="E141" t="s">
        <v>584</v>
      </c>
      <c r="F141">
        <v>24</v>
      </c>
      <c r="G141" t="s">
        <v>671</v>
      </c>
      <c r="H141" t="s">
        <v>1054</v>
      </c>
      <c r="I141" t="s">
        <v>1055</v>
      </c>
      <c r="J141" t="s">
        <v>882</v>
      </c>
      <c r="K141" t="s">
        <v>996</v>
      </c>
      <c r="L141">
        <v>18351.171171171172</v>
      </c>
      <c r="M141">
        <v>440428</v>
      </c>
      <c r="N141">
        <v>19820</v>
      </c>
      <c r="O141">
        <v>475676</v>
      </c>
      <c r="P141"/>
      <c r="Q141">
        <v>0</v>
      </c>
      <c r="R141" s="35">
        <v>45848</v>
      </c>
      <c r="T141" t="s">
        <v>1214</v>
      </c>
      <c r="U141" t="s">
        <v>126</v>
      </c>
      <c r="V141" t="s">
        <v>139</v>
      </c>
      <c r="W141">
        <v>20400</v>
      </c>
      <c r="X141" t="s">
        <v>670</v>
      </c>
      <c r="Y141" t="s">
        <v>1060</v>
      </c>
      <c r="Z141" t="s">
        <v>377</v>
      </c>
      <c r="AA141" t="s">
        <v>140</v>
      </c>
      <c r="AB141" t="s">
        <v>141</v>
      </c>
      <c r="AC141">
        <v>11611</v>
      </c>
      <c r="AD141">
        <v>11612</v>
      </c>
      <c r="AE141">
        <v>101</v>
      </c>
      <c r="AF141">
        <v>1</v>
      </c>
    </row>
    <row r="142" spans="1:32">
      <c r="A142">
        <v>1</v>
      </c>
      <c r="B142">
        <v>123</v>
      </c>
      <c r="C142" t="s">
        <v>467</v>
      </c>
      <c r="D142" t="s">
        <v>629</v>
      </c>
      <c r="E142" t="s">
        <v>588</v>
      </c>
      <c r="F142">
        <v>24</v>
      </c>
      <c r="G142" t="s">
        <v>671</v>
      </c>
      <c r="H142" t="s">
        <v>1054</v>
      </c>
      <c r="I142" t="s">
        <v>1055</v>
      </c>
      <c r="J142" t="s">
        <v>883</v>
      </c>
      <c r="K142" t="s">
        <v>997</v>
      </c>
      <c r="L142">
        <v>18351.171171171172</v>
      </c>
      <c r="M142">
        <v>440428</v>
      </c>
      <c r="N142">
        <v>19820</v>
      </c>
      <c r="O142">
        <v>475676</v>
      </c>
      <c r="P142"/>
      <c r="Q142">
        <v>0</v>
      </c>
      <c r="R142" s="35">
        <v>45848</v>
      </c>
      <c r="T142" t="s">
        <v>1214</v>
      </c>
      <c r="U142" t="s">
        <v>126</v>
      </c>
      <c r="V142" t="s">
        <v>139</v>
      </c>
      <c r="W142">
        <v>20400</v>
      </c>
      <c r="X142" t="s">
        <v>670</v>
      </c>
      <c r="Y142" t="s">
        <v>1060</v>
      </c>
      <c r="Z142" t="s">
        <v>377</v>
      </c>
      <c r="AA142" t="s">
        <v>140</v>
      </c>
      <c r="AB142" t="s">
        <v>141</v>
      </c>
      <c r="AC142">
        <v>11611</v>
      </c>
      <c r="AD142">
        <v>11612</v>
      </c>
      <c r="AE142">
        <v>101</v>
      </c>
      <c r="AF142">
        <v>1</v>
      </c>
    </row>
    <row r="143" spans="1:32">
      <c r="A143">
        <v>1</v>
      </c>
      <c r="B143">
        <v>162</v>
      </c>
      <c r="C143" t="s">
        <v>1224</v>
      </c>
      <c r="D143" t="s">
        <v>629</v>
      </c>
      <c r="E143" t="s">
        <v>1223</v>
      </c>
      <c r="F143">
        <v>12</v>
      </c>
      <c r="G143" t="s">
        <v>671</v>
      </c>
      <c r="H143" t="s">
        <v>1054</v>
      </c>
      <c r="I143" t="s">
        <v>1055</v>
      </c>
      <c r="J143" t="s">
        <v>1246</v>
      </c>
      <c r="K143" t="s">
        <v>1255</v>
      </c>
      <c r="L143"/>
      <c r="M143">
        <v>0</v>
      </c>
      <c r="N143"/>
      <c r="O143">
        <v>0</v>
      </c>
      <c r="P143"/>
      <c r="Q143">
        <v>0</v>
      </c>
      <c r="R143" s="35"/>
      <c r="T143" t="s">
        <v>1214</v>
      </c>
      <c r="U143" t="s">
        <v>126</v>
      </c>
      <c r="V143" t="s">
        <v>139</v>
      </c>
      <c r="W143">
        <v>800</v>
      </c>
      <c r="X143" t="s">
        <v>1221</v>
      </c>
      <c r="AA143" t="s">
        <v>140</v>
      </c>
      <c r="AB143" t="s">
        <v>141</v>
      </c>
      <c r="AC143">
        <v>11611</v>
      </c>
      <c r="AD143">
        <v>11612</v>
      </c>
      <c r="AF143">
        <v>1</v>
      </c>
    </row>
    <row r="144" spans="1:32">
      <c r="A144">
        <v>1</v>
      </c>
      <c r="B144">
        <v>124</v>
      </c>
      <c r="C144" t="s">
        <v>456</v>
      </c>
      <c r="D144" t="s">
        <v>632</v>
      </c>
      <c r="E144" t="s">
        <v>577</v>
      </c>
      <c r="F144">
        <v>48</v>
      </c>
      <c r="G144" t="s">
        <v>671</v>
      </c>
      <c r="H144" t="s">
        <v>1054</v>
      </c>
      <c r="I144" t="s">
        <v>1055</v>
      </c>
      <c r="J144" t="s">
        <v>884</v>
      </c>
      <c r="K144" t="s">
        <v>998</v>
      </c>
      <c r="L144">
        <v>3336.5765765765759</v>
      </c>
      <c r="M144">
        <v>160156</v>
      </c>
      <c r="N144">
        <v>3604</v>
      </c>
      <c r="O144">
        <v>172973</v>
      </c>
      <c r="P144"/>
      <c r="Q144">
        <v>0</v>
      </c>
      <c r="R144" s="35">
        <v>45848</v>
      </c>
      <c r="T144" t="s">
        <v>1214</v>
      </c>
      <c r="U144" t="s">
        <v>126</v>
      </c>
      <c r="V144" t="s">
        <v>139</v>
      </c>
      <c r="W144">
        <v>20085</v>
      </c>
      <c r="X144" t="s">
        <v>720</v>
      </c>
      <c r="Y144" t="s">
        <v>1060</v>
      </c>
      <c r="Z144" t="s">
        <v>377</v>
      </c>
      <c r="AA144" t="s">
        <v>140</v>
      </c>
      <c r="AB144" t="s">
        <v>141</v>
      </c>
      <c r="AC144">
        <v>11611</v>
      </c>
      <c r="AD144">
        <v>11612</v>
      </c>
      <c r="AE144">
        <v>101</v>
      </c>
      <c r="AF144">
        <v>1</v>
      </c>
    </row>
    <row r="145" spans="1:32">
      <c r="A145">
        <v>1</v>
      </c>
      <c r="B145">
        <v>125</v>
      </c>
      <c r="C145" t="s">
        <v>1085</v>
      </c>
      <c r="D145" t="s">
        <v>629</v>
      </c>
      <c r="E145" t="s">
        <v>1073</v>
      </c>
      <c r="F145">
        <v>24</v>
      </c>
      <c r="G145" t="s">
        <v>671</v>
      </c>
      <c r="H145" t="s">
        <v>1054</v>
      </c>
      <c r="I145" t="s">
        <v>1055</v>
      </c>
      <c r="J145" t="s">
        <v>1171</v>
      </c>
      <c r="K145" t="s">
        <v>1191</v>
      </c>
      <c r="L145">
        <v>18351.171171171172</v>
      </c>
      <c r="M145">
        <v>440428</v>
      </c>
      <c r="N145">
        <v>19820</v>
      </c>
      <c r="O145">
        <v>475676</v>
      </c>
      <c r="P145"/>
      <c r="Q145">
        <v>0</v>
      </c>
      <c r="R145" s="35">
        <v>45864</v>
      </c>
      <c r="T145" t="s">
        <v>1214</v>
      </c>
      <c r="U145" t="s">
        <v>126</v>
      </c>
      <c r="V145" t="s">
        <v>139</v>
      </c>
      <c r="W145">
        <v>20400</v>
      </c>
      <c r="X145" t="s">
        <v>670</v>
      </c>
      <c r="AA145" t="s">
        <v>140</v>
      </c>
      <c r="AB145" t="s">
        <v>141</v>
      </c>
      <c r="AC145">
        <v>11611</v>
      </c>
      <c r="AD145">
        <v>11612</v>
      </c>
      <c r="AF145">
        <v>1</v>
      </c>
    </row>
    <row r="146" spans="1:32">
      <c r="A146">
        <v>1</v>
      </c>
      <c r="B146">
        <v>126</v>
      </c>
      <c r="C146" t="s">
        <v>462</v>
      </c>
      <c r="D146" t="s">
        <v>632</v>
      </c>
      <c r="E146" t="s">
        <v>583</v>
      </c>
      <c r="F146">
        <v>48</v>
      </c>
      <c r="G146" t="s">
        <v>671</v>
      </c>
      <c r="H146" t="s">
        <v>1054</v>
      </c>
      <c r="I146" t="s">
        <v>1055</v>
      </c>
      <c r="J146" t="s">
        <v>885</v>
      </c>
      <c r="K146" t="s">
        <v>999</v>
      </c>
      <c r="L146">
        <v>3336.5765765765759</v>
      </c>
      <c r="M146">
        <v>160156</v>
      </c>
      <c r="N146">
        <v>3604</v>
      </c>
      <c r="O146">
        <v>172973</v>
      </c>
      <c r="P146"/>
      <c r="Q146">
        <v>0</v>
      </c>
      <c r="R146" s="35">
        <v>45848</v>
      </c>
      <c r="T146" t="s">
        <v>1214</v>
      </c>
      <c r="U146" t="s">
        <v>126</v>
      </c>
      <c r="V146" t="s">
        <v>139</v>
      </c>
      <c r="W146">
        <v>20085</v>
      </c>
      <c r="X146" t="s">
        <v>720</v>
      </c>
      <c r="Y146" t="s">
        <v>1060</v>
      </c>
      <c r="Z146" t="s">
        <v>377</v>
      </c>
      <c r="AA146" t="s">
        <v>140</v>
      </c>
      <c r="AB146" t="s">
        <v>141</v>
      </c>
      <c r="AC146">
        <v>11611</v>
      </c>
      <c r="AD146">
        <v>11612</v>
      </c>
      <c r="AE146">
        <v>101</v>
      </c>
      <c r="AF146">
        <v>1</v>
      </c>
    </row>
    <row r="147" spans="1:32">
      <c r="A147">
        <v>1</v>
      </c>
      <c r="B147">
        <v>127</v>
      </c>
      <c r="C147" t="s">
        <v>1086</v>
      </c>
      <c r="D147" t="s">
        <v>1070</v>
      </c>
      <c r="E147" t="s">
        <v>1075</v>
      </c>
      <c r="F147">
        <v>24</v>
      </c>
      <c r="G147" t="s">
        <v>671</v>
      </c>
      <c r="H147" t="s">
        <v>1054</v>
      </c>
      <c r="I147" t="s">
        <v>1055</v>
      </c>
      <c r="J147" t="s">
        <v>1172</v>
      </c>
      <c r="K147" t="s">
        <v>1192</v>
      </c>
      <c r="L147">
        <v>18351.171171171172</v>
      </c>
      <c r="M147">
        <v>440428</v>
      </c>
      <c r="N147">
        <v>19820</v>
      </c>
      <c r="O147">
        <v>475676</v>
      </c>
      <c r="P147"/>
      <c r="Q147">
        <v>0</v>
      </c>
      <c r="R147" s="35">
        <v>45864</v>
      </c>
      <c r="T147" t="s">
        <v>1214</v>
      </c>
      <c r="U147" t="s">
        <v>126</v>
      </c>
      <c r="V147" t="s">
        <v>139</v>
      </c>
      <c r="W147">
        <v>20400</v>
      </c>
      <c r="X147" t="s">
        <v>670</v>
      </c>
      <c r="AA147" t="s">
        <v>140</v>
      </c>
      <c r="AB147" t="s">
        <v>141</v>
      </c>
      <c r="AC147">
        <v>11611</v>
      </c>
      <c r="AD147">
        <v>11612</v>
      </c>
      <c r="AF147">
        <v>1</v>
      </c>
    </row>
    <row r="148" spans="1:32">
      <c r="A148">
        <v>1</v>
      </c>
      <c r="B148">
        <v>128</v>
      </c>
      <c r="C148" t="s">
        <v>457</v>
      </c>
      <c r="D148" t="s">
        <v>629</v>
      </c>
      <c r="E148" t="s">
        <v>578</v>
      </c>
      <c r="F148">
        <v>24</v>
      </c>
      <c r="G148" t="s">
        <v>671</v>
      </c>
      <c r="H148" t="s">
        <v>1054</v>
      </c>
      <c r="I148" t="s">
        <v>1055</v>
      </c>
      <c r="J148" t="s">
        <v>886</v>
      </c>
      <c r="K148" t="s">
        <v>1000</v>
      </c>
      <c r="L148">
        <v>18351.171171171172</v>
      </c>
      <c r="M148">
        <v>440428</v>
      </c>
      <c r="N148">
        <v>19820</v>
      </c>
      <c r="O148">
        <v>475676</v>
      </c>
      <c r="P148"/>
      <c r="Q148">
        <v>0</v>
      </c>
      <c r="R148" s="35">
        <v>45848</v>
      </c>
      <c r="T148" t="s">
        <v>1214</v>
      </c>
      <c r="U148" t="s">
        <v>126</v>
      </c>
      <c r="V148" t="s">
        <v>139</v>
      </c>
      <c r="W148">
        <v>20400</v>
      </c>
      <c r="X148" t="s">
        <v>670</v>
      </c>
      <c r="Y148" t="s">
        <v>1060</v>
      </c>
      <c r="Z148" t="s">
        <v>377</v>
      </c>
      <c r="AA148" t="s">
        <v>140</v>
      </c>
      <c r="AB148" t="s">
        <v>141</v>
      </c>
      <c r="AC148">
        <v>11611</v>
      </c>
      <c r="AD148">
        <v>11612</v>
      </c>
      <c r="AE148">
        <v>101</v>
      </c>
      <c r="AF148">
        <v>1</v>
      </c>
    </row>
    <row r="149" spans="1:32">
      <c r="A149">
        <v>1</v>
      </c>
      <c r="B149">
        <v>129</v>
      </c>
      <c r="C149" t="s">
        <v>459</v>
      </c>
      <c r="D149" t="s">
        <v>632</v>
      </c>
      <c r="E149" t="s">
        <v>580</v>
      </c>
      <c r="F149">
        <v>48</v>
      </c>
      <c r="G149" t="s">
        <v>671</v>
      </c>
      <c r="H149" t="s">
        <v>1054</v>
      </c>
      <c r="I149" t="s">
        <v>1055</v>
      </c>
      <c r="J149" t="s">
        <v>887</v>
      </c>
      <c r="K149" t="s">
        <v>1001</v>
      </c>
      <c r="L149">
        <v>3336.5765765765759</v>
      </c>
      <c r="M149">
        <v>160156</v>
      </c>
      <c r="N149">
        <v>3604</v>
      </c>
      <c r="O149">
        <v>172973</v>
      </c>
      <c r="P149"/>
      <c r="Q149">
        <v>0</v>
      </c>
      <c r="R149" s="35">
        <v>45848</v>
      </c>
      <c r="T149" t="s">
        <v>1214</v>
      </c>
      <c r="U149" t="s">
        <v>126</v>
      </c>
      <c r="V149" t="s">
        <v>139</v>
      </c>
      <c r="W149">
        <v>20085</v>
      </c>
      <c r="X149" t="s">
        <v>720</v>
      </c>
      <c r="Y149" t="s">
        <v>1060</v>
      </c>
      <c r="Z149" t="s">
        <v>377</v>
      </c>
      <c r="AA149" t="s">
        <v>140</v>
      </c>
      <c r="AB149" t="s">
        <v>141</v>
      </c>
      <c r="AC149">
        <v>11611</v>
      </c>
      <c r="AD149">
        <v>11612</v>
      </c>
      <c r="AE149">
        <v>101</v>
      </c>
      <c r="AF149">
        <v>1</v>
      </c>
    </row>
    <row r="150" spans="1:32">
      <c r="A150">
        <v>1</v>
      </c>
      <c r="B150">
        <v>130</v>
      </c>
      <c r="C150" t="s">
        <v>464</v>
      </c>
      <c r="D150" t="s">
        <v>629</v>
      </c>
      <c r="E150" t="s">
        <v>585</v>
      </c>
      <c r="F150">
        <v>24</v>
      </c>
      <c r="G150" t="s">
        <v>730</v>
      </c>
      <c r="H150" t="s">
        <v>1054</v>
      </c>
      <c r="I150" t="s">
        <v>1055</v>
      </c>
      <c r="J150" t="s">
        <v>888</v>
      </c>
      <c r="K150" t="s">
        <v>1002</v>
      </c>
      <c r="L150">
        <v>31697.477477477474</v>
      </c>
      <c r="M150">
        <v>760739</v>
      </c>
      <c r="N150">
        <v>34234</v>
      </c>
      <c r="O150">
        <v>821622</v>
      </c>
      <c r="P150"/>
      <c r="Q150">
        <v>0</v>
      </c>
      <c r="R150" s="35">
        <v>45848</v>
      </c>
      <c r="T150" t="s">
        <v>1214</v>
      </c>
      <c r="U150" t="s">
        <v>126</v>
      </c>
      <c r="V150" t="s">
        <v>139</v>
      </c>
      <c r="W150">
        <v>20480</v>
      </c>
      <c r="X150" t="s">
        <v>673</v>
      </c>
      <c r="Y150" t="s">
        <v>1060</v>
      </c>
      <c r="Z150" t="s">
        <v>377</v>
      </c>
      <c r="AA150" t="s">
        <v>140</v>
      </c>
      <c r="AB150" t="s">
        <v>141</v>
      </c>
      <c r="AC150">
        <v>11611</v>
      </c>
      <c r="AD150">
        <v>11612</v>
      </c>
      <c r="AE150">
        <v>101</v>
      </c>
      <c r="AF150">
        <v>1</v>
      </c>
    </row>
    <row r="151" spans="1:32">
      <c r="A151">
        <v>1</v>
      </c>
      <c r="B151">
        <v>131</v>
      </c>
      <c r="C151" t="s">
        <v>468</v>
      </c>
      <c r="D151" t="s">
        <v>629</v>
      </c>
      <c r="E151" t="s">
        <v>589</v>
      </c>
      <c r="F151">
        <v>24</v>
      </c>
      <c r="G151" t="s">
        <v>730</v>
      </c>
      <c r="H151" t="s">
        <v>1054</v>
      </c>
      <c r="I151" t="s">
        <v>1055</v>
      </c>
      <c r="J151" t="s">
        <v>889</v>
      </c>
      <c r="K151" t="s">
        <v>1003</v>
      </c>
      <c r="L151">
        <v>31697.477477477474</v>
      </c>
      <c r="M151">
        <v>760739</v>
      </c>
      <c r="N151">
        <v>34234</v>
      </c>
      <c r="O151">
        <v>821622</v>
      </c>
      <c r="P151"/>
      <c r="Q151">
        <v>0</v>
      </c>
      <c r="R151" s="35">
        <v>45848</v>
      </c>
      <c r="T151" t="s">
        <v>1214</v>
      </c>
      <c r="U151" t="s">
        <v>126</v>
      </c>
      <c r="V151" t="s">
        <v>139</v>
      </c>
      <c r="W151">
        <v>20480</v>
      </c>
      <c r="X151" t="s">
        <v>673</v>
      </c>
      <c r="Y151" t="s">
        <v>1060</v>
      </c>
      <c r="Z151" t="s">
        <v>377</v>
      </c>
      <c r="AA151" t="s">
        <v>140</v>
      </c>
      <c r="AB151" t="s">
        <v>141</v>
      </c>
      <c r="AC151">
        <v>11611</v>
      </c>
      <c r="AD151">
        <v>11612</v>
      </c>
      <c r="AE151">
        <v>101</v>
      </c>
      <c r="AF151">
        <v>1</v>
      </c>
    </row>
    <row r="152" spans="1:32">
      <c r="A152">
        <v>1</v>
      </c>
      <c r="B152">
        <v>132</v>
      </c>
      <c r="C152" t="s">
        <v>458</v>
      </c>
      <c r="D152" t="s">
        <v>629</v>
      </c>
      <c r="E152" t="s">
        <v>579</v>
      </c>
      <c r="F152">
        <v>24</v>
      </c>
      <c r="G152" t="s">
        <v>730</v>
      </c>
      <c r="H152" t="s">
        <v>1054</v>
      </c>
      <c r="I152" t="s">
        <v>1055</v>
      </c>
      <c r="J152" t="s">
        <v>890</v>
      </c>
      <c r="K152" t="s">
        <v>1004</v>
      </c>
      <c r="L152">
        <v>31697.477477477474</v>
      </c>
      <c r="M152">
        <v>760739</v>
      </c>
      <c r="N152">
        <v>34234</v>
      </c>
      <c r="O152">
        <v>821622</v>
      </c>
      <c r="P152"/>
      <c r="Q152">
        <v>0</v>
      </c>
      <c r="R152" s="35">
        <v>45848</v>
      </c>
      <c r="T152" t="s">
        <v>1214</v>
      </c>
      <c r="U152" t="s">
        <v>126</v>
      </c>
      <c r="V152" t="s">
        <v>139</v>
      </c>
      <c r="W152">
        <v>20480</v>
      </c>
      <c r="X152" t="s">
        <v>673</v>
      </c>
      <c r="Y152" t="s">
        <v>1060</v>
      </c>
      <c r="Z152" t="s">
        <v>377</v>
      </c>
      <c r="AA152" t="s">
        <v>140</v>
      </c>
      <c r="AB152" t="s">
        <v>141</v>
      </c>
      <c r="AC152">
        <v>11611</v>
      </c>
      <c r="AD152">
        <v>11612</v>
      </c>
      <c r="AE152">
        <v>101</v>
      </c>
      <c r="AF152">
        <v>1</v>
      </c>
    </row>
    <row r="153" spans="1:32">
      <c r="A153">
        <v>1</v>
      </c>
      <c r="B153">
        <v>133</v>
      </c>
      <c r="C153">
        <v>52506000</v>
      </c>
      <c r="D153" t="s">
        <v>629</v>
      </c>
      <c r="E153" t="s">
        <v>1065</v>
      </c>
      <c r="F153">
        <v>48</v>
      </c>
      <c r="G153" t="s">
        <v>671</v>
      </c>
      <c r="H153" t="s">
        <v>1054</v>
      </c>
      <c r="I153" t="s">
        <v>1055</v>
      </c>
      <c r="J153" t="s">
        <v>1173</v>
      </c>
      <c r="K153" t="s">
        <v>1193</v>
      </c>
      <c r="L153">
        <v>3336.5765765765759</v>
      </c>
      <c r="M153">
        <v>160156</v>
      </c>
      <c r="N153">
        <v>3604</v>
      </c>
      <c r="O153">
        <v>172973</v>
      </c>
      <c r="P153"/>
      <c r="Q153">
        <v>0</v>
      </c>
      <c r="R153" s="35">
        <v>45850</v>
      </c>
      <c r="T153" t="s">
        <v>1214</v>
      </c>
      <c r="U153" t="s">
        <v>126</v>
      </c>
      <c r="V153" t="s">
        <v>139</v>
      </c>
      <c r="W153">
        <v>20085</v>
      </c>
      <c r="X153" t="s">
        <v>720</v>
      </c>
      <c r="Y153" t="s">
        <v>1060</v>
      </c>
      <c r="Z153" t="s">
        <v>377</v>
      </c>
      <c r="AA153" t="s">
        <v>140</v>
      </c>
      <c r="AB153" t="s">
        <v>141</v>
      </c>
      <c r="AC153">
        <v>11611</v>
      </c>
      <c r="AD153">
        <v>11612</v>
      </c>
      <c r="AE153">
        <v>101</v>
      </c>
      <c r="AF153">
        <v>1</v>
      </c>
    </row>
    <row r="154" spans="1:32">
      <c r="A154">
        <v>1</v>
      </c>
      <c r="B154">
        <v>134</v>
      </c>
      <c r="C154" t="s">
        <v>1088</v>
      </c>
      <c r="D154" t="s">
        <v>629</v>
      </c>
      <c r="E154" t="s">
        <v>1072</v>
      </c>
      <c r="F154">
        <v>24</v>
      </c>
      <c r="G154" t="s">
        <v>671</v>
      </c>
      <c r="H154" t="s">
        <v>1054</v>
      </c>
      <c r="I154" t="s">
        <v>1055</v>
      </c>
      <c r="J154" t="s">
        <v>1174</v>
      </c>
      <c r="K154" t="s">
        <v>1194</v>
      </c>
      <c r="L154">
        <v>18351.171171171172</v>
      </c>
      <c r="M154">
        <v>440428</v>
      </c>
      <c r="N154">
        <v>19820</v>
      </c>
      <c r="O154">
        <v>475676</v>
      </c>
      <c r="P154"/>
      <c r="Q154">
        <v>0</v>
      </c>
      <c r="R154" s="35">
        <v>45864</v>
      </c>
      <c r="T154" t="s">
        <v>1214</v>
      </c>
      <c r="U154" t="s">
        <v>126</v>
      </c>
      <c r="V154" t="s">
        <v>139</v>
      </c>
      <c r="W154">
        <v>20400</v>
      </c>
      <c r="X154" t="s">
        <v>670</v>
      </c>
      <c r="AA154" t="s">
        <v>140</v>
      </c>
      <c r="AB154" t="s">
        <v>141</v>
      </c>
      <c r="AC154">
        <v>11611</v>
      </c>
      <c r="AD154">
        <v>11612</v>
      </c>
      <c r="AF154">
        <v>1</v>
      </c>
    </row>
    <row r="155" spans="1:32">
      <c r="A155">
        <v>1</v>
      </c>
      <c r="B155">
        <v>135</v>
      </c>
      <c r="C155" t="s">
        <v>1087</v>
      </c>
      <c r="D155" t="s">
        <v>629</v>
      </c>
      <c r="E155" t="s">
        <v>1076</v>
      </c>
      <c r="F155">
        <v>24</v>
      </c>
      <c r="G155" t="s">
        <v>671</v>
      </c>
      <c r="H155" t="s">
        <v>1054</v>
      </c>
      <c r="I155" t="s">
        <v>1055</v>
      </c>
      <c r="J155" t="s">
        <v>1175</v>
      </c>
      <c r="K155" t="s">
        <v>1195</v>
      </c>
      <c r="L155">
        <v>18351.171171171172</v>
      </c>
      <c r="M155">
        <v>440428</v>
      </c>
      <c r="N155">
        <v>19820</v>
      </c>
      <c r="O155">
        <v>475676</v>
      </c>
      <c r="P155"/>
      <c r="Q155">
        <v>0</v>
      </c>
      <c r="R155" s="35">
        <v>45864</v>
      </c>
      <c r="T155" t="s">
        <v>1214</v>
      </c>
      <c r="U155" t="s">
        <v>126</v>
      </c>
      <c r="V155" t="s">
        <v>139</v>
      </c>
      <c r="W155">
        <v>20400</v>
      </c>
      <c r="X155" t="s">
        <v>670</v>
      </c>
      <c r="AA155" t="s">
        <v>140</v>
      </c>
      <c r="AB155" t="s">
        <v>141</v>
      </c>
      <c r="AC155">
        <v>11611</v>
      </c>
      <c r="AD155">
        <v>11612</v>
      </c>
      <c r="AF155">
        <v>1</v>
      </c>
    </row>
    <row r="156" spans="1:32">
      <c r="A156">
        <v>1</v>
      </c>
      <c r="C156" t="s">
        <v>1290</v>
      </c>
      <c r="D156" t="s">
        <v>629</v>
      </c>
      <c r="E156" t="s">
        <v>1284</v>
      </c>
      <c r="F156">
        <v>24</v>
      </c>
      <c r="G156" t="s">
        <v>671</v>
      </c>
      <c r="H156" t="s">
        <v>1054</v>
      </c>
      <c r="I156" t="s">
        <v>1055</v>
      </c>
      <c r="J156" t="s">
        <v>1307</v>
      </c>
      <c r="K156" t="s">
        <v>1330</v>
      </c>
      <c r="L156"/>
      <c r="M156">
        <v>0</v>
      </c>
      <c r="N156"/>
      <c r="O156">
        <v>0</v>
      </c>
      <c r="P156"/>
      <c r="Q156">
        <v>0</v>
      </c>
      <c r="R156" s="35"/>
      <c r="T156" t="s">
        <v>1214</v>
      </c>
      <c r="U156" t="s">
        <v>126</v>
      </c>
      <c r="V156" t="s">
        <v>139</v>
      </c>
      <c r="W156">
        <v>20380</v>
      </c>
      <c r="X156" t="s">
        <v>696</v>
      </c>
      <c r="AA156" t="s">
        <v>140</v>
      </c>
      <c r="AB156" t="s">
        <v>141</v>
      </c>
      <c r="AC156">
        <v>11611</v>
      </c>
      <c r="AD156">
        <v>11612</v>
      </c>
      <c r="AF156">
        <v>1</v>
      </c>
    </row>
    <row r="157" spans="1:32">
      <c r="A157">
        <v>1</v>
      </c>
      <c r="C157" t="s">
        <v>1291</v>
      </c>
      <c r="D157" t="s">
        <v>629</v>
      </c>
      <c r="E157" t="s">
        <v>1285</v>
      </c>
      <c r="F157">
        <v>24</v>
      </c>
      <c r="G157" t="s">
        <v>671</v>
      </c>
      <c r="H157" t="s">
        <v>1054</v>
      </c>
      <c r="I157" t="s">
        <v>1055</v>
      </c>
      <c r="J157" t="s">
        <v>1308</v>
      </c>
      <c r="K157" t="s">
        <v>1331</v>
      </c>
      <c r="L157"/>
      <c r="M157">
        <v>0</v>
      </c>
      <c r="N157"/>
      <c r="O157">
        <v>0</v>
      </c>
      <c r="P157"/>
      <c r="Q157">
        <v>0</v>
      </c>
      <c r="R157" s="35"/>
      <c r="T157" t="s">
        <v>1214</v>
      </c>
      <c r="U157" t="s">
        <v>126</v>
      </c>
      <c r="V157" t="s">
        <v>139</v>
      </c>
      <c r="W157">
        <v>20380</v>
      </c>
      <c r="X157" t="s">
        <v>696</v>
      </c>
      <c r="AA157" t="s">
        <v>140</v>
      </c>
      <c r="AB157" t="s">
        <v>141</v>
      </c>
      <c r="AC157">
        <v>11611</v>
      </c>
      <c r="AD157">
        <v>11612</v>
      </c>
      <c r="AF157">
        <v>1</v>
      </c>
    </row>
    <row r="158" spans="1:32">
      <c r="A158">
        <v>1</v>
      </c>
      <c r="B158">
        <v>136</v>
      </c>
      <c r="C158" t="s">
        <v>455</v>
      </c>
      <c r="D158" t="s">
        <v>629</v>
      </c>
      <c r="E158" t="s">
        <v>576</v>
      </c>
      <c r="F158">
        <v>24</v>
      </c>
      <c r="G158" t="s">
        <v>671</v>
      </c>
      <c r="H158" t="s">
        <v>1056</v>
      </c>
      <c r="I158" t="s">
        <v>1057</v>
      </c>
      <c r="J158" t="s">
        <v>891</v>
      </c>
      <c r="K158" t="s">
        <v>1005</v>
      </c>
      <c r="L158">
        <v>18351.171171171172</v>
      </c>
      <c r="M158">
        <v>440428</v>
      </c>
      <c r="N158">
        <v>19820</v>
      </c>
      <c r="O158">
        <v>475676</v>
      </c>
      <c r="P158"/>
      <c r="Q158">
        <v>0</v>
      </c>
      <c r="R158" s="35">
        <v>45848</v>
      </c>
      <c r="T158" t="s">
        <v>1214</v>
      </c>
      <c r="U158" t="s">
        <v>126</v>
      </c>
      <c r="V158" t="s">
        <v>139</v>
      </c>
      <c r="W158">
        <v>20400</v>
      </c>
      <c r="X158" t="s">
        <v>670</v>
      </c>
      <c r="Y158" t="s">
        <v>1060</v>
      </c>
      <c r="Z158" t="s">
        <v>377</v>
      </c>
      <c r="AA158" t="s">
        <v>140</v>
      </c>
      <c r="AB158" t="s">
        <v>141</v>
      </c>
      <c r="AC158">
        <v>11611</v>
      </c>
      <c r="AD158">
        <v>11612</v>
      </c>
      <c r="AE158">
        <v>101</v>
      </c>
      <c r="AF158">
        <v>1</v>
      </c>
    </row>
    <row r="159" spans="1:32">
      <c r="A159">
        <v>1</v>
      </c>
      <c r="B159">
        <v>137</v>
      </c>
      <c r="C159" t="s">
        <v>460</v>
      </c>
      <c r="D159" t="s">
        <v>629</v>
      </c>
      <c r="E159" t="s">
        <v>581</v>
      </c>
      <c r="F159">
        <v>24</v>
      </c>
      <c r="G159" t="s">
        <v>671</v>
      </c>
      <c r="H159" t="s">
        <v>1056</v>
      </c>
      <c r="I159" t="s">
        <v>1057</v>
      </c>
      <c r="J159" t="s">
        <v>892</v>
      </c>
      <c r="K159" t="s">
        <v>1006</v>
      </c>
      <c r="L159">
        <v>18351.171171171172</v>
      </c>
      <c r="M159">
        <v>440428</v>
      </c>
      <c r="N159">
        <v>19820</v>
      </c>
      <c r="O159">
        <v>475676</v>
      </c>
      <c r="P159"/>
      <c r="Q159">
        <v>0</v>
      </c>
      <c r="R159" s="35">
        <v>45848</v>
      </c>
      <c r="T159" t="s">
        <v>1214</v>
      </c>
      <c r="U159" t="s">
        <v>126</v>
      </c>
      <c r="V159" t="s">
        <v>139</v>
      </c>
      <c r="W159">
        <v>20400</v>
      </c>
      <c r="X159" t="s">
        <v>670</v>
      </c>
      <c r="Y159" t="s">
        <v>1060</v>
      </c>
      <c r="Z159" t="s">
        <v>377</v>
      </c>
      <c r="AA159" t="s">
        <v>140</v>
      </c>
      <c r="AB159" t="s">
        <v>141</v>
      </c>
      <c r="AC159">
        <v>11611</v>
      </c>
      <c r="AD159">
        <v>11612</v>
      </c>
      <c r="AE159">
        <v>101</v>
      </c>
      <c r="AF159">
        <v>1</v>
      </c>
    </row>
    <row r="160" spans="1:32">
      <c r="A160">
        <v>1</v>
      </c>
      <c r="B160">
        <v>138</v>
      </c>
      <c r="C160" t="s">
        <v>465</v>
      </c>
      <c r="D160" t="s">
        <v>629</v>
      </c>
      <c r="E160" t="s">
        <v>586</v>
      </c>
      <c r="F160">
        <v>24</v>
      </c>
      <c r="G160" t="s">
        <v>671</v>
      </c>
      <c r="H160" t="s">
        <v>1056</v>
      </c>
      <c r="I160" t="s">
        <v>1057</v>
      </c>
      <c r="J160" t="s">
        <v>893</v>
      </c>
      <c r="K160" t="s">
        <v>1007</v>
      </c>
      <c r="L160">
        <v>18351.171171171172</v>
      </c>
      <c r="M160">
        <v>440428</v>
      </c>
      <c r="N160">
        <v>19820</v>
      </c>
      <c r="O160">
        <v>475676</v>
      </c>
      <c r="P160"/>
      <c r="Q160">
        <v>0</v>
      </c>
      <c r="R160" s="35">
        <v>45848</v>
      </c>
      <c r="T160" t="s">
        <v>1214</v>
      </c>
      <c r="U160" t="s">
        <v>126</v>
      </c>
      <c r="V160" t="s">
        <v>139</v>
      </c>
      <c r="W160">
        <v>20400</v>
      </c>
      <c r="X160" t="s">
        <v>670</v>
      </c>
      <c r="Y160" t="s">
        <v>1060</v>
      </c>
      <c r="Z160" t="s">
        <v>377</v>
      </c>
      <c r="AA160" t="s">
        <v>140</v>
      </c>
      <c r="AB160" t="s">
        <v>141</v>
      </c>
      <c r="AC160">
        <v>11611</v>
      </c>
      <c r="AD160">
        <v>11612</v>
      </c>
      <c r="AE160">
        <v>101</v>
      </c>
      <c r="AF160">
        <v>1</v>
      </c>
    </row>
    <row r="161" spans="1:32">
      <c r="A161">
        <v>1</v>
      </c>
      <c r="B161">
        <v>139</v>
      </c>
      <c r="C161" t="s">
        <v>454</v>
      </c>
      <c r="D161" t="s">
        <v>629</v>
      </c>
      <c r="E161" t="s">
        <v>575</v>
      </c>
      <c r="F161">
        <v>24</v>
      </c>
      <c r="G161" t="s">
        <v>730</v>
      </c>
      <c r="H161" t="s">
        <v>1056</v>
      </c>
      <c r="I161" t="s">
        <v>1057</v>
      </c>
      <c r="J161" t="s">
        <v>894</v>
      </c>
      <c r="K161" t="s">
        <v>1008</v>
      </c>
      <c r="L161">
        <v>31697.477477477474</v>
      </c>
      <c r="M161">
        <v>760739</v>
      </c>
      <c r="N161">
        <v>34234</v>
      </c>
      <c r="O161">
        <v>821622</v>
      </c>
      <c r="P161"/>
      <c r="Q161">
        <v>0</v>
      </c>
      <c r="R161" s="35">
        <v>45848</v>
      </c>
      <c r="T161" t="s">
        <v>1214</v>
      </c>
      <c r="U161" t="s">
        <v>126</v>
      </c>
      <c r="V161" t="s">
        <v>139</v>
      </c>
      <c r="W161">
        <v>20480</v>
      </c>
      <c r="X161" t="s">
        <v>673</v>
      </c>
      <c r="Y161" t="s">
        <v>1060</v>
      </c>
      <c r="Z161" t="s">
        <v>377</v>
      </c>
      <c r="AA161" t="s">
        <v>140</v>
      </c>
      <c r="AB161" t="s">
        <v>141</v>
      </c>
      <c r="AC161">
        <v>11611</v>
      </c>
      <c r="AD161">
        <v>11612</v>
      </c>
      <c r="AE161">
        <v>101</v>
      </c>
      <c r="AF161">
        <v>1</v>
      </c>
    </row>
    <row r="162" spans="1:32">
      <c r="A162">
        <v>1</v>
      </c>
      <c r="B162">
        <v>140</v>
      </c>
      <c r="C162" t="s">
        <v>461</v>
      </c>
      <c r="D162" t="s">
        <v>629</v>
      </c>
      <c r="E162" t="s">
        <v>582</v>
      </c>
      <c r="F162">
        <v>24</v>
      </c>
      <c r="G162" t="s">
        <v>730</v>
      </c>
      <c r="H162" t="s">
        <v>1056</v>
      </c>
      <c r="I162" t="s">
        <v>1057</v>
      </c>
      <c r="J162" t="s">
        <v>895</v>
      </c>
      <c r="K162" t="s">
        <v>1009</v>
      </c>
      <c r="L162">
        <v>31697.477477477474</v>
      </c>
      <c r="M162">
        <v>760739</v>
      </c>
      <c r="N162">
        <v>34234</v>
      </c>
      <c r="O162">
        <v>821622</v>
      </c>
      <c r="P162"/>
      <c r="Q162">
        <v>0</v>
      </c>
      <c r="R162" s="35">
        <v>45848</v>
      </c>
      <c r="T162" t="s">
        <v>1214</v>
      </c>
      <c r="U162" t="s">
        <v>126</v>
      </c>
      <c r="V162" t="s">
        <v>139</v>
      </c>
      <c r="W162">
        <v>20480</v>
      </c>
      <c r="X162" t="s">
        <v>673</v>
      </c>
      <c r="Y162" t="s">
        <v>1060</v>
      </c>
      <c r="Z162" t="s">
        <v>377</v>
      </c>
      <c r="AA162" t="s">
        <v>140</v>
      </c>
      <c r="AB162" t="s">
        <v>141</v>
      </c>
      <c r="AC162">
        <v>11611</v>
      </c>
      <c r="AD162">
        <v>11612</v>
      </c>
      <c r="AE162">
        <v>101</v>
      </c>
      <c r="AF162">
        <v>1</v>
      </c>
    </row>
    <row r="163" spans="1:32">
      <c r="A163">
        <v>1</v>
      </c>
      <c r="B163">
        <v>141</v>
      </c>
      <c r="C163" t="s">
        <v>466</v>
      </c>
      <c r="D163" t="s">
        <v>629</v>
      </c>
      <c r="E163" t="s">
        <v>587</v>
      </c>
      <c r="F163">
        <v>24</v>
      </c>
      <c r="G163" t="s">
        <v>730</v>
      </c>
      <c r="H163" t="s">
        <v>1056</v>
      </c>
      <c r="I163" t="s">
        <v>1057</v>
      </c>
      <c r="J163" t="s">
        <v>896</v>
      </c>
      <c r="K163" t="s">
        <v>1010</v>
      </c>
      <c r="L163">
        <v>31697.477477477474</v>
      </c>
      <c r="M163">
        <v>760739</v>
      </c>
      <c r="N163">
        <v>34234</v>
      </c>
      <c r="O163">
        <v>821622</v>
      </c>
      <c r="P163"/>
      <c r="Q163">
        <v>0</v>
      </c>
      <c r="R163" s="35">
        <v>45848</v>
      </c>
      <c r="T163" t="s">
        <v>1214</v>
      </c>
      <c r="U163" t="s">
        <v>126</v>
      </c>
      <c r="V163" t="s">
        <v>139</v>
      </c>
      <c r="W163">
        <v>20480</v>
      </c>
      <c r="X163" t="s">
        <v>673</v>
      </c>
      <c r="Y163" t="s">
        <v>1060</v>
      </c>
      <c r="Z163" t="s">
        <v>377</v>
      </c>
      <c r="AA163" t="s">
        <v>140</v>
      </c>
      <c r="AB163" t="s">
        <v>141</v>
      </c>
      <c r="AC163">
        <v>11611</v>
      </c>
      <c r="AD163">
        <v>11612</v>
      </c>
      <c r="AE163">
        <v>101</v>
      </c>
      <c r="AF163">
        <v>1</v>
      </c>
    </row>
    <row r="164" spans="1:32">
      <c r="A164">
        <v>1</v>
      </c>
      <c r="B164">
        <v>142</v>
      </c>
      <c r="C164" t="s">
        <v>1089</v>
      </c>
      <c r="D164" t="s">
        <v>629</v>
      </c>
      <c r="E164" t="s">
        <v>520</v>
      </c>
      <c r="F164">
        <v>6</v>
      </c>
      <c r="G164" t="s">
        <v>735</v>
      </c>
      <c r="H164" t="s">
        <v>1058</v>
      </c>
      <c r="I164" t="s">
        <v>1059</v>
      </c>
      <c r="J164" t="s">
        <v>1179</v>
      </c>
      <c r="K164" t="s">
        <v>1198</v>
      </c>
      <c r="L164"/>
      <c r="M164">
        <v>0</v>
      </c>
      <c r="N164"/>
      <c r="O164">
        <v>0</v>
      </c>
      <c r="P164"/>
      <c r="Q164">
        <v>0</v>
      </c>
      <c r="R164" s="35"/>
      <c r="T164" t="s">
        <v>1214</v>
      </c>
      <c r="U164" t="s">
        <v>126</v>
      </c>
      <c r="V164" t="s">
        <v>139</v>
      </c>
      <c r="W164">
        <v>10070</v>
      </c>
      <c r="X164" t="s">
        <v>771</v>
      </c>
      <c r="AA164" t="s">
        <v>140</v>
      </c>
      <c r="AB164" t="s">
        <v>141</v>
      </c>
      <c r="AC164">
        <v>11611</v>
      </c>
      <c r="AD164">
        <v>11612</v>
      </c>
      <c r="AF164">
        <v>1</v>
      </c>
    </row>
    <row r="165" spans="1:32">
      <c r="A165">
        <v>2</v>
      </c>
      <c r="B165">
        <v>143</v>
      </c>
      <c r="D165" t="s">
        <v>629</v>
      </c>
      <c r="E165" t="s">
        <v>520</v>
      </c>
      <c r="F165">
        <v>6</v>
      </c>
      <c r="G165" t="s">
        <v>735</v>
      </c>
      <c r="H165" t="s">
        <v>1058</v>
      </c>
      <c r="I165" t="s">
        <v>1059</v>
      </c>
      <c r="J165" t="s">
        <v>897</v>
      </c>
      <c r="K165" t="s">
        <v>1011</v>
      </c>
      <c r="L165">
        <v>34033.08108108108</v>
      </c>
      <c r="M165">
        <v>204198</v>
      </c>
      <c r="N165">
        <v>36757</v>
      </c>
      <c r="O165">
        <v>220541</v>
      </c>
      <c r="P165"/>
      <c r="Q165">
        <v>0</v>
      </c>
      <c r="R165" s="35">
        <v>45848</v>
      </c>
      <c r="T165" t="s">
        <v>1214</v>
      </c>
      <c r="U165" t="s">
        <v>126</v>
      </c>
      <c r="V165" t="s">
        <v>139</v>
      </c>
      <c r="W165">
        <v>10080</v>
      </c>
      <c r="X165" t="s">
        <v>770</v>
      </c>
      <c r="Y165" t="s">
        <v>1060</v>
      </c>
      <c r="Z165" t="s">
        <v>377</v>
      </c>
      <c r="AA165" t="s">
        <v>140</v>
      </c>
      <c r="AB165" t="s">
        <v>141</v>
      </c>
      <c r="AC165">
        <v>11611</v>
      </c>
      <c r="AD165">
        <v>11612</v>
      </c>
      <c r="AE165">
        <v>101</v>
      </c>
      <c r="AF165">
        <v>1</v>
      </c>
    </row>
    <row r="166" spans="1:32">
      <c r="A166">
        <v>1</v>
      </c>
      <c r="B166">
        <v>144</v>
      </c>
      <c r="C166" t="s">
        <v>404</v>
      </c>
      <c r="D166" t="s">
        <v>629</v>
      </c>
      <c r="E166" t="s">
        <v>525</v>
      </c>
      <c r="F166">
        <v>72</v>
      </c>
      <c r="G166" t="s">
        <v>187</v>
      </c>
      <c r="H166" t="s">
        <v>1058</v>
      </c>
      <c r="I166" t="s">
        <v>1059</v>
      </c>
      <c r="J166" t="s">
        <v>898</v>
      </c>
      <c r="K166" t="s">
        <v>1012</v>
      </c>
      <c r="L166">
        <v>2836.0900900900901</v>
      </c>
      <c r="M166">
        <v>204198</v>
      </c>
      <c r="N166">
        <v>3063</v>
      </c>
      <c r="O166">
        <v>220541</v>
      </c>
      <c r="P166"/>
      <c r="Q166">
        <v>0</v>
      </c>
      <c r="R166" s="35">
        <v>45848</v>
      </c>
      <c r="T166" t="s">
        <v>1214</v>
      </c>
      <c r="U166" t="s">
        <v>126</v>
      </c>
      <c r="V166" t="s">
        <v>139</v>
      </c>
      <c r="W166">
        <v>10060</v>
      </c>
      <c r="X166" t="s">
        <v>772</v>
      </c>
      <c r="Y166" t="s">
        <v>1060</v>
      </c>
      <c r="Z166" t="s">
        <v>377</v>
      </c>
      <c r="AA166" t="s">
        <v>140</v>
      </c>
      <c r="AB166" t="s">
        <v>141</v>
      </c>
      <c r="AC166">
        <v>11611</v>
      </c>
      <c r="AD166">
        <v>11612</v>
      </c>
      <c r="AE166">
        <v>101</v>
      </c>
      <c r="AF166">
        <v>1</v>
      </c>
    </row>
    <row r="167" spans="1:32">
      <c r="A167">
        <v>1</v>
      </c>
      <c r="B167">
        <v>145</v>
      </c>
      <c r="C167" t="s">
        <v>405</v>
      </c>
      <c r="D167" t="s">
        <v>629</v>
      </c>
      <c r="E167" t="s">
        <v>526</v>
      </c>
      <c r="F167">
        <v>24</v>
      </c>
      <c r="G167" t="s">
        <v>736</v>
      </c>
      <c r="H167" t="s">
        <v>1058</v>
      </c>
      <c r="I167" t="s">
        <v>1059</v>
      </c>
      <c r="J167" t="s">
        <v>899</v>
      </c>
      <c r="K167" t="s">
        <v>1013</v>
      </c>
      <c r="L167">
        <v>7340.468468468468</v>
      </c>
      <c r="M167">
        <v>176171</v>
      </c>
      <c r="N167">
        <v>7928</v>
      </c>
      <c r="O167">
        <v>190270</v>
      </c>
      <c r="P167"/>
      <c r="Q167">
        <v>0</v>
      </c>
      <c r="R167" s="35">
        <v>45848</v>
      </c>
      <c r="T167" t="s">
        <v>1214</v>
      </c>
      <c r="U167" t="s">
        <v>126</v>
      </c>
      <c r="V167" t="s">
        <v>139</v>
      </c>
      <c r="W167">
        <v>10070</v>
      </c>
      <c r="X167" t="s">
        <v>771</v>
      </c>
      <c r="Y167" t="s">
        <v>1060</v>
      </c>
      <c r="Z167" t="s">
        <v>377</v>
      </c>
      <c r="AA167" t="s">
        <v>140</v>
      </c>
      <c r="AB167" t="s">
        <v>141</v>
      </c>
      <c r="AC167">
        <v>11611</v>
      </c>
      <c r="AD167">
        <v>11612</v>
      </c>
      <c r="AE167">
        <v>101</v>
      </c>
      <c r="AF167">
        <v>1</v>
      </c>
    </row>
    <row r="168" spans="1:32">
      <c r="A168">
        <v>1</v>
      </c>
      <c r="B168">
        <v>146</v>
      </c>
      <c r="C168" t="s">
        <v>406</v>
      </c>
      <c r="D168" t="s">
        <v>629</v>
      </c>
      <c r="E168" t="s">
        <v>527</v>
      </c>
      <c r="F168">
        <v>24</v>
      </c>
      <c r="G168" t="s">
        <v>736</v>
      </c>
      <c r="H168" t="s">
        <v>1058</v>
      </c>
      <c r="I168" t="s">
        <v>1059</v>
      </c>
      <c r="J168" t="s">
        <v>900</v>
      </c>
      <c r="K168" t="s">
        <v>1014</v>
      </c>
      <c r="L168">
        <v>7340.468468468468</v>
      </c>
      <c r="M168">
        <v>176171</v>
      </c>
      <c r="N168">
        <v>7928</v>
      </c>
      <c r="O168">
        <v>190270</v>
      </c>
      <c r="P168"/>
      <c r="Q168">
        <v>0</v>
      </c>
      <c r="R168" s="35">
        <v>45848</v>
      </c>
      <c r="T168" t="s">
        <v>1214</v>
      </c>
      <c r="U168" t="s">
        <v>126</v>
      </c>
      <c r="V168" t="s">
        <v>139</v>
      </c>
      <c r="W168">
        <v>10070</v>
      </c>
      <c r="X168" t="s">
        <v>771</v>
      </c>
      <c r="Y168" t="s">
        <v>1060</v>
      </c>
      <c r="Z168" t="s">
        <v>377</v>
      </c>
      <c r="AA168" t="s">
        <v>140</v>
      </c>
      <c r="AB168" t="s">
        <v>141</v>
      </c>
      <c r="AC168">
        <v>11611</v>
      </c>
      <c r="AD168">
        <v>11612</v>
      </c>
      <c r="AE168">
        <v>101</v>
      </c>
      <c r="AF168">
        <v>1</v>
      </c>
    </row>
    <row r="169" spans="1:32">
      <c r="A169">
        <v>1</v>
      </c>
      <c r="B169">
        <v>148</v>
      </c>
      <c r="C169" t="s">
        <v>400</v>
      </c>
      <c r="D169" t="s">
        <v>629</v>
      </c>
      <c r="E169" t="s">
        <v>521</v>
      </c>
      <c r="F169">
        <v>24</v>
      </c>
      <c r="G169" t="s">
        <v>736</v>
      </c>
      <c r="H169" t="s">
        <v>1058</v>
      </c>
      <c r="I169" t="s">
        <v>1059</v>
      </c>
      <c r="J169" t="s">
        <v>901</v>
      </c>
      <c r="K169" t="s">
        <v>1015</v>
      </c>
      <c r="L169">
        <v>7340.468468468468</v>
      </c>
      <c r="M169">
        <v>176171</v>
      </c>
      <c r="N169">
        <v>7928</v>
      </c>
      <c r="O169">
        <v>190270</v>
      </c>
      <c r="P169"/>
      <c r="Q169">
        <v>0</v>
      </c>
      <c r="R169" s="35">
        <v>45848</v>
      </c>
      <c r="T169" t="s">
        <v>1214</v>
      </c>
      <c r="U169" t="s">
        <v>126</v>
      </c>
      <c r="V169" t="s">
        <v>139</v>
      </c>
      <c r="W169">
        <v>10070</v>
      </c>
      <c r="X169" t="s">
        <v>771</v>
      </c>
      <c r="Y169" t="s">
        <v>1060</v>
      </c>
      <c r="Z169" t="s">
        <v>377</v>
      </c>
      <c r="AA169" t="s">
        <v>140</v>
      </c>
      <c r="AB169" t="s">
        <v>141</v>
      </c>
      <c r="AC169">
        <v>11611</v>
      </c>
      <c r="AD169">
        <v>11612</v>
      </c>
      <c r="AE169">
        <v>101</v>
      </c>
      <c r="AF169">
        <v>1</v>
      </c>
    </row>
    <row r="170" spans="1:32">
      <c r="A170">
        <v>1</v>
      </c>
      <c r="B170">
        <v>150</v>
      </c>
      <c r="C170" t="s">
        <v>1122</v>
      </c>
      <c r="D170" t="s">
        <v>629</v>
      </c>
      <c r="E170" t="s">
        <v>1095</v>
      </c>
      <c r="F170">
        <v>72</v>
      </c>
      <c r="G170" t="s">
        <v>187</v>
      </c>
      <c r="H170" t="s">
        <v>1058</v>
      </c>
      <c r="I170" t="s">
        <v>1059</v>
      </c>
      <c r="J170" t="s">
        <v>1176</v>
      </c>
      <c r="K170" t="s">
        <v>1213</v>
      </c>
      <c r="L170"/>
      <c r="M170">
        <v>0</v>
      </c>
      <c r="N170"/>
      <c r="O170">
        <v>0</v>
      </c>
      <c r="P170"/>
      <c r="Q170">
        <v>0</v>
      </c>
      <c r="R170" s="35"/>
      <c r="T170" t="s">
        <v>1214</v>
      </c>
      <c r="U170" t="s">
        <v>126</v>
      </c>
      <c r="V170" t="s">
        <v>139</v>
      </c>
      <c r="W170">
        <v>10080</v>
      </c>
      <c r="X170" t="s">
        <v>770</v>
      </c>
      <c r="AA170" t="s">
        <v>140</v>
      </c>
      <c r="AB170" t="s">
        <v>141</v>
      </c>
      <c r="AC170">
        <v>11611</v>
      </c>
      <c r="AD170">
        <v>11612</v>
      </c>
      <c r="AF170">
        <v>1</v>
      </c>
    </row>
    <row r="171" spans="1:32">
      <c r="A171">
        <v>1</v>
      </c>
      <c r="B171">
        <v>151</v>
      </c>
      <c r="C171" t="s">
        <v>401</v>
      </c>
      <c r="D171" t="s">
        <v>629</v>
      </c>
      <c r="E171" t="s">
        <v>522</v>
      </c>
      <c r="F171">
        <v>24</v>
      </c>
      <c r="G171" t="s">
        <v>736</v>
      </c>
      <c r="H171" t="s">
        <v>1058</v>
      </c>
      <c r="I171" t="s">
        <v>1059</v>
      </c>
      <c r="J171" t="s">
        <v>902</v>
      </c>
      <c r="K171" t="s">
        <v>1016</v>
      </c>
      <c r="L171">
        <v>7340.468468468468</v>
      </c>
      <c r="M171">
        <v>176171</v>
      </c>
      <c r="N171">
        <v>7928</v>
      </c>
      <c r="O171">
        <v>190270</v>
      </c>
      <c r="P171"/>
      <c r="Q171">
        <v>0</v>
      </c>
      <c r="R171" s="35">
        <v>45848</v>
      </c>
      <c r="T171" t="s">
        <v>1214</v>
      </c>
      <c r="U171" t="s">
        <v>126</v>
      </c>
      <c r="V171" t="s">
        <v>139</v>
      </c>
      <c r="W171">
        <v>10070</v>
      </c>
      <c r="X171" t="s">
        <v>771</v>
      </c>
      <c r="Y171" t="s">
        <v>1060</v>
      </c>
      <c r="Z171" t="s">
        <v>377</v>
      </c>
      <c r="AA171" t="s">
        <v>140</v>
      </c>
      <c r="AB171" t="s">
        <v>141</v>
      </c>
      <c r="AC171">
        <v>11611</v>
      </c>
      <c r="AD171">
        <v>11612</v>
      </c>
      <c r="AE171">
        <v>101</v>
      </c>
      <c r="AF171">
        <v>1</v>
      </c>
    </row>
    <row r="172" spans="1:32">
      <c r="A172">
        <v>1</v>
      </c>
      <c r="B172">
        <v>153</v>
      </c>
      <c r="C172" t="s">
        <v>402</v>
      </c>
      <c r="D172" t="s">
        <v>629</v>
      </c>
      <c r="E172" t="s">
        <v>523</v>
      </c>
      <c r="F172">
        <v>24</v>
      </c>
      <c r="G172" t="s">
        <v>736</v>
      </c>
      <c r="H172" t="s">
        <v>1058</v>
      </c>
      <c r="I172" t="s">
        <v>1059</v>
      </c>
      <c r="J172" t="s">
        <v>903</v>
      </c>
      <c r="K172" t="s">
        <v>1017</v>
      </c>
      <c r="L172">
        <v>7340.468468468468</v>
      </c>
      <c r="M172">
        <v>176171</v>
      </c>
      <c r="N172">
        <v>7928</v>
      </c>
      <c r="O172">
        <v>190270</v>
      </c>
      <c r="P172"/>
      <c r="Q172">
        <v>0</v>
      </c>
      <c r="R172" s="35">
        <v>45848</v>
      </c>
      <c r="T172" t="s">
        <v>1214</v>
      </c>
      <c r="U172" t="s">
        <v>126</v>
      </c>
      <c r="V172" t="s">
        <v>139</v>
      </c>
      <c r="W172">
        <v>10070</v>
      </c>
      <c r="X172" t="s">
        <v>771</v>
      </c>
      <c r="Y172" t="s">
        <v>1060</v>
      </c>
      <c r="Z172" t="s">
        <v>377</v>
      </c>
      <c r="AA172" t="s">
        <v>140</v>
      </c>
      <c r="AB172" t="s">
        <v>141</v>
      </c>
      <c r="AC172">
        <v>11611</v>
      </c>
      <c r="AD172">
        <v>11612</v>
      </c>
      <c r="AE172">
        <v>101</v>
      </c>
      <c r="AF172">
        <v>1</v>
      </c>
    </row>
    <row r="173" spans="1:32">
      <c r="A173">
        <v>1</v>
      </c>
      <c r="B173">
        <v>155</v>
      </c>
      <c r="C173" t="s">
        <v>403</v>
      </c>
      <c r="D173" t="s">
        <v>629</v>
      </c>
      <c r="E173" t="s">
        <v>524</v>
      </c>
      <c r="F173">
        <v>24</v>
      </c>
      <c r="G173" t="s">
        <v>736</v>
      </c>
      <c r="H173" t="s">
        <v>1058</v>
      </c>
      <c r="I173" t="s">
        <v>1059</v>
      </c>
      <c r="J173" t="s">
        <v>904</v>
      </c>
      <c r="K173" t="s">
        <v>1018</v>
      </c>
      <c r="L173">
        <v>7340.468468468468</v>
      </c>
      <c r="M173">
        <v>176171</v>
      </c>
      <c r="N173">
        <v>7928</v>
      </c>
      <c r="O173">
        <v>190270</v>
      </c>
      <c r="P173"/>
      <c r="Q173">
        <v>0</v>
      </c>
      <c r="R173" s="35">
        <v>45848</v>
      </c>
      <c r="T173" t="s">
        <v>1214</v>
      </c>
      <c r="U173" t="s">
        <v>126</v>
      </c>
      <c r="V173" t="s">
        <v>139</v>
      </c>
      <c r="W173">
        <v>10070</v>
      </c>
      <c r="X173" t="s">
        <v>771</v>
      </c>
      <c r="Y173" t="s">
        <v>1060</v>
      </c>
      <c r="Z173" t="s">
        <v>377</v>
      </c>
      <c r="AA173" t="s">
        <v>140</v>
      </c>
      <c r="AB173" t="s">
        <v>141</v>
      </c>
      <c r="AC173">
        <v>11611</v>
      </c>
      <c r="AD173">
        <v>11612</v>
      </c>
      <c r="AE173">
        <v>101</v>
      </c>
      <c r="AF173">
        <v>1</v>
      </c>
    </row>
    <row r="174" spans="1:32">
      <c r="A174">
        <v>1</v>
      </c>
      <c r="B174">
        <v>157</v>
      </c>
      <c r="C174" t="s">
        <v>1080</v>
      </c>
      <c r="D174" t="s">
        <v>629</v>
      </c>
      <c r="E174" t="s">
        <v>1079</v>
      </c>
      <c r="F174">
        <v>18</v>
      </c>
      <c r="G174" t="s">
        <v>736</v>
      </c>
      <c r="H174" t="s">
        <v>1058</v>
      </c>
      <c r="I174" t="s">
        <v>1059</v>
      </c>
      <c r="J174" t="s">
        <v>1177</v>
      </c>
      <c r="K174" t="s">
        <v>1196</v>
      </c>
      <c r="L174">
        <v>9342.4144144144138</v>
      </c>
      <c r="M174">
        <v>168163</v>
      </c>
      <c r="N174">
        <v>10090</v>
      </c>
      <c r="O174">
        <v>181622</v>
      </c>
      <c r="P174"/>
      <c r="Q174">
        <v>0</v>
      </c>
      <c r="R174" s="35">
        <v>45864</v>
      </c>
      <c r="T174" t="s">
        <v>1214</v>
      </c>
      <c r="U174" t="s">
        <v>126</v>
      </c>
      <c r="V174" t="s">
        <v>139</v>
      </c>
      <c r="W174">
        <v>10070</v>
      </c>
      <c r="X174" t="s">
        <v>771</v>
      </c>
      <c r="AA174" t="s">
        <v>140</v>
      </c>
      <c r="AB174" t="s">
        <v>141</v>
      </c>
      <c r="AC174">
        <v>11611</v>
      </c>
      <c r="AD174">
        <v>11612</v>
      </c>
      <c r="AF174">
        <v>1</v>
      </c>
    </row>
    <row r="175" spans="1:32">
      <c r="A175">
        <v>3</v>
      </c>
      <c r="B175">
        <v>159</v>
      </c>
      <c r="C175" t="s">
        <v>1082</v>
      </c>
      <c r="D175" t="s">
        <v>629</v>
      </c>
      <c r="E175" t="s">
        <v>1069</v>
      </c>
      <c r="F175">
        <v>18</v>
      </c>
      <c r="G175" t="s">
        <v>736</v>
      </c>
      <c r="H175" t="s">
        <v>1058</v>
      </c>
      <c r="I175" t="s">
        <v>1059</v>
      </c>
      <c r="J175" t="s">
        <v>1178</v>
      </c>
      <c r="K175" t="s">
        <v>1197</v>
      </c>
      <c r="L175">
        <v>8675.0990990990995</v>
      </c>
      <c r="M175">
        <v>156152</v>
      </c>
      <c r="N175">
        <v>9369</v>
      </c>
      <c r="O175">
        <v>168649</v>
      </c>
      <c r="P175"/>
      <c r="Q175">
        <v>0</v>
      </c>
      <c r="R175" s="35">
        <v>45864</v>
      </c>
      <c r="T175" t="s">
        <v>1214</v>
      </c>
      <c r="U175" t="s">
        <v>126</v>
      </c>
      <c r="V175" t="s">
        <v>139</v>
      </c>
      <c r="W175">
        <v>10060</v>
      </c>
      <c r="X175" t="s">
        <v>772</v>
      </c>
      <c r="AA175" t="s">
        <v>140</v>
      </c>
      <c r="AB175" t="s">
        <v>141</v>
      </c>
      <c r="AC175">
        <v>11611</v>
      </c>
      <c r="AD175">
        <v>11612</v>
      </c>
      <c r="AF175">
        <v>1</v>
      </c>
    </row>
    <row r="176" spans="1:32">
      <c r="A176">
        <v>1</v>
      </c>
      <c r="B176">
        <v>161</v>
      </c>
      <c r="C176" t="s">
        <v>399</v>
      </c>
      <c r="D176" t="s">
        <v>1070</v>
      </c>
      <c r="E176" t="s">
        <v>1071</v>
      </c>
      <c r="F176">
        <v>6</v>
      </c>
      <c r="G176" t="s">
        <v>735</v>
      </c>
      <c r="H176" t="s">
        <v>1058</v>
      </c>
      <c r="I176" t="s">
        <v>1059</v>
      </c>
      <c r="J176" t="s">
        <v>1180</v>
      </c>
      <c r="K176" t="s">
        <v>1198</v>
      </c>
      <c r="L176">
        <v>34033.08108108108</v>
      </c>
      <c r="M176">
        <v>204198</v>
      </c>
      <c r="N176">
        <v>36757</v>
      </c>
      <c r="O176">
        <v>220541</v>
      </c>
      <c r="P176"/>
      <c r="Q176">
        <v>0</v>
      </c>
      <c r="R176" s="35">
        <v>45864</v>
      </c>
      <c r="T176" t="s">
        <v>1214</v>
      </c>
      <c r="U176" t="s">
        <v>126</v>
      </c>
      <c r="V176" t="s">
        <v>139</v>
      </c>
      <c r="W176">
        <v>10070</v>
      </c>
      <c r="X176" t="s">
        <v>771</v>
      </c>
      <c r="AA176" t="s">
        <v>140</v>
      </c>
      <c r="AB176" t="s">
        <v>141</v>
      </c>
      <c r="AC176">
        <v>11611</v>
      </c>
      <c r="AD176">
        <v>11612</v>
      </c>
      <c r="AF176">
        <v>1</v>
      </c>
    </row>
    <row r="177" spans="5:32">
      <c r="E177" t="s">
        <v>1279</v>
      </c>
      <c r="G177" t="s">
        <v>370</v>
      </c>
      <c r="H177" t="s">
        <v>1309</v>
      </c>
      <c r="I177" t="s">
        <v>1309</v>
      </c>
      <c r="J177" t="s">
        <v>1309</v>
      </c>
      <c r="K177" t="s">
        <v>1332</v>
      </c>
      <c r="L177"/>
      <c r="M177">
        <v>0</v>
      </c>
      <c r="N177"/>
      <c r="O177">
        <v>0</v>
      </c>
      <c r="P177"/>
      <c r="Q177">
        <v>0</v>
      </c>
      <c r="R177" s="35"/>
      <c r="T177" t="s">
        <v>1214</v>
      </c>
      <c r="U177" t="s">
        <v>126</v>
      </c>
      <c r="V177" t="s">
        <v>1309</v>
      </c>
      <c r="X177">
        <v>0</v>
      </c>
      <c r="AA177" t="s">
        <v>140</v>
      </c>
      <c r="AB177" t="s">
        <v>141</v>
      </c>
      <c r="AC177">
        <v>11611</v>
      </c>
      <c r="AD177">
        <v>11612</v>
      </c>
      <c r="AF177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30"/>
  <sheetViews>
    <sheetView topLeftCell="B13" workbookViewId="0">
      <selection activeCell="D30" sqref="D30"/>
    </sheetView>
  </sheetViews>
  <sheetFormatPr defaultRowHeight="15"/>
  <cols>
    <col min="1" max="1" width="6.5703125" style="20" bestFit="1" customWidth="1"/>
    <col min="2" max="2" width="14.5703125" style="20" bestFit="1" customWidth="1"/>
    <col min="3" max="3" width="16.28515625" style="20" bestFit="1" customWidth="1"/>
    <col min="4" max="4" width="40.140625" style="20" bestFit="1" customWidth="1"/>
    <col min="5" max="5" width="11.28515625" style="20" customWidth="1"/>
    <col min="6" max="6" width="11.5703125" customWidth="1"/>
  </cols>
  <sheetData>
    <row r="1" spans="1:6" ht="32.25" customHeight="1">
      <c r="A1" s="5" t="s">
        <v>116</v>
      </c>
      <c r="B1" s="5" t="s">
        <v>45</v>
      </c>
      <c r="C1" s="5" t="s">
        <v>46</v>
      </c>
      <c r="D1" s="5" t="s">
        <v>47</v>
      </c>
      <c r="E1" s="5" t="s">
        <v>13</v>
      </c>
      <c r="F1" s="8" t="s">
        <v>14</v>
      </c>
    </row>
    <row r="2" spans="1:6">
      <c r="A2" s="20">
        <v>1</v>
      </c>
      <c r="B2" s="20" t="s">
        <v>48</v>
      </c>
      <c r="C2" s="20" t="s">
        <v>49</v>
      </c>
      <c r="D2" t="s">
        <v>50</v>
      </c>
      <c r="E2" s="20" t="s">
        <v>35</v>
      </c>
      <c r="F2" s="21" t="s">
        <v>34</v>
      </c>
    </row>
    <row r="3" spans="1:6">
      <c r="A3" s="20">
        <v>2</v>
      </c>
      <c r="B3" s="20" t="s">
        <v>48</v>
      </c>
      <c r="C3" s="20" t="s">
        <v>49</v>
      </c>
      <c r="D3" t="s">
        <v>51</v>
      </c>
      <c r="E3" s="20" t="s">
        <v>78</v>
      </c>
      <c r="F3" s="21" t="s">
        <v>77</v>
      </c>
    </row>
    <row r="4" spans="1:6">
      <c r="A4" s="20">
        <v>3</v>
      </c>
      <c r="B4" s="20" t="s">
        <v>48</v>
      </c>
      <c r="C4" s="20" t="s">
        <v>49</v>
      </c>
      <c r="D4" t="s">
        <v>52</v>
      </c>
      <c r="E4" s="20" t="s">
        <v>79</v>
      </c>
      <c r="F4" s="21" t="s">
        <v>80</v>
      </c>
    </row>
    <row r="5" spans="1:6">
      <c r="A5" s="20">
        <v>4</v>
      </c>
      <c r="B5" s="20" t="s">
        <v>48</v>
      </c>
      <c r="C5" s="20" t="s">
        <v>53</v>
      </c>
      <c r="D5" t="s">
        <v>54</v>
      </c>
      <c r="E5" s="20" t="s">
        <v>81</v>
      </c>
      <c r="F5" s="21" t="s">
        <v>106</v>
      </c>
    </row>
    <row r="6" spans="1:6">
      <c r="A6" s="20">
        <v>5</v>
      </c>
      <c r="B6" s="20" t="s">
        <v>48</v>
      </c>
      <c r="C6" s="20" t="s">
        <v>55</v>
      </c>
      <c r="D6" t="s">
        <v>56</v>
      </c>
      <c r="E6" s="20" t="s">
        <v>83</v>
      </c>
      <c r="F6" s="21" t="s">
        <v>84</v>
      </c>
    </row>
    <row r="7" spans="1:6">
      <c r="A7" s="20">
        <v>6</v>
      </c>
      <c r="B7" s="20" t="s">
        <v>48</v>
      </c>
      <c r="C7" s="20" t="s">
        <v>55</v>
      </c>
      <c r="D7" t="s">
        <v>57</v>
      </c>
      <c r="E7" s="20" t="s">
        <v>85</v>
      </c>
      <c r="F7" s="21" t="s">
        <v>86</v>
      </c>
    </row>
    <row r="8" spans="1:6">
      <c r="A8" s="20">
        <v>7</v>
      </c>
      <c r="B8" s="20" t="s">
        <v>48</v>
      </c>
      <c r="C8" s="20" t="s">
        <v>55</v>
      </c>
      <c r="D8" t="s">
        <v>58</v>
      </c>
      <c r="E8" s="20" t="s">
        <v>87</v>
      </c>
      <c r="F8" s="21" t="s">
        <v>88</v>
      </c>
    </row>
    <row r="9" spans="1:6">
      <c r="A9" s="20">
        <v>8</v>
      </c>
      <c r="B9" s="20" t="s">
        <v>48</v>
      </c>
      <c r="C9" s="20" t="s">
        <v>55</v>
      </c>
      <c r="D9" t="s">
        <v>59</v>
      </c>
      <c r="E9" s="20" t="s">
        <v>89</v>
      </c>
      <c r="F9" s="21" t="s">
        <v>90</v>
      </c>
    </row>
    <row r="10" spans="1:6">
      <c r="A10" s="20">
        <v>9</v>
      </c>
      <c r="B10" s="20" t="s">
        <v>48</v>
      </c>
      <c r="C10" s="20" t="s">
        <v>60</v>
      </c>
      <c r="D10" t="s">
        <v>61</v>
      </c>
      <c r="E10" s="20" t="s">
        <v>91</v>
      </c>
      <c r="F10" s="21" t="s">
        <v>92</v>
      </c>
    </row>
    <row r="11" spans="1:6">
      <c r="A11" s="20">
        <v>10</v>
      </c>
      <c r="B11" s="20" t="s">
        <v>48</v>
      </c>
      <c r="C11" s="20" t="s">
        <v>60</v>
      </c>
      <c r="D11" t="s">
        <v>62</v>
      </c>
      <c r="E11" s="20" t="s">
        <v>93</v>
      </c>
      <c r="F11" s="21" t="s">
        <v>94</v>
      </c>
    </row>
    <row r="12" spans="1:6">
      <c r="A12" s="20">
        <v>11</v>
      </c>
      <c r="B12" s="20" t="s">
        <v>63</v>
      </c>
      <c r="C12" s="20" t="s">
        <v>48</v>
      </c>
      <c r="D12" t="s">
        <v>64</v>
      </c>
      <c r="E12" s="20" t="s">
        <v>55</v>
      </c>
      <c r="F12" s="21" t="s">
        <v>95</v>
      </c>
    </row>
    <row r="13" spans="1:6">
      <c r="A13" s="20">
        <v>12</v>
      </c>
      <c r="B13" s="20" t="s">
        <v>63</v>
      </c>
      <c r="C13" s="20" t="s">
        <v>65</v>
      </c>
      <c r="D13" t="s">
        <v>66</v>
      </c>
      <c r="E13" s="20" t="s">
        <v>96</v>
      </c>
      <c r="F13" s="21" t="s">
        <v>97</v>
      </c>
    </row>
    <row r="14" spans="1:6">
      <c r="A14" s="20">
        <v>13</v>
      </c>
      <c r="B14" s="20" t="s">
        <v>63</v>
      </c>
      <c r="C14" s="20" t="s">
        <v>65</v>
      </c>
      <c r="D14" t="s">
        <v>67</v>
      </c>
      <c r="E14" s="20" t="s">
        <v>98</v>
      </c>
      <c r="F14" s="21" t="s">
        <v>99</v>
      </c>
    </row>
    <row r="15" spans="1:6">
      <c r="A15" s="20">
        <v>14</v>
      </c>
      <c r="B15" s="20" t="s">
        <v>63</v>
      </c>
      <c r="C15" s="20" t="s">
        <v>68</v>
      </c>
      <c r="D15" t="s">
        <v>69</v>
      </c>
      <c r="E15" s="20" t="s">
        <v>100</v>
      </c>
      <c r="F15" s="21" t="s">
        <v>101</v>
      </c>
    </row>
    <row r="16" spans="1:6">
      <c r="A16" s="20">
        <v>15</v>
      </c>
      <c r="B16" s="20" t="s">
        <v>63</v>
      </c>
      <c r="C16" s="20" t="s">
        <v>68</v>
      </c>
      <c r="D16" t="s">
        <v>70</v>
      </c>
      <c r="E16" s="20" t="s">
        <v>102</v>
      </c>
      <c r="F16" s="21" t="s">
        <v>103</v>
      </c>
    </row>
    <row r="17" spans="1:6">
      <c r="A17" s="20">
        <v>16</v>
      </c>
      <c r="B17" s="20" t="s">
        <v>63</v>
      </c>
      <c r="C17" s="20" t="s">
        <v>68</v>
      </c>
      <c r="D17" t="s">
        <v>71</v>
      </c>
      <c r="E17" s="20" t="s">
        <v>104</v>
      </c>
      <c r="F17" s="21" t="s">
        <v>105</v>
      </c>
    </row>
    <row r="18" spans="1:6">
      <c r="A18" s="20">
        <v>17</v>
      </c>
      <c r="B18" s="20" t="s">
        <v>63</v>
      </c>
      <c r="C18" s="20" t="s">
        <v>68</v>
      </c>
      <c r="D18" t="s">
        <v>72</v>
      </c>
      <c r="E18" s="20" t="s">
        <v>107</v>
      </c>
      <c r="F18" s="21" t="s">
        <v>112</v>
      </c>
    </row>
    <row r="19" spans="1:6">
      <c r="A19" s="20">
        <v>18</v>
      </c>
      <c r="B19" s="20" t="s">
        <v>63</v>
      </c>
      <c r="C19" s="20" t="s">
        <v>68</v>
      </c>
      <c r="D19" t="s">
        <v>73</v>
      </c>
      <c r="E19" s="20" t="s">
        <v>108</v>
      </c>
      <c r="F19" s="21" t="s">
        <v>109</v>
      </c>
    </row>
    <row r="20" spans="1:6">
      <c r="A20" s="20">
        <v>19</v>
      </c>
      <c r="B20" s="20" t="s">
        <v>63</v>
      </c>
      <c r="C20" s="20" t="s">
        <v>68</v>
      </c>
      <c r="D20" t="s">
        <v>74</v>
      </c>
      <c r="E20" s="20" t="s">
        <v>110</v>
      </c>
      <c r="F20" s="21" t="s">
        <v>111</v>
      </c>
    </row>
    <row r="21" spans="1:6">
      <c r="A21" s="20">
        <v>20</v>
      </c>
      <c r="B21" s="20" t="s">
        <v>63</v>
      </c>
      <c r="C21" s="20" t="s">
        <v>75</v>
      </c>
      <c r="D21" t="s">
        <v>76</v>
      </c>
      <c r="E21" s="20" t="s">
        <v>26</v>
      </c>
      <c r="F21" s="21" t="s">
        <v>82</v>
      </c>
    </row>
    <row r="22" spans="1:6">
      <c r="A22" s="20">
        <v>21</v>
      </c>
      <c r="B22" s="20" t="s">
        <v>63</v>
      </c>
      <c r="C22" s="20" t="s">
        <v>68</v>
      </c>
      <c r="D22" t="s">
        <v>113</v>
      </c>
      <c r="E22" s="20" t="s">
        <v>114</v>
      </c>
      <c r="F22" s="21" t="s">
        <v>115</v>
      </c>
    </row>
    <row r="23" spans="1:6">
      <c r="A23" s="20">
        <v>22</v>
      </c>
      <c r="B23" s="20" t="s">
        <v>63</v>
      </c>
      <c r="C23" s="20" t="s">
        <v>55</v>
      </c>
      <c r="D23" s="30" t="s">
        <v>162</v>
      </c>
      <c r="E23" s="20" t="s">
        <v>161</v>
      </c>
      <c r="F23" s="21" t="s">
        <v>163</v>
      </c>
    </row>
    <row r="24" spans="1:6">
      <c r="A24" s="20">
        <v>23</v>
      </c>
      <c r="B24" s="20" t="s">
        <v>63</v>
      </c>
      <c r="C24" s="20" t="s">
        <v>173</v>
      </c>
      <c r="D24" s="30" t="s">
        <v>167</v>
      </c>
      <c r="E24" s="20" t="s">
        <v>168</v>
      </c>
      <c r="F24" s="21" t="s">
        <v>169</v>
      </c>
    </row>
    <row r="25" spans="1:6">
      <c r="A25" s="20">
        <v>24</v>
      </c>
      <c r="B25" s="20" t="s">
        <v>63</v>
      </c>
      <c r="C25" s="20" t="s">
        <v>173</v>
      </c>
      <c r="D25" s="30" t="s">
        <v>372</v>
      </c>
      <c r="E25" s="20" t="s">
        <v>373</v>
      </c>
      <c r="F25" s="21" t="s">
        <v>371</v>
      </c>
    </row>
    <row r="26" spans="1:6">
      <c r="A26" s="20">
        <v>25</v>
      </c>
      <c r="B26" s="20" t="s">
        <v>63</v>
      </c>
      <c r="C26" s="20" t="s">
        <v>173</v>
      </c>
      <c r="D26" s="30" t="s">
        <v>379</v>
      </c>
      <c r="E26" s="20" t="s">
        <v>369</v>
      </c>
      <c r="F26" s="21" t="s">
        <v>368</v>
      </c>
    </row>
    <row r="27" spans="1:6">
      <c r="A27" s="20">
        <v>26</v>
      </c>
      <c r="B27" s="20" t="s">
        <v>63</v>
      </c>
      <c r="C27" s="20" t="s">
        <v>173</v>
      </c>
      <c r="D27" s="30" t="s">
        <v>374</v>
      </c>
      <c r="E27" s="20" t="s">
        <v>375</v>
      </c>
      <c r="F27" s="21" t="s">
        <v>376</v>
      </c>
    </row>
    <row r="28" spans="1:6">
      <c r="B28" s="20" t="s">
        <v>63</v>
      </c>
      <c r="C28" s="20" t="s">
        <v>173</v>
      </c>
      <c r="D28" s="30" t="s">
        <v>380</v>
      </c>
      <c r="E28" s="20" t="s">
        <v>381</v>
      </c>
      <c r="F28" s="21" t="s">
        <v>382</v>
      </c>
    </row>
    <row r="29" spans="1:6">
      <c r="B29" s="20" t="s">
        <v>63</v>
      </c>
      <c r="D29" s="30" t="s">
        <v>634</v>
      </c>
      <c r="E29" s="20" t="s">
        <v>635</v>
      </c>
      <c r="F29" s="21" t="s">
        <v>636</v>
      </c>
    </row>
    <row r="30" spans="1:6">
      <c r="B30" s="20" t="s">
        <v>49</v>
      </c>
      <c r="D30" s="30" t="s">
        <v>637</v>
      </c>
      <c r="E30" s="20" t="s">
        <v>661</v>
      </c>
      <c r="F30" s="21" t="s">
        <v>662</v>
      </c>
    </row>
  </sheetData>
  <conditionalFormatting sqref="E23:E1048576 F1:F3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2087-406B-4FD1-AD63-71565E103B15}">
  <sheetPr>
    <tabColor rgb="FF00B050"/>
  </sheetPr>
  <dimension ref="A1:B3"/>
  <sheetViews>
    <sheetView workbookViewId="0">
      <selection activeCell="A4" sqref="A4"/>
    </sheetView>
  </sheetViews>
  <sheetFormatPr defaultRowHeight="15"/>
  <sheetData>
    <row r="1" spans="1:2">
      <c r="A1" t="s">
        <v>179</v>
      </c>
      <c r="B1">
        <v>1</v>
      </c>
    </row>
    <row r="2" spans="1:2">
      <c r="A2" t="s">
        <v>178</v>
      </c>
      <c r="B2">
        <v>2</v>
      </c>
    </row>
    <row r="3" spans="1:2">
      <c r="A3" t="s">
        <v>188</v>
      </c>
      <c r="B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E2C0DA-074E-4A16-9F4B-1029207D331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b00a3ca-a341-42d9-b2fb-ab12249157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PRICE LIST Motasa</vt:lpstr>
      <vt:lpstr>FORM DASAR KLP</vt:lpstr>
      <vt:lpstr>Cara Buat</vt:lpstr>
      <vt:lpstr>Pvt Map 1</vt:lpstr>
      <vt:lpstr>Table Pvt 1</vt:lpstr>
      <vt:lpstr>Fix Mapping</vt:lpstr>
      <vt:lpstr>Query Map.BrgDoubleDms</vt:lpstr>
      <vt:lpstr>Form Fix</vt:lpstr>
      <vt:lpstr>Upload To Win</vt:lpstr>
      <vt:lpstr>LIST PCPL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Administrator</cp:lastModifiedBy>
  <cp:lastPrinted>2025-11-12T01:30:44Z</cp:lastPrinted>
  <dcterms:created xsi:type="dcterms:W3CDTF">2024-07-13T06:32:43Z</dcterms:created>
  <dcterms:modified xsi:type="dcterms:W3CDTF">2026-07-22T09:56:09Z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